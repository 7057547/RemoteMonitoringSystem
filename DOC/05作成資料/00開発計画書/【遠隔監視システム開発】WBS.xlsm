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0" yWindow="-15" windowWidth="10995" windowHeight="8070" tabRatio="700" activeTab="2"/>
  </bookViews>
  <sheets>
    <sheet name="システム概要" sheetId="22" r:id="rId1"/>
    <sheet name="メニュー" sheetId="25" r:id="rId2"/>
    <sheet name="工程管理表" sheetId="20" r:id="rId3"/>
    <sheet name="マスタ" sheetId="21" r:id="rId4"/>
    <sheet name="操作説明" sheetId="23" r:id="rId5"/>
    <sheet name="マクロに関する設定について" sheetId="24" r:id="rId6"/>
  </sheets>
  <definedNames>
    <definedName name="_xlnm.Print_Titles" localSheetId="2">工程管理表!$A:$D,工程管理表!$12:$12</definedName>
    <definedName name="タイトルリスト">OFFSET(マスタ!$F$5,1,0,COUNTA(マスタ!$F:$F)-1,1)</definedName>
    <definedName name="担当名">OFFSET(マスタ!$D$5,1,0,COUNTA(マスタ!$D:$D)-1,1)</definedName>
    <definedName name="分類タイトル">マスタ!$B$5</definedName>
    <definedName name="分類名">OFFSET(マスタ!$B$5,1,0,COUNTA(マスタ!$B:$B)-1,1)</definedName>
  </definedNames>
  <calcPr calcId="145621"/>
</workbook>
</file>

<file path=xl/calcChain.xml><?xml version="1.0" encoding="utf-8"?>
<calcChain xmlns="http://schemas.openxmlformats.org/spreadsheetml/2006/main">
  <c r="B58" i="20" l="1"/>
  <c r="B60" i="20"/>
  <c r="B62" i="20"/>
  <c r="B64" i="20"/>
  <c r="B66" i="20"/>
  <c r="B68" i="20"/>
  <c r="B70" i="20"/>
  <c r="B72" i="20"/>
  <c r="B74" i="20"/>
  <c r="B76" i="20"/>
  <c r="B78" i="20"/>
  <c r="B80" i="20"/>
  <c r="B82" i="20"/>
  <c r="B84" i="20"/>
  <c r="B86" i="20"/>
  <c r="B88" i="20"/>
  <c r="B90" i="20"/>
  <c r="B92" i="20"/>
  <c r="B94" i="20"/>
  <c r="B96" i="20"/>
  <c r="B98" i="20"/>
  <c r="B100" i="20"/>
  <c r="B102" i="20"/>
  <c r="B104" i="20"/>
  <c r="B106" i="20"/>
  <c r="B108" i="20"/>
  <c r="B110" i="20"/>
  <c r="B112" i="20"/>
  <c r="B114" i="20"/>
  <c r="B116" i="20"/>
  <c r="C58" i="20"/>
  <c r="D58" i="20"/>
  <c r="C60" i="20"/>
  <c r="D60" i="20"/>
  <c r="C62" i="20"/>
  <c r="D62" i="20"/>
  <c r="C64" i="20"/>
  <c r="D64" i="20"/>
  <c r="C66" i="20"/>
  <c r="D66" i="20"/>
  <c r="C68" i="20"/>
  <c r="D68" i="20"/>
  <c r="C70" i="20"/>
  <c r="D70" i="20"/>
  <c r="C72" i="20"/>
  <c r="D72" i="20"/>
  <c r="C74" i="20"/>
  <c r="D74" i="20"/>
  <c r="C76" i="20"/>
  <c r="D76" i="20"/>
  <c r="C78" i="20"/>
  <c r="D78" i="20"/>
  <c r="C80" i="20"/>
  <c r="D80" i="20"/>
  <c r="C82" i="20"/>
  <c r="D82" i="20"/>
  <c r="C84" i="20"/>
  <c r="D84" i="20"/>
  <c r="C86" i="20"/>
  <c r="D86" i="20"/>
  <c r="C88" i="20"/>
  <c r="D88" i="20"/>
  <c r="C90" i="20"/>
  <c r="D90" i="20"/>
  <c r="C92" i="20"/>
  <c r="D92" i="20"/>
  <c r="C94" i="20"/>
  <c r="D94" i="20"/>
  <c r="C96" i="20"/>
  <c r="D96" i="20"/>
  <c r="C98" i="20"/>
  <c r="D98" i="20"/>
  <c r="C100" i="20"/>
  <c r="D100" i="20"/>
  <c r="C102" i="20"/>
  <c r="D102" i="20"/>
  <c r="C104" i="20"/>
  <c r="D104" i="20"/>
  <c r="C106" i="20"/>
  <c r="D106" i="20"/>
  <c r="C108" i="20"/>
  <c r="D108" i="20"/>
  <c r="C110" i="20"/>
  <c r="D110" i="20"/>
  <c r="C112" i="20"/>
  <c r="D112" i="20"/>
  <c r="C114" i="20"/>
  <c r="D114" i="20"/>
  <c r="C116" i="20"/>
  <c r="D116" i="20"/>
  <c r="I124" i="20"/>
  <c r="D124" i="20"/>
  <c r="C124" i="20"/>
  <c r="B124" i="20"/>
  <c r="I122" i="20"/>
  <c r="D122" i="20"/>
  <c r="C122" i="20"/>
  <c r="B122" i="20"/>
  <c r="I120" i="20"/>
  <c r="D120" i="20"/>
  <c r="C120" i="20"/>
  <c r="B120" i="20"/>
  <c r="I118" i="20"/>
  <c r="D118" i="20"/>
  <c r="C118" i="20"/>
  <c r="B118" i="20"/>
  <c r="I116" i="20"/>
  <c r="I114" i="20"/>
  <c r="H17" i="20"/>
  <c r="H18" i="20"/>
  <c r="H19" i="20"/>
  <c r="H20" i="20"/>
  <c r="H21" i="20"/>
  <c r="H22" i="20"/>
  <c r="H23" i="20"/>
  <c r="H24" i="20"/>
  <c r="H25" i="20"/>
  <c r="H26" i="20"/>
  <c r="H27" i="20"/>
  <c r="H28" i="20"/>
  <c r="H29" i="20"/>
  <c r="H30" i="20"/>
  <c r="H31" i="20"/>
  <c r="H32" i="20"/>
  <c r="H33" i="20"/>
  <c r="H34" i="20"/>
  <c r="H35" i="20"/>
  <c r="H36" i="20"/>
  <c r="H37" i="20"/>
  <c r="H38" i="20"/>
  <c r="H39" i="20"/>
  <c r="H40" i="20"/>
  <c r="H41" i="20"/>
  <c r="H42" i="20"/>
  <c r="H43" i="20"/>
  <c r="H44" i="20"/>
  <c r="H45" i="20"/>
  <c r="H46" i="20"/>
  <c r="H47" i="20"/>
  <c r="H48" i="20"/>
  <c r="H49" i="20"/>
  <c r="H50" i="20"/>
  <c r="H51" i="20"/>
  <c r="H52" i="20"/>
  <c r="H53" i="20"/>
  <c r="H54" i="20"/>
  <c r="H55" i="20"/>
  <c r="H56" i="20"/>
  <c r="H57" i="20"/>
  <c r="H58" i="20"/>
  <c r="H59" i="20"/>
  <c r="H60" i="20"/>
  <c r="H61" i="20"/>
  <c r="H62" i="20"/>
  <c r="H63" i="20"/>
  <c r="H64" i="20"/>
  <c r="H65" i="20"/>
  <c r="H66" i="20"/>
  <c r="H67" i="20"/>
  <c r="H68" i="20"/>
  <c r="H69" i="20"/>
  <c r="H70" i="20"/>
  <c r="H71" i="20"/>
  <c r="H72" i="20"/>
  <c r="H73" i="20"/>
  <c r="H74" i="20"/>
  <c r="H75" i="20"/>
  <c r="H76" i="20"/>
  <c r="H77" i="20"/>
  <c r="H78" i="20"/>
  <c r="H79" i="20"/>
  <c r="H80" i="20"/>
  <c r="H81" i="20"/>
  <c r="H82" i="20"/>
  <c r="H83" i="20"/>
  <c r="H84" i="20"/>
  <c r="H85" i="20"/>
  <c r="H86" i="20"/>
  <c r="H87" i="20"/>
  <c r="H88" i="20"/>
  <c r="H89" i="20"/>
  <c r="H90" i="20"/>
  <c r="H91" i="20"/>
  <c r="H92" i="20"/>
  <c r="H93" i="20"/>
  <c r="H94" i="20"/>
  <c r="H95" i="20"/>
  <c r="H96" i="20"/>
  <c r="H97" i="20"/>
  <c r="H98" i="20"/>
  <c r="H99" i="20"/>
  <c r="H100" i="20"/>
  <c r="H101" i="20"/>
  <c r="H102" i="20"/>
  <c r="H103" i="20"/>
  <c r="H104" i="20"/>
  <c r="H16" i="20"/>
  <c r="H15" i="20"/>
  <c r="H14" i="20"/>
  <c r="H13" i="20"/>
  <c r="G5" i="21"/>
  <c r="B12" i="20"/>
  <c r="J12" i="20"/>
  <c r="K12" i="20"/>
  <c r="L12" i="20"/>
  <c r="M12" i="20" s="1"/>
  <c r="N12" i="20" s="1"/>
  <c r="O12" i="20" s="1"/>
  <c r="P12" i="20" s="1"/>
  <c r="Q12" i="20" s="1"/>
  <c r="R12" i="20" s="1"/>
  <c r="S12" i="20" s="1"/>
  <c r="T12" i="20" s="1"/>
  <c r="U12" i="20" s="1"/>
  <c r="V12" i="20" s="1"/>
  <c r="W12" i="20" s="1"/>
  <c r="X12" i="20" s="1"/>
  <c r="Y12" i="20" s="1"/>
  <c r="Z12" i="20" s="1"/>
  <c r="AA12" i="20" s="1"/>
  <c r="AB12" i="20" s="1"/>
  <c r="AC12" i="20" s="1"/>
  <c r="AD12" i="20" s="1"/>
  <c r="AE12" i="20" s="1"/>
  <c r="AF12" i="20" s="1"/>
  <c r="AG12" i="20" s="1"/>
  <c r="AH12" i="20" s="1"/>
  <c r="AI12" i="20" s="1"/>
  <c r="AJ12" i="20" s="1"/>
  <c r="AK12" i="20" s="1"/>
  <c r="AL12" i="20" s="1"/>
  <c r="AM12" i="20" s="1"/>
  <c r="AN12" i="20" s="1"/>
  <c r="AO12" i="20" s="1"/>
  <c r="AP12" i="20" s="1"/>
  <c r="AQ12" i="20" s="1"/>
  <c r="AR12" i="20" s="1"/>
  <c r="AS12" i="20" s="1"/>
  <c r="AT12" i="20" s="1"/>
  <c r="AU12" i="20" s="1"/>
  <c r="AV12" i="20" s="1"/>
  <c r="AW12" i="20" s="1"/>
  <c r="AX12" i="20" s="1"/>
  <c r="AY12" i="20" s="1"/>
  <c r="AZ12" i="20" s="1"/>
  <c r="BA12" i="20" s="1"/>
  <c r="BB12" i="20" s="1"/>
  <c r="BC12" i="20" s="1"/>
  <c r="BD12" i="20" s="1"/>
  <c r="BE12" i="20" s="1"/>
  <c r="BF12" i="20" s="1"/>
  <c r="BG12" i="20" s="1"/>
  <c r="BH12" i="20" s="1"/>
  <c r="BI12" i="20" s="1"/>
  <c r="BJ12" i="20" s="1"/>
  <c r="BK12" i="20" s="1"/>
  <c r="BL12" i="20" s="1"/>
  <c r="BM12" i="20" s="1"/>
  <c r="BN12" i="20" s="1"/>
  <c r="BO12" i="20" s="1"/>
  <c r="BP12" i="20" s="1"/>
  <c r="BQ12" i="20" s="1"/>
  <c r="BR12" i="20" s="1"/>
  <c r="BS12" i="20" s="1"/>
  <c r="BT12" i="20" s="1"/>
  <c r="BU12" i="20" s="1"/>
  <c r="BV12" i="20" s="1"/>
  <c r="BW12" i="20" s="1"/>
  <c r="BX12" i="20" s="1"/>
  <c r="BY12" i="20" s="1"/>
  <c r="BZ12" i="20" s="1"/>
  <c r="CA12" i="20" s="1"/>
  <c r="CB12" i="20" s="1"/>
  <c r="CC12" i="20" s="1"/>
  <c r="CD12" i="20" s="1"/>
  <c r="CE12" i="20" s="1"/>
  <c r="CF12" i="20" s="1"/>
  <c r="CG12" i="20" s="1"/>
  <c r="CH12" i="20" s="1"/>
  <c r="CI12" i="20" s="1"/>
  <c r="CJ12" i="20" s="1"/>
  <c r="CK12" i="20" s="1"/>
  <c r="CL12" i="20" s="1"/>
  <c r="CM12" i="20" s="1"/>
  <c r="CN12" i="20" s="1"/>
  <c r="CO12" i="20" s="1"/>
  <c r="CP12" i="20" s="1"/>
  <c r="CQ12" i="20" s="1"/>
  <c r="CR12" i="20" s="1"/>
  <c r="CS12" i="20" s="1"/>
  <c r="CT12" i="20" s="1"/>
  <c r="CU12" i="20" s="1"/>
  <c r="CV12" i="20" s="1"/>
  <c r="CW12" i="20" s="1"/>
  <c r="CX12" i="20" s="1"/>
  <c r="CY12" i="20" s="1"/>
  <c r="CZ12" i="20" s="1"/>
  <c r="DA12" i="20" s="1"/>
  <c r="DB12" i="20" s="1"/>
  <c r="DC12" i="20" s="1"/>
  <c r="DD12" i="20" s="1"/>
  <c r="DE12" i="20" s="1"/>
  <c r="DF12" i="20" s="1"/>
  <c r="DG12" i="20" s="1"/>
  <c r="DH12" i="20" s="1"/>
  <c r="DI12" i="20" s="1"/>
  <c r="DJ12" i="20" s="1"/>
  <c r="DK12" i="20" s="1"/>
  <c r="DL12" i="20" s="1"/>
  <c r="DM12" i="20" s="1"/>
  <c r="DN12" i="20" s="1"/>
  <c r="DO12" i="20" s="1"/>
  <c r="DP12" i="20" s="1"/>
  <c r="DQ12" i="20" s="1"/>
  <c r="DR12" i="20" s="1"/>
  <c r="DS12" i="20" s="1"/>
  <c r="DT12" i="20" s="1"/>
  <c r="DU12" i="20" s="1"/>
  <c r="DV12" i="20" s="1"/>
  <c r="DW12" i="20" s="1"/>
  <c r="DX12" i="20" s="1"/>
  <c r="DY12" i="20" s="1"/>
  <c r="DZ12" i="20" s="1"/>
  <c r="EA12" i="20" s="1"/>
  <c r="EB12" i="20" s="1"/>
  <c r="EC12" i="20" s="1"/>
  <c r="ED12" i="20" s="1"/>
  <c r="EE12" i="20" s="1"/>
  <c r="EF12" i="20" s="1"/>
  <c r="EG12" i="20" s="1"/>
  <c r="EH12" i="20" s="1"/>
  <c r="EI12" i="20" s="1"/>
  <c r="EJ12" i="20" s="1"/>
  <c r="EK12" i="20" s="1"/>
  <c r="EL12" i="20" s="1"/>
  <c r="EM12" i="20" s="1"/>
  <c r="EN12" i="20" s="1"/>
  <c r="EO12" i="20" s="1"/>
  <c r="EP12" i="20" s="1"/>
  <c r="EQ12" i="20" s="1"/>
  <c r="ER12" i="20" s="1"/>
  <c r="ES12" i="20" s="1"/>
  <c r="ET12" i="20" s="1"/>
  <c r="EU12" i="20" s="1"/>
  <c r="EV12" i="20" s="1"/>
  <c r="EW12" i="20" s="1"/>
  <c r="EX12" i="20" s="1"/>
  <c r="EY12" i="20" s="1"/>
  <c r="EZ12" i="20" s="1"/>
  <c r="FA12" i="20" s="1"/>
  <c r="FB12" i="20" s="1"/>
  <c r="FC12" i="20" s="1"/>
  <c r="FD12" i="20" s="1"/>
  <c r="FE12" i="20" s="1"/>
  <c r="FF12" i="20" s="1"/>
  <c r="FG12" i="20" s="1"/>
  <c r="FH12" i="20" s="1"/>
  <c r="FI12" i="20" s="1"/>
  <c r="FJ12" i="20" s="1"/>
  <c r="FK12" i="20" s="1"/>
  <c r="FL12" i="20" s="1"/>
  <c r="FM12" i="20" s="1"/>
  <c r="FN12" i="20" s="1"/>
  <c r="FO12" i="20" s="1"/>
  <c r="FP12" i="20" s="1"/>
  <c r="FQ12" i="20" s="1"/>
  <c r="FR12" i="20" s="1"/>
  <c r="FS12" i="20" s="1"/>
  <c r="FT12" i="20" s="1"/>
  <c r="FU12" i="20" s="1"/>
  <c r="FV12" i="20" s="1"/>
  <c r="FW12" i="20" s="1"/>
  <c r="FX12" i="20" s="1"/>
  <c r="FY12" i="20" s="1"/>
  <c r="FZ12" i="20" s="1"/>
  <c r="GA12" i="20" s="1"/>
  <c r="GB12" i="20" s="1"/>
  <c r="GC12" i="20" s="1"/>
  <c r="GD12" i="20" s="1"/>
  <c r="GE12" i="20" s="1"/>
  <c r="GF12" i="20" s="1"/>
  <c r="GG12" i="20" s="1"/>
  <c r="GH12" i="20" s="1"/>
  <c r="GI12" i="20" s="1"/>
  <c r="B28" i="20"/>
  <c r="B26" i="20"/>
  <c r="B24" i="20"/>
  <c r="B22" i="20"/>
  <c r="B20" i="20"/>
  <c r="B18" i="20"/>
  <c r="C18" i="20"/>
  <c r="C20" i="20"/>
  <c r="C22" i="20"/>
  <c r="C24" i="20"/>
  <c r="C26" i="20"/>
  <c r="I26" i="20"/>
  <c r="C7" i="20"/>
  <c r="C9" i="20" s="1"/>
  <c r="C8" i="20"/>
  <c r="A14" i="20"/>
  <c r="B14" i="20"/>
  <c r="C14" i="20"/>
  <c r="D14" i="20"/>
  <c r="A16" i="20"/>
  <c r="B16" i="20"/>
  <c r="C16" i="20"/>
  <c r="D16" i="20"/>
  <c r="A18" i="20"/>
  <c r="A20" i="20"/>
  <c r="A22" i="20"/>
  <c r="A24" i="20"/>
  <c r="A26" i="20"/>
  <c r="D26" i="20"/>
  <c r="A28" i="20"/>
  <c r="C28" i="20"/>
  <c r="D28" i="20"/>
  <c r="I28" i="20"/>
  <c r="A30" i="20"/>
  <c r="B30" i="20"/>
  <c r="C30" i="20"/>
  <c r="D30" i="20"/>
  <c r="I30" i="20"/>
  <c r="A32" i="20"/>
  <c r="B32" i="20"/>
  <c r="C32" i="20"/>
  <c r="D32" i="20"/>
  <c r="I32" i="20"/>
  <c r="A34" i="20"/>
  <c r="B34" i="20"/>
  <c r="C34" i="20"/>
  <c r="D34" i="20"/>
  <c r="I34" i="20"/>
  <c r="A36" i="20"/>
  <c r="B36" i="20"/>
  <c r="C36" i="20"/>
  <c r="D36" i="20"/>
  <c r="I36" i="20"/>
  <c r="A38" i="20"/>
  <c r="B38" i="20"/>
  <c r="C38" i="20"/>
  <c r="D38" i="20"/>
  <c r="I38" i="20"/>
  <c r="A40" i="20"/>
  <c r="B40" i="20"/>
  <c r="C40" i="20"/>
  <c r="D40" i="20"/>
  <c r="I40" i="20"/>
  <c r="A42" i="20"/>
  <c r="B42" i="20"/>
  <c r="C42" i="20"/>
  <c r="D42" i="20"/>
  <c r="I42" i="20"/>
  <c r="A44" i="20"/>
  <c r="B44" i="20"/>
  <c r="C44" i="20"/>
  <c r="D44" i="20"/>
  <c r="I44" i="20"/>
  <c r="A46" i="20"/>
  <c r="B46" i="20"/>
  <c r="C46" i="20"/>
  <c r="D46" i="20"/>
  <c r="I46" i="20"/>
  <c r="A48" i="20"/>
  <c r="B48" i="20"/>
  <c r="C48" i="20"/>
  <c r="D48" i="20"/>
  <c r="I48" i="20"/>
  <c r="A50" i="20"/>
  <c r="B50" i="20"/>
  <c r="C50" i="20"/>
  <c r="D50" i="20"/>
  <c r="I50" i="20"/>
  <c r="A52" i="20"/>
  <c r="B52" i="20"/>
  <c r="C52" i="20"/>
  <c r="D52" i="20"/>
  <c r="I52" i="20"/>
  <c r="A54" i="20"/>
  <c r="B54" i="20"/>
  <c r="C54" i="20"/>
  <c r="D54" i="20"/>
  <c r="I54" i="20"/>
  <c r="A56" i="20"/>
  <c r="B56" i="20"/>
  <c r="C56" i="20"/>
  <c r="D56" i="20"/>
  <c r="I56" i="20"/>
  <c r="A58" i="20"/>
  <c r="I58" i="20"/>
  <c r="A60" i="20"/>
  <c r="I60" i="20"/>
  <c r="A62" i="20"/>
  <c r="I62" i="20"/>
  <c r="A64" i="20"/>
  <c r="I64" i="20"/>
  <c r="A66" i="20"/>
  <c r="I66" i="20"/>
  <c r="A68" i="20"/>
  <c r="I68" i="20"/>
  <c r="A70" i="20"/>
  <c r="I70" i="20"/>
  <c r="A72" i="20"/>
  <c r="I72" i="20"/>
  <c r="A74" i="20"/>
  <c r="I74" i="20"/>
  <c r="A76" i="20"/>
  <c r="I76" i="20"/>
  <c r="A78" i="20"/>
  <c r="I78" i="20"/>
  <c r="A80" i="20"/>
  <c r="I80" i="20"/>
  <c r="A82" i="20"/>
  <c r="I82" i="20"/>
  <c r="A84" i="20"/>
  <c r="I84" i="20"/>
  <c r="A86" i="20"/>
  <c r="I86" i="20"/>
  <c r="A88" i="20"/>
  <c r="I88" i="20"/>
  <c r="A90" i="20"/>
  <c r="I90" i="20"/>
  <c r="A92" i="20"/>
  <c r="I92" i="20"/>
  <c r="A94" i="20"/>
  <c r="I94" i="20"/>
  <c r="A96" i="20"/>
  <c r="I96" i="20"/>
  <c r="A98" i="20"/>
  <c r="I98" i="20"/>
  <c r="A100" i="20"/>
  <c r="I100" i="20"/>
  <c r="A102" i="20"/>
  <c r="I102" i="20"/>
  <c r="A104" i="20"/>
  <c r="I104" i="20"/>
  <c r="A106" i="20"/>
  <c r="I106" i="20"/>
  <c r="A108" i="20"/>
  <c r="I108" i="20"/>
  <c r="A110" i="20"/>
  <c r="I110" i="20"/>
  <c r="A112" i="20"/>
  <c r="I112" i="20"/>
  <c r="I16" i="20"/>
  <c r="I14" i="20"/>
</calcChain>
</file>

<file path=xl/comments1.xml><?xml version="1.0" encoding="utf-8"?>
<comments xmlns="http://schemas.openxmlformats.org/spreadsheetml/2006/main">
  <authors>
    <author>Reiko Shibuya</author>
    <author>Administrator</author>
  </authors>
  <commentList>
    <comment ref="B1" authorId="0">
      <text>
        <r>
          <rPr>
            <sz val="9"/>
            <color indexed="81"/>
            <rFont val="ＭＳ Ｐゴシック"/>
            <family val="3"/>
            <charset val="128"/>
          </rPr>
          <t xml:space="preserve">
ドロップダウンから選択するか、直接入力できます。</t>
        </r>
      </text>
    </comment>
    <comment ref="C4" authorId="1">
      <text>
        <r>
          <rPr>
            <sz val="9"/>
            <color indexed="81"/>
            <rFont val="ＭＳ Ｐゴシック"/>
            <family val="3"/>
            <charset val="128"/>
          </rPr>
          <t xml:space="preserve">
管理開始日を入力してください。</t>
        </r>
      </text>
    </comment>
    <comment ref="B12" authorId="0">
      <text>
        <r>
          <rPr>
            <sz val="9"/>
            <color indexed="81"/>
            <rFont val="ＭＳ Ｐゴシック"/>
            <family val="3"/>
            <charset val="128"/>
          </rPr>
          <t>ドロップダウンから選択してください。</t>
        </r>
      </text>
    </comment>
    <comment ref="C12" authorId="0">
      <text>
        <r>
          <rPr>
            <sz val="9"/>
            <color indexed="81"/>
            <rFont val="ＭＳ Ｐゴシック"/>
            <family val="3"/>
            <charset val="128"/>
          </rPr>
          <t>作業名を入力してください。</t>
        </r>
      </text>
    </comment>
    <comment ref="D12" authorId="0">
      <text>
        <r>
          <rPr>
            <sz val="9"/>
            <color indexed="81"/>
            <rFont val="ＭＳ Ｐゴシック"/>
            <family val="3"/>
            <charset val="128"/>
          </rPr>
          <t xml:space="preserve">担当者名を入力してください。
</t>
        </r>
      </text>
    </comment>
    <comment ref="F12" authorId="0">
      <text>
        <r>
          <rPr>
            <sz val="9"/>
            <color indexed="81"/>
            <rFont val="ＭＳ Ｐゴシック"/>
            <family val="3"/>
            <charset val="128"/>
          </rPr>
          <t xml:space="preserve">作業開始の日付を入力してください。
</t>
        </r>
      </text>
    </comment>
    <comment ref="G12" authorId="0">
      <text>
        <r>
          <rPr>
            <sz val="9"/>
            <color indexed="81"/>
            <rFont val="ＭＳ Ｐゴシック"/>
            <family val="3"/>
            <charset val="128"/>
          </rPr>
          <t xml:space="preserve">作業終了の日付を入力してください。
</t>
        </r>
      </text>
    </comment>
  </commentList>
</comments>
</file>

<file path=xl/comments2.xml><?xml version="1.0" encoding="utf-8"?>
<comments xmlns="http://schemas.openxmlformats.org/spreadsheetml/2006/main">
  <authors>
    <author>Reiko Shibuya</author>
  </authors>
  <commentList>
    <comment ref="B5" authorId="0">
      <text>
        <r>
          <rPr>
            <sz val="9"/>
            <color indexed="81"/>
            <rFont val="ＭＳ Ｐゴシック"/>
            <family val="3"/>
            <charset val="128"/>
          </rPr>
          <t xml:space="preserve">このセルは編集できます。入力した内容が、「工程管理表」シートのセルB12に反映されます。
</t>
        </r>
      </text>
    </comment>
  </commentList>
</comments>
</file>

<file path=xl/sharedStrings.xml><?xml version="1.0" encoding="utf-8"?>
<sst xmlns="http://schemas.openxmlformats.org/spreadsheetml/2006/main" count="387" uniqueCount="179">
  <si>
    <t>実績</t>
    <rPh sb="0" eb="2">
      <t>ジッセキ</t>
    </rPh>
    <phoneticPr fontId="2"/>
  </si>
  <si>
    <t>管理開始日</t>
    <rPh sb="0" eb="2">
      <t>カンリ</t>
    </rPh>
    <rPh sb="2" eb="5">
      <t>カイシビ</t>
    </rPh>
    <phoneticPr fontId="2"/>
  </si>
  <si>
    <t>分類名</t>
    <rPh sb="0" eb="2">
      <t>ブンルイ</t>
    </rPh>
    <rPh sb="2" eb="3">
      <t>メイ</t>
    </rPh>
    <phoneticPr fontId="2"/>
  </si>
  <si>
    <t>予定合計</t>
    <rPh sb="0" eb="2">
      <t>ヨテイ</t>
    </rPh>
    <rPh sb="2" eb="4">
      <t>ゴウケイ</t>
    </rPh>
    <phoneticPr fontId="2"/>
  </si>
  <si>
    <t>実績合計</t>
    <rPh sb="0" eb="2">
      <t>ジッセキ</t>
    </rPh>
    <rPh sb="2" eb="4">
      <t>ゴウケイ</t>
    </rPh>
    <phoneticPr fontId="2"/>
  </si>
  <si>
    <t>差</t>
    <rPh sb="0" eb="1">
      <t>サ</t>
    </rPh>
    <phoneticPr fontId="2"/>
  </si>
  <si>
    <t>作業名</t>
    <rPh sb="0" eb="2">
      <t>サギョウ</t>
    </rPh>
    <rPh sb="2" eb="3">
      <t>メイ</t>
    </rPh>
    <phoneticPr fontId="2"/>
  </si>
  <si>
    <t>担当者名</t>
    <rPh sb="0" eb="2">
      <t>タントウ</t>
    </rPh>
    <rPh sb="2" eb="3">
      <t>シャ</t>
    </rPh>
    <rPh sb="3" eb="4">
      <t>メイ</t>
    </rPh>
    <phoneticPr fontId="2"/>
  </si>
  <si>
    <t>予定
実績</t>
    <rPh sb="0" eb="2">
      <t>ヨテイ</t>
    </rPh>
    <rPh sb="3" eb="5">
      <t>ジッセキ</t>
    </rPh>
    <phoneticPr fontId="2"/>
  </si>
  <si>
    <t>開始日</t>
    <rPh sb="0" eb="3">
      <t>カイシビ</t>
    </rPh>
    <phoneticPr fontId="2"/>
  </si>
  <si>
    <t>終了日</t>
    <rPh sb="0" eb="3">
      <t>シュウリョウビ</t>
    </rPh>
    <phoneticPr fontId="2"/>
  </si>
  <si>
    <t>工数</t>
    <rPh sb="0" eb="2">
      <t>コウスウ</t>
    </rPh>
    <phoneticPr fontId="2"/>
  </si>
  <si>
    <t>予実差</t>
    <rPh sb="0" eb="1">
      <t>ヨ</t>
    </rPh>
    <rPh sb="1" eb="2">
      <t>ジツ</t>
    </rPh>
    <rPh sb="2" eb="3">
      <t>サ</t>
    </rPh>
    <phoneticPr fontId="2"/>
  </si>
  <si>
    <t>予定</t>
    <rPh sb="0" eb="2">
      <t>ヨテイ</t>
    </rPh>
    <phoneticPr fontId="2"/>
  </si>
  <si>
    <t>No</t>
    <phoneticPr fontId="2"/>
  </si>
  <si>
    <t>担当者名</t>
    <rPh sb="0" eb="3">
      <t>タントウシャ</t>
    </rPh>
    <rPh sb="3" eb="4">
      <t>メイ</t>
    </rPh>
    <phoneticPr fontId="2"/>
  </si>
  <si>
    <t>メニューへ</t>
    <phoneticPr fontId="2"/>
  </si>
  <si>
    <t>概要</t>
    <rPh sb="0" eb="2">
      <t>ガイヨウ</t>
    </rPh>
    <phoneticPr fontId="2"/>
  </si>
  <si>
    <t>機能</t>
    <rPh sb="0" eb="2">
      <t>キノウ</t>
    </rPh>
    <phoneticPr fontId="2"/>
  </si>
  <si>
    <t>マスタの入力</t>
    <rPh sb="4" eb="6">
      <t>ニュウリョク</t>
    </rPh>
    <phoneticPr fontId="2"/>
  </si>
  <si>
    <t>こんな時は</t>
    <rPh sb="3" eb="4">
      <t>トキ</t>
    </rPh>
    <phoneticPr fontId="2"/>
  </si>
  <si>
    <t>１．マスタの登録</t>
    <rPh sb="6" eb="8">
      <t>トウロク</t>
    </rPh>
    <phoneticPr fontId="2"/>
  </si>
  <si>
    <t>マスタ登録シートへ移行</t>
    <rPh sb="3" eb="5">
      <t>トウロク</t>
    </rPh>
    <rPh sb="9" eb="11">
      <t>イコウ</t>
    </rPh>
    <phoneticPr fontId="2"/>
  </si>
  <si>
    <t>①</t>
    <phoneticPr fontId="2"/>
  </si>
  <si>
    <t>メニュー画面で「マスタ」をクリックします。　</t>
    <rPh sb="4" eb="6">
      <t>ガメン</t>
    </rPh>
    <phoneticPr fontId="2"/>
  </si>
  <si>
    <t>②</t>
    <phoneticPr fontId="2"/>
  </si>
  <si>
    <t>マスタシートに移行します。</t>
    <rPh sb="7" eb="9">
      <t>イコウ</t>
    </rPh>
    <phoneticPr fontId="2"/>
  </si>
  <si>
    <t>①</t>
    <phoneticPr fontId="2"/>
  </si>
  <si>
    <t>①</t>
    <phoneticPr fontId="2"/>
  </si>
  <si>
    <t>①</t>
    <phoneticPr fontId="2"/>
  </si>
  <si>
    <t>②</t>
    <phoneticPr fontId="2"/>
  </si>
  <si>
    <t>部門の入力</t>
    <rPh sb="0" eb="2">
      <t>ブモン</t>
    </rPh>
    <rPh sb="3" eb="5">
      <t>ニュウリョク</t>
    </rPh>
    <phoneticPr fontId="2"/>
  </si>
  <si>
    <t>①</t>
    <phoneticPr fontId="2"/>
  </si>
  <si>
    <t>「部門」欄で部門を選択します。</t>
    <rPh sb="1" eb="3">
      <t>ブモン</t>
    </rPh>
    <rPh sb="4" eb="5">
      <t>ラン</t>
    </rPh>
    <rPh sb="6" eb="8">
      <t>ブモン</t>
    </rPh>
    <rPh sb="9" eb="11">
      <t>センタク</t>
    </rPh>
    <phoneticPr fontId="2"/>
  </si>
  <si>
    <t>①</t>
    <phoneticPr fontId="2"/>
  </si>
  <si>
    <t>②</t>
    <phoneticPr fontId="2"/>
  </si>
  <si>
    <t>※このファイルには「マクロ」が含まれています。マクロ機能を有効にするために、以下を確認してください。</t>
    <rPh sb="15" eb="16">
      <t>フク</t>
    </rPh>
    <rPh sb="26" eb="28">
      <t>キノウ</t>
    </rPh>
    <rPh sb="29" eb="31">
      <t>ユウコウ</t>
    </rPh>
    <rPh sb="38" eb="40">
      <t>イカ</t>
    </rPh>
    <rPh sb="41" eb="43">
      <t>カクニン</t>
    </rPh>
    <phoneticPr fontId="2"/>
  </si>
  <si>
    <t>Excel2000～2003の場合</t>
    <rPh sb="15" eb="17">
      <t>バアイ</t>
    </rPh>
    <phoneticPr fontId="2"/>
  </si>
  <si>
    <t>Excel2007の場合</t>
    <rPh sb="10" eb="12">
      <t>バアイ</t>
    </rPh>
    <phoneticPr fontId="2"/>
  </si>
  <si>
    <t>【セキュリティレベルの設定】</t>
    <phoneticPr fontId="2"/>
  </si>
  <si>
    <t>「ツール」メニューの「マクロ」から「セキュリティ」をクリックします。</t>
    <phoneticPr fontId="2"/>
  </si>
  <si>
    <t>Officeボタンをクリックし、「Excelのオプション」をクリックします。</t>
    <phoneticPr fontId="2"/>
  </si>
  <si>
    <t>「セキュリティ」ダイアログが開きます。「中」を選択して「OK」をクリックします。</t>
    <rPh sb="14" eb="15">
      <t>ヒラ</t>
    </rPh>
    <rPh sb="20" eb="21">
      <t>チュウ</t>
    </rPh>
    <rPh sb="23" eb="25">
      <t>センタク</t>
    </rPh>
    <phoneticPr fontId="2"/>
  </si>
  <si>
    <t>「Excelのオプション」画面が開きます。「セキュリティ」をクリックし、</t>
    <rPh sb="13" eb="15">
      <t>ガメン</t>
    </rPh>
    <rPh sb="16" eb="17">
      <t>ヒラ</t>
    </rPh>
    <phoneticPr fontId="2"/>
  </si>
  <si>
    <t>③</t>
    <phoneticPr fontId="2"/>
  </si>
  <si>
    <t>「セキュリティセンター」をクリックします。</t>
    <phoneticPr fontId="2"/>
  </si>
  <si>
    <t>④</t>
    <phoneticPr fontId="2"/>
  </si>
  <si>
    <t>「セキュリティセンター」画面が開きます。マクロの設定をクリックします。</t>
    <rPh sb="12" eb="14">
      <t>ガメン</t>
    </rPh>
    <rPh sb="15" eb="16">
      <t>ヒラ</t>
    </rPh>
    <rPh sb="24" eb="26">
      <t>セッテイ</t>
    </rPh>
    <phoneticPr fontId="2"/>
  </si>
  <si>
    <t>⑤</t>
    <phoneticPr fontId="2"/>
  </si>
  <si>
    <t>「警告を表示してすべてのマクロを無効にする」をクリックします。</t>
    <rPh sb="1" eb="3">
      <t>ケイコク</t>
    </rPh>
    <rPh sb="4" eb="6">
      <t>ヒョウジ</t>
    </rPh>
    <rPh sb="16" eb="18">
      <t>ムコウ</t>
    </rPh>
    <phoneticPr fontId="2"/>
  </si>
  <si>
    <t>【マクロの有効化】</t>
    <rPh sb="5" eb="8">
      <t>ユウコウカ</t>
    </rPh>
    <phoneticPr fontId="2"/>
  </si>
  <si>
    <t>①</t>
    <phoneticPr fontId="2"/>
  </si>
  <si>
    <t>ファイルを開くときに「セキュリティ警告」メッセージが表示されます。</t>
    <rPh sb="5" eb="6">
      <t>ヒラ</t>
    </rPh>
    <rPh sb="17" eb="19">
      <t>ケイコク</t>
    </rPh>
    <rPh sb="26" eb="28">
      <t>ヒョウジ</t>
    </rPh>
    <phoneticPr fontId="2"/>
  </si>
  <si>
    <t>①</t>
    <phoneticPr fontId="2"/>
  </si>
  <si>
    <t>ファイルを開くと「セキュリティ警告」が表示されます。「オプション」をクリックします。</t>
    <rPh sb="5" eb="6">
      <t>ヒラ</t>
    </rPh>
    <rPh sb="15" eb="17">
      <t>ケイコク</t>
    </rPh>
    <rPh sb="19" eb="21">
      <t>ヒョウジ</t>
    </rPh>
    <phoneticPr fontId="2"/>
  </si>
  <si>
    <t>②</t>
    <phoneticPr fontId="2"/>
  </si>
  <si>
    <t>「マクロを有効にする」をクリックします。</t>
    <rPh sb="5" eb="7">
      <t>ユウコウ</t>
    </rPh>
    <phoneticPr fontId="2"/>
  </si>
  <si>
    <t>②</t>
    <phoneticPr fontId="2"/>
  </si>
  <si>
    <t>「このコンテンツを有効にする」を選択し、「OK」をクリックします。</t>
    <rPh sb="9" eb="11">
      <t>ユウコウ</t>
    </rPh>
    <rPh sb="16" eb="18">
      <t>センタク</t>
    </rPh>
    <phoneticPr fontId="2"/>
  </si>
  <si>
    <t>工程管理</t>
    <rPh sb="0" eb="2">
      <t>コウテイ</t>
    </rPh>
    <rPh sb="2" eb="4">
      <t>カンリ</t>
    </rPh>
    <phoneticPr fontId="2"/>
  </si>
  <si>
    <t>本システムは、プロジェクト等の工程を管理すること目的としています。</t>
    <rPh sb="0" eb="1">
      <t>ホン</t>
    </rPh>
    <rPh sb="13" eb="14">
      <t>トウ</t>
    </rPh>
    <rPh sb="15" eb="17">
      <t>コウテイ</t>
    </rPh>
    <rPh sb="18" eb="20">
      <t>カンリ</t>
    </rPh>
    <rPh sb="24" eb="26">
      <t>モクテキ</t>
    </rPh>
    <phoneticPr fontId="2"/>
  </si>
  <si>
    <t>タスクの開始日と終了日を入力することで、所要日数を視覚的に把握することができます。</t>
    <rPh sb="4" eb="7">
      <t>カイシビ</t>
    </rPh>
    <rPh sb="8" eb="11">
      <t>シュウリョウビ</t>
    </rPh>
    <rPh sb="12" eb="14">
      <t>ニュウリョク</t>
    </rPh>
    <rPh sb="20" eb="22">
      <t>ショヨウ</t>
    </rPh>
    <rPh sb="22" eb="24">
      <t>ニッスウ</t>
    </rPh>
    <rPh sb="25" eb="28">
      <t>シカクテキ</t>
    </rPh>
    <rPh sb="29" eb="31">
      <t>ハアク</t>
    </rPh>
    <phoneticPr fontId="2"/>
  </si>
  <si>
    <t>管理開始日の入力</t>
    <rPh sb="0" eb="2">
      <t>カンリ</t>
    </rPh>
    <rPh sb="2" eb="4">
      <t>カイシ</t>
    </rPh>
    <rPh sb="4" eb="5">
      <t>ヒ</t>
    </rPh>
    <rPh sb="6" eb="8">
      <t>ニュウリョク</t>
    </rPh>
    <phoneticPr fontId="2"/>
  </si>
  <si>
    <t>管理対象の開始日を入力します。</t>
    <rPh sb="0" eb="2">
      <t>カンリ</t>
    </rPh>
    <rPh sb="2" eb="4">
      <t>タイショウ</t>
    </rPh>
    <rPh sb="5" eb="8">
      <t>カイシビ</t>
    </rPh>
    <rPh sb="9" eb="11">
      <t>ニュウリョク</t>
    </rPh>
    <phoneticPr fontId="2"/>
  </si>
  <si>
    <t>カレンダーの自動表示</t>
    <rPh sb="6" eb="8">
      <t>ジドウ</t>
    </rPh>
    <rPh sb="8" eb="10">
      <t>ヒョウジ</t>
    </rPh>
    <phoneticPr fontId="2"/>
  </si>
  <si>
    <t>予定と実績の入力</t>
    <rPh sb="0" eb="2">
      <t>ヨテイ</t>
    </rPh>
    <rPh sb="3" eb="5">
      <t>ジッセキ</t>
    </rPh>
    <rPh sb="6" eb="8">
      <t>ニュウリョク</t>
    </rPh>
    <phoneticPr fontId="2"/>
  </si>
  <si>
    <t>タスクの開始日と終了日を入力します。所要日数が数値およびカレンダーに色づけされて表示されます。</t>
    <rPh sb="4" eb="7">
      <t>カイシビ</t>
    </rPh>
    <rPh sb="8" eb="11">
      <t>シュウリョウビ</t>
    </rPh>
    <rPh sb="12" eb="14">
      <t>ニュウリョク</t>
    </rPh>
    <rPh sb="18" eb="20">
      <t>ショヨウ</t>
    </rPh>
    <rPh sb="20" eb="22">
      <t>ニッスウ</t>
    </rPh>
    <rPh sb="23" eb="25">
      <t>スウチ</t>
    </rPh>
    <rPh sb="34" eb="35">
      <t>イロ</t>
    </rPh>
    <rPh sb="40" eb="42">
      <t>ヒョウジ</t>
    </rPh>
    <phoneticPr fontId="2"/>
  </si>
  <si>
    <t>開始日から90日間の日付を自動表示します。</t>
    <rPh sb="0" eb="3">
      <t>カイシビ</t>
    </rPh>
    <rPh sb="7" eb="9">
      <t>ニチカン</t>
    </rPh>
    <rPh sb="10" eb="12">
      <t>ヒヅケ</t>
    </rPh>
    <rPh sb="13" eb="15">
      <t>ジドウ</t>
    </rPh>
    <rPh sb="15" eb="17">
      <t>ヒョウジ</t>
    </rPh>
    <phoneticPr fontId="2"/>
  </si>
  <si>
    <t>プロジェクト名</t>
    <rPh sb="6" eb="7">
      <t>メイ</t>
    </rPh>
    <phoneticPr fontId="2"/>
  </si>
  <si>
    <t>予実の工数差の自動算出</t>
    <rPh sb="0" eb="1">
      <t>ヨ</t>
    </rPh>
    <rPh sb="1" eb="2">
      <t>ジツ</t>
    </rPh>
    <rPh sb="3" eb="5">
      <t>コウスウ</t>
    </rPh>
    <rPh sb="5" eb="6">
      <t>サ</t>
    </rPh>
    <rPh sb="7" eb="9">
      <t>ジドウ</t>
    </rPh>
    <rPh sb="9" eb="11">
      <t>サンシュツ</t>
    </rPh>
    <phoneticPr fontId="2"/>
  </si>
  <si>
    <t>予定と実績との工数の差を自動算出します。</t>
    <rPh sb="0" eb="2">
      <t>ヨテイ</t>
    </rPh>
    <rPh sb="3" eb="5">
      <t>ジッセキ</t>
    </rPh>
    <rPh sb="7" eb="9">
      <t>コウスウ</t>
    </rPh>
    <rPh sb="10" eb="11">
      <t>サ</t>
    </rPh>
    <rPh sb="12" eb="14">
      <t>ジドウ</t>
    </rPh>
    <rPh sb="14" eb="16">
      <t>サンシュツ</t>
    </rPh>
    <phoneticPr fontId="2"/>
  </si>
  <si>
    <t>本システムでは、1日単位での管理を前提にしています。0.5日や時間単位での管理には未対応です。</t>
    <rPh sb="0" eb="1">
      <t>ホン</t>
    </rPh>
    <rPh sb="9" eb="10">
      <t>ニチ</t>
    </rPh>
    <rPh sb="10" eb="12">
      <t>タンイ</t>
    </rPh>
    <rPh sb="14" eb="16">
      <t>カンリ</t>
    </rPh>
    <rPh sb="17" eb="19">
      <t>ゼンテイ</t>
    </rPh>
    <rPh sb="29" eb="30">
      <t>ニチ</t>
    </rPh>
    <rPh sb="31" eb="33">
      <t>ジカン</t>
    </rPh>
    <rPh sb="33" eb="35">
      <t>タンイ</t>
    </rPh>
    <rPh sb="37" eb="39">
      <t>カンリ</t>
    </rPh>
    <rPh sb="41" eb="42">
      <t>ミ</t>
    </rPh>
    <rPh sb="42" eb="44">
      <t>タイオウ</t>
    </rPh>
    <phoneticPr fontId="2"/>
  </si>
  <si>
    <t>工数の管理単位は？</t>
    <rPh sb="0" eb="2">
      <t>コウスウ</t>
    </rPh>
    <rPh sb="3" eb="5">
      <t>カンリ</t>
    </rPh>
    <rPh sb="5" eb="7">
      <t>タンイ</t>
    </rPh>
    <phoneticPr fontId="2"/>
  </si>
  <si>
    <t>工程産管理</t>
    <rPh sb="0" eb="2">
      <t>コウテイ</t>
    </rPh>
    <phoneticPr fontId="2"/>
  </si>
  <si>
    <t>工程管理表</t>
    <rPh sb="0" eb="2">
      <t>コウテイ</t>
    </rPh>
    <rPh sb="2" eb="4">
      <t>カンリ</t>
    </rPh>
    <rPh sb="4" eb="5">
      <t>ヒョウ</t>
    </rPh>
    <phoneticPr fontId="2"/>
  </si>
  <si>
    <t>工程管理表を入力します。</t>
    <rPh sb="0" eb="2">
      <t>コウテイ</t>
    </rPh>
    <rPh sb="2" eb="4">
      <t>カンリ</t>
    </rPh>
    <rPh sb="4" eb="5">
      <t>ヒョウ</t>
    </rPh>
    <rPh sb="6" eb="8">
      <t>ニュウリョク</t>
    </rPh>
    <phoneticPr fontId="2"/>
  </si>
  <si>
    <t>分類や担当者名を入力します。</t>
    <rPh sb="0" eb="2">
      <t>ブンルイ</t>
    </rPh>
    <rPh sb="3" eb="5">
      <t>タントウ</t>
    </rPh>
    <rPh sb="5" eb="6">
      <t>シャ</t>
    </rPh>
    <rPh sb="6" eb="7">
      <t>メイ</t>
    </rPh>
    <rPh sb="8" eb="10">
      <t>ニュウリョク</t>
    </rPh>
    <phoneticPr fontId="2"/>
  </si>
  <si>
    <t>マスタ</t>
    <phoneticPr fontId="2"/>
  </si>
  <si>
    <t>管理対象タイトル</t>
    <rPh sb="0" eb="2">
      <t>カンリ</t>
    </rPh>
    <rPh sb="2" eb="4">
      <t>タイショウ</t>
    </rPh>
    <phoneticPr fontId="2"/>
  </si>
  <si>
    <t>分類名の登録</t>
    <rPh sb="0" eb="2">
      <t>ブンルイ</t>
    </rPh>
    <rPh sb="2" eb="3">
      <t>メイ</t>
    </rPh>
    <rPh sb="4" eb="6">
      <t>トウロク</t>
    </rPh>
    <phoneticPr fontId="2"/>
  </si>
  <si>
    <t>②</t>
    <phoneticPr fontId="2"/>
  </si>
  <si>
    <t>必要に応じて「分類名」（セルB5）を変更します。</t>
    <rPh sb="0" eb="2">
      <t>ヒツヨウ</t>
    </rPh>
    <rPh sb="3" eb="4">
      <t>オウ</t>
    </rPh>
    <rPh sb="7" eb="9">
      <t>ブンルイ</t>
    </rPh>
    <rPh sb="9" eb="10">
      <t>メイ</t>
    </rPh>
    <rPh sb="18" eb="20">
      <t>ヘンコウ</t>
    </rPh>
    <phoneticPr fontId="2"/>
  </si>
  <si>
    <t>担当者名の登録</t>
    <rPh sb="0" eb="3">
      <t>タントウシャ</t>
    </rPh>
    <rPh sb="3" eb="4">
      <t>メイ</t>
    </rPh>
    <rPh sb="5" eb="7">
      <t>トウロク</t>
    </rPh>
    <phoneticPr fontId="2"/>
  </si>
  <si>
    <t>担当者名を「担当者名」欄に入力します。</t>
    <rPh sb="0" eb="2">
      <t>タントウ</t>
    </rPh>
    <rPh sb="2" eb="3">
      <t>シャ</t>
    </rPh>
    <rPh sb="3" eb="4">
      <t>メイ</t>
    </rPh>
    <rPh sb="6" eb="9">
      <t>タントウシャ</t>
    </rPh>
    <rPh sb="9" eb="10">
      <t>メイ</t>
    </rPh>
    <rPh sb="11" eb="12">
      <t>ラン</t>
    </rPh>
    <rPh sb="13" eb="15">
      <t>ニュウリョク</t>
    </rPh>
    <phoneticPr fontId="2"/>
  </si>
  <si>
    <t>２．工程管理表の入力</t>
    <rPh sb="2" eb="4">
      <t>コウテイ</t>
    </rPh>
    <rPh sb="4" eb="6">
      <t>カンリ</t>
    </rPh>
    <rPh sb="6" eb="7">
      <t>ヒョウ</t>
    </rPh>
    <rPh sb="8" eb="10">
      <t>ニュウリョク</t>
    </rPh>
    <phoneticPr fontId="2"/>
  </si>
  <si>
    <t>工程管理表への移行</t>
    <rPh sb="0" eb="2">
      <t>コウテイ</t>
    </rPh>
    <rPh sb="2" eb="4">
      <t>カンリ</t>
    </rPh>
    <rPh sb="4" eb="5">
      <t>ヒョウ</t>
    </rPh>
    <rPh sb="7" eb="9">
      <t>イコウ</t>
    </rPh>
    <phoneticPr fontId="2"/>
  </si>
  <si>
    <t>メニュー画面で工程管理表」をクリックします。　</t>
    <rPh sb="4" eb="6">
      <t>ガメン</t>
    </rPh>
    <rPh sb="7" eb="9">
      <t>コウテイ</t>
    </rPh>
    <rPh sb="9" eb="11">
      <t>カンリ</t>
    </rPh>
    <rPh sb="11" eb="12">
      <t>ヒョウ</t>
    </rPh>
    <phoneticPr fontId="2"/>
  </si>
  <si>
    <t>工程管理表シートに移行します。</t>
    <rPh sb="0" eb="2">
      <t>コウテイ</t>
    </rPh>
    <rPh sb="2" eb="4">
      <t>カンリ</t>
    </rPh>
    <rPh sb="4" eb="5">
      <t>ヒョウ</t>
    </rPh>
    <rPh sb="9" eb="11">
      <t>イコウ</t>
    </rPh>
    <phoneticPr fontId="2"/>
  </si>
  <si>
    <t>プロジェクト名の入力</t>
    <rPh sb="6" eb="7">
      <t>メイ</t>
    </rPh>
    <rPh sb="8" eb="10">
      <t>ニュウリョク</t>
    </rPh>
    <phoneticPr fontId="2"/>
  </si>
  <si>
    <t>セルC1にプロジェクト名を入力します。</t>
    <rPh sb="11" eb="12">
      <t>メイ</t>
    </rPh>
    <rPh sb="13" eb="15">
      <t>ニュウリョク</t>
    </rPh>
    <phoneticPr fontId="2"/>
  </si>
  <si>
    <t>①</t>
    <phoneticPr fontId="2"/>
  </si>
  <si>
    <t>管理の開始日を入力します。</t>
    <rPh sb="0" eb="2">
      <t>カンリ</t>
    </rPh>
    <rPh sb="3" eb="5">
      <t>カイシ</t>
    </rPh>
    <rPh sb="5" eb="6">
      <t>ヒ</t>
    </rPh>
    <rPh sb="7" eb="9">
      <t>ニュウリョク</t>
    </rPh>
    <phoneticPr fontId="2"/>
  </si>
  <si>
    <t>セルJ12以降に、開始日以降の日付が自動表示されます。</t>
    <rPh sb="5" eb="7">
      <t>イコウ</t>
    </rPh>
    <rPh sb="9" eb="11">
      <t>カイシ</t>
    </rPh>
    <rPh sb="11" eb="12">
      <t>ヒ</t>
    </rPh>
    <rPh sb="12" eb="14">
      <t>イコウ</t>
    </rPh>
    <rPh sb="15" eb="17">
      <t>ヒヅケ</t>
    </rPh>
    <rPh sb="18" eb="20">
      <t>ジドウ</t>
    </rPh>
    <rPh sb="20" eb="22">
      <t>ヒョウジ</t>
    </rPh>
    <phoneticPr fontId="2"/>
  </si>
  <si>
    <t>タスクの入力</t>
    <rPh sb="4" eb="6">
      <t>ニュウリョク</t>
    </rPh>
    <phoneticPr fontId="2"/>
  </si>
  <si>
    <t>「分類名」「作業名」「担当者名」を入力します。</t>
    <rPh sb="1" eb="3">
      <t>ブンルイ</t>
    </rPh>
    <rPh sb="3" eb="4">
      <t>メイ</t>
    </rPh>
    <rPh sb="6" eb="8">
      <t>サギョウ</t>
    </rPh>
    <rPh sb="8" eb="9">
      <t>メイ</t>
    </rPh>
    <rPh sb="11" eb="13">
      <t>タントウ</t>
    </rPh>
    <rPh sb="13" eb="14">
      <t>シャ</t>
    </rPh>
    <rPh sb="14" eb="15">
      <t>メイ</t>
    </rPh>
    <rPh sb="17" eb="19">
      <t>ニュウリョク</t>
    </rPh>
    <phoneticPr fontId="2"/>
  </si>
  <si>
    <t>日付の入力</t>
    <rPh sb="0" eb="2">
      <t>ヒヅケ</t>
    </rPh>
    <rPh sb="3" eb="5">
      <t>ニュウリョク</t>
    </rPh>
    <phoneticPr fontId="2"/>
  </si>
  <si>
    <t>予定および実績の「開始日」「終了日」を入力します。</t>
    <rPh sb="0" eb="2">
      <t>ヨテイ</t>
    </rPh>
    <rPh sb="5" eb="7">
      <t>ジッセキ</t>
    </rPh>
    <rPh sb="9" eb="11">
      <t>カイシ</t>
    </rPh>
    <rPh sb="11" eb="12">
      <t>ヒ</t>
    </rPh>
    <rPh sb="14" eb="17">
      <t>シュウリョウビ</t>
    </rPh>
    <rPh sb="19" eb="21">
      <t>ニュウリョク</t>
    </rPh>
    <phoneticPr fontId="2"/>
  </si>
  <si>
    <t>「工数」「予実差」が自動算出されます。</t>
    <rPh sb="1" eb="3">
      <t>コウスウ</t>
    </rPh>
    <rPh sb="5" eb="8">
      <t>ヨジツサ</t>
    </rPh>
    <rPh sb="10" eb="12">
      <t>ジドウ</t>
    </rPh>
    <rPh sb="12" eb="14">
      <t>サンシュツ</t>
    </rPh>
    <phoneticPr fontId="2"/>
  </si>
  <si>
    <t>開始日から終了日まで期間が色づけされます。</t>
    <rPh sb="0" eb="2">
      <t>カイシ</t>
    </rPh>
    <rPh sb="2" eb="3">
      <t>ヒ</t>
    </rPh>
    <rPh sb="5" eb="8">
      <t>シュウリョウビ</t>
    </rPh>
    <rPh sb="10" eb="12">
      <t>キカン</t>
    </rPh>
    <rPh sb="13" eb="14">
      <t>イロ</t>
    </rPh>
    <phoneticPr fontId="2"/>
  </si>
  <si>
    <t>ここで入力した文言が、「工程管理表」シートのセルB12に反映されます。</t>
    <rPh sb="3" eb="5">
      <t>ニュウリョク</t>
    </rPh>
    <phoneticPr fontId="2"/>
  </si>
  <si>
    <t>・・・A</t>
    <phoneticPr fontId="2"/>
  </si>
  <si>
    <t>・・・B</t>
    <phoneticPr fontId="2"/>
  </si>
  <si>
    <t>・・・C</t>
    <phoneticPr fontId="2"/>
  </si>
  <si>
    <t>・・・D</t>
    <phoneticPr fontId="2"/>
  </si>
  <si>
    <t>①</t>
    <phoneticPr fontId="2"/>
  </si>
  <si>
    <t>データ消去</t>
    <rPh sb="3" eb="5">
      <t>ショウキョ</t>
    </rPh>
    <phoneticPr fontId="2"/>
  </si>
  <si>
    <t>「データクリア」をクリックすると、入力した「分類名」「作業名」「担当者名」</t>
    <rPh sb="17" eb="19">
      <t>ニュウリョク</t>
    </rPh>
    <rPh sb="22" eb="24">
      <t>ブンルイ</t>
    </rPh>
    <rPh sb="24" eb="25">
      <t>メイ</t>
    </rPh>
    <rPh sb="27" eb="29">
      <t>サギョウ</t>
    </rPh>
    <rPh sb="29" eb="30">
      <t>メイ</t>
    </rPh>
    <rPh sb="32" eb="34">
      <t>タントウ</t>
    </rPh>
    <rPh sb="34" eb="35">
      <t>シャ</t>
    </rPh>
    <rPh sb="35" eb="36">
      <t>メイ</t>
    </rPh>
    <phoneticPr fontId="2"/>
  </si>
  <si>
    <t>・・・E</t>
    <phoneticPr fontId="2"/>
  </si>
  <si>
    <t>「開始日」「終了日」が消去されます。</t>
    <phoneticPr fontId="2"/>
  </si>
  <si>
    <t>分類名や担当者を入力します。10件まで登録できます。</t>
    <rPh sb="0" eb="2">
      <t>ブンルイ</t>
    </rPh>
    <rPh sb="2" eb="3">
      <t>メイ</t>
    </rPh>
    <rPh sb="4" eb="7">
      <t>タントウシャ</t>
    </rPh>
    <rPh sb="8" eb="10">
      <t>ニュウリョク</t>
    </rPh>
    <rPh sb="16" eb="17">
      <t>ケン</t>
    </rPh>
    <rPh sb="19" eb="21">
      <t>トウロク</t>
    </rPh>
    <phoneticPr fontId="2"/>
  </si>
  <si>
    <t>分類名を「分類名」欄で選択します。</t>
    <rPh sb="0" eb="2">
      <t>ブンルイ</t>
    </rPh>
    <rPh sb="2" eb="3">
      <t>メイ</t>
    </rPh>
    <rPh sb="5" eb="7">
      <t>ブンルイ</t>
    </rPh>
    <rPh sb="7" eb="8">
      <t>ナ</t>
    </rPh>
    <rPh sb="9" eb="10">
      <t>ラン</t>
    </rPh>
    <rPh sb="11" eb="13">
      <t>センタク</t>
    </rPh>
    <phoneticPr fontId="2"/>
  </si>
  <si>
    <t>開発計画書作成</t>
    <phoneticPr fontId="2"/>
  </si>
  <si>
    <t>開発計画書作成</t>
    <phoneticPr fontId="2"/>
  </si>
  <si>
    <t>要件定義書作成</t>
    <phoneticPr fontId="2"/>
  </si>
  <si>
    <t>那須</t>
    <rPh sb="0" eb="2">
      <t>ナス</t>
    </rPh>
    <phoneticPr fontId="2"/>
  </si>
  <si>
    <t>若山</t>
    <rPh sb="0" eb="2">
      <t>ワカヤマ</t>
    </rPh>
    <phoneticPr fontId="2"/>
  </si>
  <si>
    <t>さ</t>
  </si>
  <si>
    <t>SA</t>
    <phoneticPr fontId="2"/>
  </si>
  <si>
    <t>SA</t>
    <phoneticPr fontId="2"/>
  </si>
  <si>
    <t>RD</t>
    <phoneticPr fontId="2"/>
  </si>
  <si>
    <t>FD</t>
    <phoneticPr fontId="2"/>
  </si>
  <si>
    <t>Webアプリ機能設計書作成</t>
    <phoneticPr fontId="2"/>
  </si>
  <si>
    <t>Webアプリ機能設計書レビュー</t>
    <phoneticPr fontId="2"/>
  </si>
  <si>
    <t>Webアプリ機能設計書レビュー指摘対応</t>
    <phoneticPr fontId="2"/>
  </si>
  <si>
    <t>監視端末機能設計書作成</t>
    <phoneticPr fontId="2"/>
  </si>
  <si>
    <t>監視端末機能設計書レビュー</t>
    <phoneticPr fontId="2"/>
  </si>
  <si>
    <t>監視端末機能設計書レビュー指摘対応</t>
    <phoneticPr fontId="2"/>
  </si>
  <si>
    <t>Webアプリ機能評価仕様書作成</t>
    <phoneticPr fontId="2"/>
  </si>
  <si>
    <t>Webアプリ機能評価仕様書レビュー</t>
    <phoneticPr fontId="2"/>
  </si>
  <si>
    <t>Webアプリ機能評価仕様書レビュー指摘対応</t>
    <phoneticPr fontId="2"/>
  </si>
  <si>
    <t>監視端末機能評価仕様書作成</t>
  </si>
  <si>
    <t>SD</t>
    <phoneticPr fontId="2"/>
  </si>
  <si>
    <t>監視端末機能評価仕様書レビュー</t>
    <phoneticPr fontId="2"/>
  </si>
  <si>
    <t>監視端末機能評価仕様書レビュー指摘対応</t>
    <phoneticPr fontId="2"/>
  </si>
  <si>
    <t>Webアプリ構造評価仕様書作成</t>
    <phoneticPr fontId="2"/>
  </si>
  <si>
    <t>Webアプリ構造評価仕様書レビュー</t>
    <phoneticPr fontId="2"/>
  </si>
  <si>
    <t>Webアプリ構造評価仕様書レビュー指摘対応</t>
    <phoneticPr fontId="2"/>
  </si>
  <si>
    <t>監視端末構造評価仕様書作成</t>
    <phoneticPr fontId="2"/>
  </si>
  <si>
    <t>監視端末構造評価仕様書レビュー</t>
    <phoneticPr fontId="2"/>
  </si>
  <si>
    <t>監視端末構造評価仕様書レビュー指摘対応</t>
    <phoneticPr fontId="2"/>
  </si>
  <si>
    <t>DD</t>
    <phoneticPr fontId="2"/>
  </si>
  <si>
    <t>Webアプリ詳細設計書作成</t>
  </si>
  <si>
    <t>Webアプリ詳細設計書レビュー</t>
    <phoneticPr fontId="2"/>
  </si>
  <si>
    <t>Webアプリ詳細設計書レビュー指摘対応</t>
    <rPh sb="15" eb="17">
      <t>シテキ</t>
    </rPh>
    <rPh sb="17" eb="19">
      <t>タイオウ</t>
    </rPh>
    <phoneticPr fontId="2"/>
  </si>
  <si>
    <t>監視端末詳細設計書作成</t>
    <phoneticPr fontId="2"/>
  </si>
  <si>
    <t>監視端末詳細設計書レビュー</t>
    <phoneticPr fontId="2"/>
  </si>
  <si>
    <t>監視端末詳細設計書レビュー指摘対応</t>
    <rPh sb="13" eb="15">
      <t>シテキ</t>
    </rPh>
    <rPh sb="15" eb="17">
      <t>タイオウ</t>
    </rPh>
    <phoneticPr fontId="2"/>
  </si>
  <si>
    <t>Webアプリ詳細評価仕様書作成</t>
    <phoneticPr fontId="2"/>
  </si>
  <si>
    <t>Webアプリ詳細評価仕様書レビュー</t>
  </si>
  <si>
    <t>Webアプリ詳細評価仕様書レビュー指摘対応</t>
    <rPh sb="17" eb="19">
      <t>シテキ</t>
    </rPh>
    <rPh sb="19" eb="21">
      <t>タイオウ</t>
    </rPh>
    <phoneticPr fontId="2"/>
  </si>
  <si>
    <t>監視端末詳細評価仕様書作成</t>
    <phoneticPr fontId="2"/>
  </si>
  <si>
    <t>監視端末詳細評価仕様書レビュー</t>
    <phoneticPr fontId="2"/>
  </si>
  <si>
    <t>監視端末詳細評価仕様書レビュー指摘対応</t>
    <rPh sb="15" eb="17">
      <t>シテキ</t>
    </rPh>
    <rPh sb="17" eb="19">
      <t>タイオウ</t>
    </rPh>
    <phoneticPr fontId="2"/>
  </si>
  <si>
    <t>PG</t>
    <phoneticPr fontId="2"/>
  </si>
  <si>
    <t>PG</t>
    <phoneticPr fontId="2"/>
  </si>
  <si>
    <t>Webアプリ実装</t>
    <phoneticPr fontId="2"/>
  </si>
  <si>
    <t>Webアプリ実装レビュー</t>
    <phoneticPr fontId="2"/>
  </si>
  <si>
    <t>Webアプリ実装レビュー指摘対応</t>
    <rPh sb="12" eb="14">
      <t>シテキ</t>
    </rPh>
    <rPh sb="14" eb="16">
      <t>タイオウ</t>
    </rPh>
    <phoneticPr fontId="2"/>
  </si>
  <si>
    <t>監視端末実装</t>
    <phoneticPr fontId="2"/>
  </si>
  <si>
    <t>監視端末実装レビュー</t>
    <phoneticPr fontId="2"/>
  </si>
  <si>
    <t>監視端末実装レビュー指摘対応</t>
    <rPh sb="10" eb="12">
      <t>シテキ</t>
    </rPh>
    <rPh sb="12" eb="14">
      <t>タイオウ</t>
    </rPh>
    <phoneticPr fontId="2"/>
  </si>
  <si>
    <t>UT</t>
    <phoneticPr fontId="2"/>
  </si>
  <si>
    <t>Webアプリ単体評価実施</t>
    <phoneticPr fontId="2"/>
  </si>
  <si>
    <t>監視端末単体評価実施</t>
    <phoneticPr fontId="2"/>
  </si>
  <si>
    <t>IT</t>
    <phoneticPr fontId="2"/>
  </si>
  <si>
    <t>Webアプリ結合評価実施</t>
    <phoneticPr fontId="2"/>
  </si>
  <si>
    <t>監視端末結合評価実施</t>
    <phoneticPr fontId="2"/>
  </si>
  <si>
    <t>FT</t>
    <phoneticPr fontId="2"/>
  </si>
  <si>
    <t>機能評価実施</t>
    <phoneticPr fontId="2"/>
  </si>
  <si>
    <t>機能評価実施</t>
    <phoneticPr fontId="2"/>
  </si>
  <si>
    <t>伊藤</t>
    <rPh sb="0" eb="2">
      <t>イトウ</t>
    </rPh>
    <phoneticPr fontId="2"/>
  </si>
  <si>
    <t>高澤</t>
    <rPh sb="0" eb="2">
      <t>タカザワ</t>
    </rPh>
    <phoneticPr fontId="2"/>
  </si>
  <si>
    <t>長田</t>
    <rPh sb="0" eb="2">
      <t>ナガタ</t>
    </rPh>
    <phoneticPr fontId="2"/>
  </si>
  <si>
    <t>Webアプリ構造設計書作成</t>
  </si>
  <si>
    <t>Webアプリ構造設計書レビュー</t>
  </si>
  <si>
    <t>Webアプリ構造設計書レビュー指摘対応</t>
  </si>
  <si>
    <t>監視端末構造設計書作成</t>
  </si>
  <si>
    <t>監視端末構造設計書レビュー</t>
  </si>
  <si>
    <t>監視端末構造設計書レビュー指摘対応</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</si>
</sst>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76" formatCode="m/d;@"/>
    <numFmt numFmtId="177" formatCode="0_ ;[Red]\-0\ "/>
  </numFmts>
  <fonts count="23" x14ac:knownFonts="1">
    <font>
      <sz val="11"/>
      <name val="ＭＳ Ｐゴシック"/>
      <family val="3"/>
      <charset val="128"/>
    </font>
    <font>
      <sz val="11"/>
      <name val="ＭＳ Ｐゴシック"/>
      <family val="3"/>
      <charset val="128"/>
    </font>
    <font>
      <sz val="6"/>
      <name val="ＭＳ Ｐゴシック"/>
      <family val="3"/>
      <charset val="128"/>
    </font>
    <font>
      <sz val="11"/>
      <color indexed="9"/>
      <name val="ＭＳ Ｐゴシック"/>
      <family val="3"/>
      <charset val="128"/>
    </font>
    <font>
      <u/>
      <sz val="11"/>
      <color indexed="12"/>
      <name val="ＭＳ Ｐゴシック"/>
      <family val="3"/>
      <charset val="128"/>
    </font>
    <font>
      <sz val="11"/>
      <color indexed="8"/>
      <name val="ＭＳ Ｐゴシック"/>
      <family val="3"/>
      <charset val="128"/>
    </font>
    <font>
      <b/>
      <sz val="11"/>
      <color indexed="8"/>
      <name val="ＭＳ Ｐゴシック"/>
      <family val="3"/>
      <charset val="128"/>
    </font>
    <font>
      <b/>
      <sz val="11"/>
      <name val="ＭＳ Ｐゴシック"/>
      <family val="3"/>
      <charset val="128"/>
    </font>
    <font>
      <b/>
      <sz val="11"/>
      <name val="HGｺﾞｼｯｸM"/>
      <family val="3"/>
      <charset val="128"/>
    </font>
    <font>
      <b/>
      <sz val="12"/>
      <name val="ＭＳ Ｐゴシック"/>
      <family val="3"/>
      <charset val="128"/>
    </font>
    <font>
      <sz val="10"/>
      <name val="HGPｺﾞｼｯｸM"/>
      <family val="3"/>
      <charset val="128"/>
    </font>
    <font>
      <sz val="9"/>
      <name val="HGPｺﾞｼｯｸM"/>
      <family val="3"/>
      <charset val="128"/>
    </font>
    <font>
      <sz val="11"/>
      <name val="HGPｺﾞｼｯｸM"/>
      <family val="3"/>
      <charset val="128"/>
    </font>
    <font>
      <sz val="11"/>
      <color indexed="9"/>
      <name val="HGPｺﾞｼｯｸM"/>
      <family val="3"/>
      <charset val="128"/>
    </font>
    <font>
      <sz val="9"/>
      <color indexed="81"/>
      <name val="ＭＳ Ｐゴシック"/>
      <family val="3"/>
      <charset val="128"/>
    </font>
    <font>
      <sz val="22"/>
      <color indexed="9"/>
      <name val="ＭＳ Ｐゴシック"/>
      <family val="3"/>
      <charset val="128"/>
    </font>
    <font>
      <u/>
      <sz val="12"/>
      <color indexed="12"/>
      <name val="HG丸ｺﾞｼｯｸM-PRO"/>
      <family val="3"/>
      <charset val="128"/>
    </font>
    <font>
      <sz val="12"/>
      <color indexed="9"/>
      <name val="HGｺﾞｼｯｸM"/>
      <family val="3"/>
      <charset val="128"/>
    </font>
    <font>
      <b/>
      <sz val="11"/>
      <name val="MS UI Gothic"/>
      <family val="3"/>
      <charset val="128"/>
    </font>
    <font>
      <sz val="11"/>
      <name val="HGｺﾞｼｯｸM"/>
      <family val="3"/>
      <charset val="128"/>
    </font>
    <font>
      <sz val="18"/>
      <color indexed="9"/>
      <name val="HGSｺﾞｼｯｸE"/>
      <family val="3"/>
      <charset val="128"/>
    </font>
    <font>
      <sz val="12"/>
      <name val="HG丸ｺﾞｼｯｸM-PRO"/>
      <family val="3"/>
      <charset val="128"/>
    </font>
    <font>
      <u/>
      <sz val="11"/>
      <color indexed="12"/>
      <name val="HG丸ｺﾞｼｯｸM-PRO"/>
      <family val="3"/>
      <charset val="128"/>
    </font>
  </fonts>
  <fills count="5">
    <fill>
      <patternFill patternType="none"/>
    </fill>
    <fill>
      <patternFill patternType="gray125"/>
    </fill>
    <fill>
      <patternFill patternType="solid">
        <fgColor indexed="43"/>
        <bgColor indexed="64"/>
      </patternFill>
    </fill>
    <fill>
      <patternFill patternType="solid">
        <fgColor indexed="62"/>
        <bgColor indexed="64"/>
      </patternFill>
    </fill>
    <fill>
      <patternFill patternType="solid">
        <fgColor indexed="8"/>
        <bgColor indexed="64"/>
      </patternFill>
    </fill>
  </fills>
  <borders count="67">
    <border>
      <left/>
      <right/>
      <top/>
      <bottom/>
      <diagonal/>
    </border>
    <border>
      <left style="thin">
        <color indexed="23"/>
      </left>
      <right style="thin">
        <color indexed="23"/>
      </right>
      <top style="thin">
        <color indexed="23"/>
      </top>
      <bottom style="thin">
        <color indexed="23"/>
      </bottom>
      <diagonal/>
    </border>
    <border>
      <left style="thin">
        <color indexed="64"/>
      </left>
      <right style="thin">
        <color indexed="64"/>
      </right>
      <top style="thin">
        <color indexed="64"/>
      </top>
      <bottom style="thin">
        <color indexed="64"/>
      </bottom>
      <diagonal/>
    </border>
    <border>
      <left style="thin">
        <color indexed="63"/>
      </left>
      <right style="hair">
        <color indexed="64"/>
      </right>
      <top style="thin">
        <color indexed="63"/>
      </top>
      <bottom style="hair">
        <color indexed="64"/>
      </bottom>
      <diagonal/>
    </border>
    <border>
      <left style="hair">
        <color indexed="64"/>
      </left>
      <right style="thin">
        <color indexed="63"/>
      </right>
      <top style="thin">
        <color indexed="63"/>
      </top>
      <bottom style="hair">
        <color indexed="64"/>
      </bottom>
      <diagonal/>
    </border>
    <border>
      <left style="thin">
        <color indexed="63"/>
      </left>
      <right style="hair">
        <color indexed="64"/>
      </right>
      <top style="hair">
        <color indexed="64"/>
      </top>
      <bottom style="hair">
        <color indexed="64"/>
      </bottom>
      <diagonal/>
    </border>
    <border>
      <left style="hair">
        <color indexed="64"/>
      </left>
      <right style="thin">
        <color indexed="63"/>
      </right>
      <top style="hair">
        <color indexed="64"/>
      </top>
      <bottom style="hair">
        <color indexed="64"/>
      </bottom>
      <diagonal/>
    </border>
    <border>
      <left style="thin">
        <color indexed="63"/>
      </left>
      <right style="hair">
        <color indexed="64"/>
      </right>
      <top style="hair">
        <color indexed="64"/>
      </top>
      <bottom style="thin">
        <color indexed="63"/>
      </bottom>
      <diagonal/>
    </border>
    <border>
      <left style="hair">
        <color indexed="64"/>
      </left>
      <right style="thin">
        <color indexed="63"/>
      </right>
      <top style="hair">
        <color indexed="64"/>
      </top>
      <bottom style="thin">
        <color indexed="63"/>
      </bottom>
      <diagonal/>
    </border>
    <border>
      <left style="thin">
        <color indexed="63"/>
      </left>
      <right style="thin">
        <color indexed="63"/>
      </right>
      <top style="thin">
        <color indexed="63"/>
      </top>
      <bottom style="thin">
        <color indexed="64"/>
      </bottom>
      <diagonal/>
    </border>
    <border>
      <left style="thin">
        <color indexed="63"/>
      </left>
      <right style="thin">
        <color indexed="64"/>
      </right>
      <top style="thin">
        <color indexed="63"/>
      </top>
      <bottom style="thin">
        <color indexed="64"/>
      </bottom>
      <diagonal/>
    </border>
    <border>
      <left style="thin">
        <color indexed="64"/>
      </left>
      <right style="hair">
        <color indexed="64"/>
      </right>
      <top style="thin">
        <color indexed="63"/>
      </top>
      <bottom style="thin">
        <color indexed="64"/>
      </bottom>
      <diagonal/>
    </border>
    <border>
      <left style="hair">
        <color indexed="64"/>
      </left>
      <right style="hair">
        <color indexed="64"/>
      </right>
      <top style="thin">
        <color indexed="63"/>
      </top>
      <bottom style="thin">
        <color indexed="64"/>
      </bottom>
      <diagonal/>
    </border>
    <border>
      <left style="thin">
        <color indexed="63"/>
      </left>
      <right style="thin">
        <color indexed="63"/>
      </right>
      <top style="thin">
        <color indexed="64"/>
      </top>
      <bottom/>
      <diagonal/>
    </border>
    <border>
      <left style="thin">
        <color indexed="63"/>
      </left>
      <right style="thin">
        <color indexed="63"/>
      </right>
      <top/>
      <bottom/>
      <diagonal/>
    </border>
    <border>
      <left style="thin">
        <color indexed="63"/>
      </left>
      <right style="thin">
        <color indexed="63"/>
      </right>
      <top/>
      <bottom style="hair">
        <color indexed="64"/>
      </bottom>
      <diagonal/>
    </border>
    <border>
      <left style="thin">
        <color indexed="63"/>
      </left>
      <right style="thin">
        <color indexed="64"/>
      </right>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3"/>
      </right>
      <top/>
      <bottom style="hair">
        <color indexed="64"/>
      </bottom>
      <diagonal/>
    </border>
    <border>
      <left style="thin">
        <color indexed="63"/>
      </left>
      <right style="thin">
        <color indexed="63"/>
      </right>
      <top/>
      <bottom style="thin">
        <color indexed="64"/>
      </bottom>
      <diagonal/>
    </border>
    <border>
      <left style="thin">
        <color indexed="63"/>
      </left>
      <right style="thin">
        <color indexed="63"/>
      </right>
      <top style="hair">
        <color indexed="64"/>
      </top>
      <bottom/>
      <diagonal/>
    </border>
    <border>
      <left style="thin">
        <color indexed="63"/>
      </left>
      <right style="thin">
        <color indexed="64"/>
      </right>
      <top style="hair">
        <color indexed="64"/>
      </top>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3"/>
      </right>
      <top style="hair">
        <color indexed="64"/>
      </top>
      <bottom/>
      <diagonal/>
    </border>
    <border>
      <left style="thin">
        <color indexed="63"/>
      </left>
      <right style="thin">
        <color indexed="63"/>
      </right>
      <top style="thin">
        <color indexed="64"/>
      </top>
      <bottom style="hair">
        <color indexed="64"/>
      </bottom>
      <diagonal/>
    </border>
    <border>
      <left style="thin">
        <color indexed="63"/>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3"/>
      </right>
      <top style="thin">
        <color indexed="64"/>
      </top>
      <bottom style="hair">
        <color indexed="64"/>
      </bottom>
      <diagonal/>
    </border>
    <border>
      <left style="thin">
        <color indexed="63"/>
      </left>
      <right style="thin">
        <color indexed="63"/>
      </right>
      <top style="hair">
        <color indexed="64"/>
      </top>
      <bottom style="thin">
        <color indexed="64"/>
      </bottom>
      <diagonal/>
    </border>
    <border>
      <left style="thin">
        <color indexed="63"/>
      </left>
      <right style="thin">
        <color indexed="64"/>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3"/>
      </right>
      <top style="hair">
        <color indexed="64"/>
      </top>
      <bottom style="thin">
        <color indexed="64"/>
      </bottom>
      <diagonal/>
    </border>
    <border>
      <left style="thin">
        <color indexed="63"/>
      </left>
      <right style="thin">
        <color indexed="63"/>
      </right>
      <top style="hair">
        <color indexed="64"/>
      </top>
      <bottom style="thin">
        <color indexed="63"/>
      </bottom>
      <diagonal/>
    </border>
    <border>
      <left style="thin">
        <color indexed="63"/>
      </left>
      <right style="thin">
        <color indexed="64"/>
      </right>
      <top style="hair">
        <color indexed="64"/>
      </top>
      <bottom style="thin">
        <color indexed="63"/>
      </bottom>
      <diagonal/>
    </border>
    <border>
      <left style="thin">
        <color indexed="64"/>
      </left>
      <right style="hair">
        <color indexed="64"/>
      </right>
      <top style="hair">
        <color indexed="64"/>
      </top>
      <bottom style="thin">
        <color indexed="63"/>
      </bottom>
      <diagonal/>
    </border>
    <border>
      <left style="hair">
        <color indexed="64"/>
      </left>
      <right style="hair">
        <color indexed="64"/>
      </right>
      <top style="hair">
        <color indexed="64"/>
      </top>
      <bottom style="thin">
        <color indexed="63"/>
      </bottom>
      <diagonal/>
    </border>
    <border>
      <left style="thin">
        <color indexed="23"/>
      </left>
      <right style="thin">
        <color indexed="23"/>
      </right>
      <top style="thin">
        <color indexed="23"/>
      </top>
      <bottom style="dotted">
        <color indexed="23"/>
      </bottom>
      <diagonal/>
    </border>
    <border>
      <left style="thin">
        <color indexed="23"/>
      </left>
      <right style="thin">
        <color indexed="23"/>
      </right>
      <top style="dotted">
        <color indexed="23"/>
      </top>
      <bottom style="dotted">
        <color indexed="23"/>
      </bottom>
      <diagonal/>
    </border>
    <border>
      <left style="thin">
        <color indexed="23"/>
      </left>
      <right style="thin">
        <color indexed="23"/>
      </right>
      <top style="dotted">
        <color indexed="23"/>
      </top>
      <bottom style="thin">
        <color indexed="23"/>
      </bottom>
      <diagonal/>
    </border>
    <border>
      <left/>
      <right/>
      <top style="thin">
        <color indexed="23"/>
      </top>
      <bottom/>
      <diagonal/>
    </border>
    <border>
      <left/>
      <right style="thin">
        <color indexed="23"/>
      </right>
      <top style="thin">
        <color indexed="23"/>
      </top>
      <bottom/>
      <diagonal/>
    </border>
    <border>
      <left/>
      <right/>
      <top/>
      <bottom style="thin">
        <color indexed="23"/>
      </bottom>
      <diagonal/>
    </border>
    <border>
      <left/>
      <right style="thin">
        <color indexed="23"/>
      </right>
      <top/>
      <bottom style="thin">
        <color indexed="23"/>
      </bottom>
      <diagonal/>
    </border>
    <border>
      <left/>
      <right/>
      <top style="thin">
        <color indexed="23"/>
      </top>
      <bottom style="thin">
        <color indexed="23"/>
      </bottom>
      <diagonal/>
    </border>
    <border>
      <left style="thin">
        <color indexed="23"/>
      </left>
      <right style="hair">
        <color indexed="23"/>
      </right>
      <top style="thin">
        <color indexed="23"/>
      </top>
      <bottom style="hair">
        <color indexed="23"/>
      </bottom>
      <diagonal/>
    </border>
    <border>
      <left style="hair">
        <color indexed="23"/>
      </left>
      <right style="thin">
        <color indexed="23"/>
      </right>
      <top style="thin">
        <color indexed="23"/>
      </top>
      <bottom style="hair">
        <color indexed="23"/>
      </bottom>
      <diagonal/>
    </border>
    <border>
      <left style="thin">
        <color indexed="23"/>
      </left>
      <right style="hair">
        <color indexed="23"/>
      </right>
      <top/>
      <bottom style="hair">
        <color indexed="23"/>
      </bottom>
      <diagonal/>
    </border>
    <border>
      <left style="hair">
        <color indexed="23"/>
      </left>
      <right style="thin">
        <color indexed="23"/>
      </right>
      <top/>
      <bottom style="hair">
        <color indexed="23"/>
      </bottom>
      <diagonal/>
    </border>
    <border>
      <left style="thin">
        <color indexed="23"/>
      </left>
      <right style="hair">
        <color indexed="23"/>
      </right>
      <top style="hair">
        <color indexed="23"/>
      </top>
      <bottom style="hair">
        <color indexed="23"/>
      </bottom>
      <diagonal/>
    </border>
    <border>
      <left style="hair">
        <color indexed="23"/>
      </left>
      <right style="thin">
        <color indexed="23"/>
      </right>
      <top style="hair">
        <color indexed="23"/>
      </top>
      <bottom style="hair">
        <color indexed="23"/>
      </bottom>
      <diagonal/>
    </border>
    <border>
      <left style="thin">
        <color indexed="23"/>
      </left>
      <right style="hair">
        <color indexed="23"/>
      </right>
      <top/>
      <bottom/>
      <diagonal/>
    </border>
    <border>
      <left style="hair">
        <color indexed="23"/>
      </left>
      <right style="thin">
        <color indexed="23"/>
      </right>
      <top/>
      <bottom/>
      <diagonal/>
    </border>
    <border>
      <left style="thin">
        <color indexed="23"/>
      </left>
      <right style="hair">
        <color indexed="23"/>
      </right>
      <top style="hair">
        <color indexed="23"/>
      </top>
      <bottom style="thin">
        <color indexed="23"/>
      </bottom>
      <diagonal/>
    </border>
    <border>
      <left style="hair">
        <color indexed="23"/>
      </left>
      <right style="thin">
        <color indexed="23"/>
      </right>
      <top style="hair">
        <color indexed="23"/>
      </top>
      <bottom style="thin">
        <color indexed="23"/>
      </bottom>
      <diagonal/>
    </border>
    <border>
      <left style="thin">
        <color indexed="23"/>
      </left>
      <right style="hair">
        <color indexed="23"/>
      </right>
      <top style="thin">
        <color indexed="23"/>
      </top>
      <bottom style="thin">
        <color indexed="23"/>
      </bottom>
      <diagonal/>
    </border>
    <border>
      <left style="hair">
        <color indexed="23"/>
      </left>
      <right style="thin">
        <color indexed="23"/>
      </right>
      <top style="thin">
        <color indexed="23"/>
      </top>
      <bottom style="thin">
        <color indexed="23"/>
      </bottom>
      <diagonal/>
    </border>
    <border>
      <left style="double">
        <color indexed="9"/>
      </left>
      <right/>
      <top style="double">
        <color indexed="9"/>
      </top>
      <bottom style="double">
        <color indexed="9"/>
      </bottom>
      <diagonal/>
    </border>
    <border>
      <left/>
      <right/>
      <top style="double">
        <color indexed="9"/>
      </top>
      <bottom style="double">
        <color indexed="9"/>
      </bottom>
      <diagonal/>
    </border>
    <border>
      <left/>
      <right style="double">
        <color indexed="9"/>
      </right>
      <top style="double">
        <color indexed="9"/>
      </top>
      <bottom style="double">
        <color indexed="9"/>
      </bottom>
      <diagonal/>
    </border>
    <border>
      <left style="thin">
        <color indexed="23"/>
      </left>
      <right/>
      <top style="thin">
        <color indexed="23"/>
      </top>
      <bottom/>
      <diagonal/>
    </border>
    <border>
      <left style="thin">
        <color indexed="23"/>
      </left>
      <right/>
      <top/>
      <bottom style="thin">
        <color indexed="23"/>
      </bottom>
      <diagonal/>
    </border>
    <border>
      <left style="thin">
        <color indexed="23"/>
      </left>
      <right style="thin">
        <color indexed="23"/>
      </right>
      <top style="thin">
        <color indexed="23"/>
      </top>
      <bottom/>
      <diagonal/>
    </border>
    <border>
      <left style="thin">
        <color indexed="23"/>
      </left>
      <right style="thin">
        <color indexed="23"/>
      </right>
      <top/>
      <bottom/>
      <diagonal/>
    </border>
  </borders>
  <cellStyleXfs count="8">
    <xf numFmtId="0" fontId="0" fillId="0" borderId="0">
      <alignment vertical="center"/>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38"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xf numFmtId="0" fontId="5" fillId="0" borderId="0">
      <alignment vertical="center"/>
    </xf>
  </cellStyleXfs>
  <cellXfs count="133">
    <xf numFmtId="0" fontId="0" fillId="0" borderId="0" xfId="0">
      <alignment vertical="center"/>
    </xf>
    <xf numFmtId="0" fontId="0" fillId="0" borderId="0" xfId="0" applyProtection="1">
      <alignment vertical="center"/>
    </xf>
    <xf numFmtId="0" fontId="7" fillId="0" borderId="0" xfId="0" applyFont="1" applyProtection="1">
      <alignment vertical="center"/>
    </xf>
    <xf numFmtId="0" fontId="8" fillId="0" borderId="2" xfId="0" applyFont="1" applyBorder="1" applyAlignment="1" applyProtection="1">
      <alignment horizontal="center" vertical="center"/>
    </xf>
    <xf numFmtId="31" fontId="9" fillId="0" borderId="2" xfId="0" applyNumberFormat="1" applyFont="1" applyBorder="1" applyProtection="1">
      <alignment vertical="center"/>
      <protection locked="0"/>
    </xf>
    <xf numFmtId="31" fontId="0" fillId="0" borderId="0" xfId="0" applyNumberFormat="1" applyBorder="1" applyProtection="1">
      <alignment vertical="center"/>
    </xf>
    <xf numFmtId="31" fontId="0" fillId="0" borderId="0" xfId="0" applyNumberFormat="1" applyProtection="1">
      <alignment vertical="center"/>
    </xf>
    <xf numFmtId="31" fontId="9" fillId="0" borderId="0" xfId="0" applyNumberFormat="1" applyFont="1" applyBorder="1" applyProtection="1">
      <alignment vertical="center"/>
      <protection locked="0"/>
    </xf>
    <xf numFmtId="0" fontId="8" fillId="0" borderId="3" xfId="0" applyFont="1" applyBorder="1" applyAlignment="1" applyProtection="1">
      <alignment horizontal="center" vertical="center"/>
      <protection hidden="1"/>
    </xf>
    <xf numFmtId="177" fontId="7" fillId="0" borderId="4" xfId="0" applyNumberFormat="1" applyFont="1" applyBorder="1" applyProtection="1">
      <alignment vertical="center"/>
      <protection hidden="1"/>
    </xf>
    <xf numFmtId="0" fontId="8" fillId="0" borderId="5" xfId="0" applyFont="1" applyBorder="1" applyAlignment="1" applyProtection="1">
      <alignment horizontal="center" vertical="center"/>
      <protection hidden="1"/>
    </xf>
    <xf numFmtId="177" fontId="7" fillId="0" borderId="6" xfId="0" applyNumberFormat="1" applyFont="1" applyBorder="1" applyProtection="1">
      <alignment vertical="center"/>
      <protection hidden="1"/>
    </xf>
    <xf numFmtId="0" fontId="8" fillId="0" borderId="7" xfId="0" applyFont="1" applyBorder="1" applyAlignment="1" applyProtection="1">
      <alignment horizontal="center" vertical="center"/>
      <protection hidden="1"/>
    </xf>
    <xf numFmtId="177" fontId="7" fillId="0" borderId="8" xfId="0" applyNumberFormat="1" applyFont="1" applyBorder="1" applyProtection="1">
      <alignment vertical="center"/>
      <protection hidden="1"/>
    </xf>
    <xf numFmtId="0" fontId="8" fillId="0" borderId="0" xfId="0" applyFont="1" applyBorder="1" applyAlignment="1" applyProtection="1">
      <alignment horizontal="center" vertical="center"/>
      <protection hidden="1"/>
    </xf>
    <xf numFmtId="177" fontId="7" fillId="0" borderId="0" xfId="0" applyNumberFormat="1" applyFont="1" applyBorder="1" applyProtection="1">
      <alignment vertical="center"/>
      <protection hidden="1"/>
    </xf>
    <xf numFmtId="0" fontId="10" fillId="2" borderId="9" xfId="0" applyFont="1" applyFill="1" applyBorder="1" applyProtection="1">
      <alignment vertical="center"/>
    </xf>
    <xf numFmtId="0" fontId="10" fillId="2" borderId="9" xfId="0" applyFont="1" applyFill="1" applyBorder="1" applyAlignment="1" applyProtection="1">
      <alignment horizontal="center" vertical="center"/>
    </xf>
    <xf numFmtId="0" fontId="10" fillId="2" borderId="9" xfId="0" applyFont="1" applyFill="1" applyBorder="1" applyAlignment="1" applyProtection="1">
      <alignment horizontal="center" vertical="center" wrapText="1"/>
    </xf>
    <xf numFmtId="0" fontId="10" fillId="2" borderId="10" xfId="0" applyFont="1" applyFill="1" applyBorder="1" applyAlignment="1" applyProtection="1">
      <alignment horizontal="center" vertical="center" wrapText="1"/>
    </xf>
    <xf numFmtId="176" fontId="11" fillId="2" borderId="11" xfId="0" applyNumberFormat="1" applyFont="1" applyFill="1" applyBorder="1" applyAlignment="1" applyProtection="1">
      <alignment horizontal="center" vertical="center"/>
    </xf>
    <xf numFmtId="176" fontId="11" fillId="2" borderId="12" xfId="0" applyNumberFormat="1" applyFont="1" applyFill="1" applyBorder="1" applyAlignment="1" applyProtection="1">
      <alignment horizontal="center" vertical="center"/>
    </xf>
    <xf numFmtId="0" fontId="0" fillId="0" borderId="0" xfId="0" applyBorder="1" applyProtection="1">
      <alignment vertical="center"/>
    </xf>
    <xf numFmtId="0" fontId="0" fillId="0" borderId="13" xfId="0" applyBorder="1" applyAlignment="1" applyProtection="1">
      <alignment vertical="center"/>
    </xf>
    <xf numFmtId="0" fontId="0" fillId="0" borderId="14" xfId="0" applyBorder="1" applyAlignment="1" applyProtection="1">
      <alignment vertical="center"/>
      <protection locked="0"/>
    </xf>
    <xf numFmtId="0" fontId="12" fillId="0" borderId="14" xfId="0" applyFont="1" applyBorder="1" applyAlignment="1" applyProtection="1">
      <alignment vertical="center"/>
      <protection locked="0"/>
    </xf>
    <xf numFmtId="0" fontId="12" fillId="0" borderId="14" xfId="0" applyFont="1" applyBorder="1" applyAlignment="1" applyProtection="1">
      <alignment horizontal="center" vertical="center"/>
      <protection locked="0"/>
    </xf>
    <xf numFmtId="0" fontId="12" fillId="0" borderId="15" xfId="0" applyFont="1" applyBorder="1" applyAlignment="1" applyProtection="1">
      <alignment horizontal="center" vertical="center"/>
    </xf>
    <xf numFmtId="176" fontId="0" fillId="0" borderId="15" xfId="0" applyNumberFormat="1" applyBorder="1" applyProtection="1">
      <alignment vertical="center"/>
      <protection locked="0"/>
    </xf>
    <xf numFmtId="177" fontId="0" fillId="0" borderId="15" xfId="0" applyNumberFormat="1" applyBorder="1" applyProtection="1">
      <alignment vertical="center"/>
    </xf>
    <xf numFmtId="177" fontId="0" fillId="0" borderId="16" xfId="0" applyNumberFormat="1" applyBorder="1" applyProtection="1">
      <alignment vertical="center"/>
    </xf>
    <xf numFmtId="0" fontId="0" fillId="0" borderId="17" xfId="0" applyFill="1" applyBorder="1" applyProtection="1">
      <alignment vertical="center"/>
    </xf>
    <xf numFmtId="0" fontId="0" fillId="0" borderId="18" xfId="0" applyFill="1" applyBorder="1" applyProtection="1">
      <alignment vertical="center"/>
    </xf>
    <xf numFmtId="0" fontId="0" fillId="0" borderId="18" xfId="0" applyBorder="1" applyProtection="1">
      <alignment vertical="center"/>
    </xf>
    <xf numFmtId="0" fontId="0" fillId="0" borderId="19" xfId="0" applyBorder="1" applyProtection="1">
      <alignment vertical="center"/>
    </xf>
    <xf numFmtId="0" fontId="3" fillId="0" borderId="20" xfId="0" applyFont="1" applyBorder="1" applyAlignment="1" applyProtection="1">
      <alignment vertical="center"/>
      <protection hidden="1"/>
    </xf>
    <xf numFmtId="0" fontId="13" fillId="0" borderId="20" xfId="0" applyFont="1" applyBorder="1" applyAlignment="1" applyProtection="1">
      <alignment vertical="center"/>
      <protection hidden="1"/>
    </xf>
    <xf numFmtId="0" fontId="13" fillId="0" borderId="20" xfId="0" applyFont="1" applyBorder="1" applyAlignment="1" applyProtection="1">
      <alignment horizontal="center" vertical="center"/>
      <protection hidden="1"/>
    </xf>
    <xf numFmtId="0" fontId="12" fillId="0" borderId="21" xfId="0" applyFont="1" applyBorder="1" applyAlignment="1" applyProtection="1">
      <alignment horizontal="center" vertical="center"/>
    </xf>
    <xf numFmtId="176" fontId="0" fillId="0" borderId="21" xfId="0" applyNumberFormat="1" applyBorder="1" applyProtection="1">
      <alignment vertical="center"/>
      <protection locked="0"/>
    </xf>
    <xf numFmtId="177" fontId="0" fillId="0" borderId="22" xfId="0" applyNumberFormat="1" applyBorder="1" applyProtection="1">
      <alignment vertical="center"/>
    </xf>
    <xf numFmtId="0" fontId="0" fillId="0" borderId="23" xfId="0" applyFill="1" applyBorder="1" applyProtection="1">
      <alignment vertical="center"/>
    </xf>
    <xf numFmtId="0" fontId="0" fillId="0" borderId="24" xfId="0" applyFill="1" applyBorder="1" applyProtection="1">
      <alignment vertical="center"/>
    </xf>
    <xf numFmtId="0" fontId="0" fillId="0" borderId="24" xfId="0" applyBorder="1" applyProtection="1">
      <alignment vertical="center"/>
    </xf>
    <xf numFmtId="0" fontId="0" fillId="0" borderId="25" xfId="0" applyBorder="1" applyProtection="1">
      <alignment vertical="center"/>
    </xf>
    <xf numFmtId="0" fontId="12" fillId="0" borderId="13" xfId="0" applyFont="1" applyBorder="1" applyAlignment="1" applyProtection="1">
      <alignment vertical="center"/>
      <protection locked="0"/>
    </xf>
    <xf numFmtId="0" fontId="12" fillId="0" borderId="26" xfId="0" applyFont="1" applyBorder="1" applyAlignment="1" applyProtection="1">
      <alignment horizontal="center" vertical="center"/>
    </xf>
    <xf numFmtId="176" fontId="0" fillId="0" borderId="26" xfId="0" applyNumberFormat="1" applyBorder="1" applyProtection="1">
      <alignment vertical="center"/>
      <protection locked="0"/>
    </xf>
    <xf numFmtId="177" fontId="0" fillId="0" borderId="27" xfId="0" applyNumberFormat="1" applyBorder="1" applyProtection="1">
      <alignment vertical="center"/>
    </xf>
    <xf numFmtId="0" fontId="0" fillId="0" borderId="28" xfId="0" applyFill="1" applyBorder="1" applyProtection="1">
      <alignment vertical="center"/>
    </xf>
    <xf numFmtId="0" fontId="0" fillId="0" borderId="29" xfId="0" applyFill="1" applyBorder="1" applyProtection="1">
      <alignment vertical="center"/>
    </xf>
    <xf numFmtId="0" fontId="0" fillId="0" borderId="29" xfId="0" applyBorder="1" applyProtection="1">
      <alignment vertical="center"/>
    </xf>
    <xf numFmtId="0" fontId="0" fillId="0" borderId="30" xfId="0" applyBorder="1" applyProtection="1">
      <alignment vertical="center"/>
    </xf>
    <xf numFmtId="0" fontId="12" fillId="0" borderId="31" xfId="0" applyFont="1" applyBorder="1" applyAlignment="1" applyProtection="1">
      <alignment horizontal="center" vertical="center"/>
    </xf>
    <xf numFmtId="176" fontId="0" fillId="0" borderId="31" xfId="0" applyNumberFormat="1" applyBorder="1" applyProtection="1">
      <alignment vertical="center"/>
      <protection locked="0"/>
    </xf>
    <xf numFmtId="177" fontId="0" fillId="0" borderId="31" xfId="0" applyNumberFormat="1" applyBorder="1" applyProtection="1">
      <alignment vertical="center"/>
    </xf>
    <xf numFmtId="177" fontId="0" fillId="0" borderId="32" xfId="0" applyNumberFormat="1" applyBorder="1" applyProtection="1">
      <alignment vertical="center"/>
    </xf>
    <xf numFmtId="0" fontId="0" fillId="0" borderId="33" xfId="0" applyFill="1" applyBorder="1" applyProtection="1">
      <alignment vertical="center"/>
    </xf>
    <xf numFmtId="0" fontId="0" fillId="0" borderId="34" xfId="0" applyFill="1" applyBorder="1" applyProtection="1">
      <alignment vertical="center"/>
    </xf>
    <xf numFmtId="0" fontId="0" fillId="0" borderId="34" xfId="0" applyBorder="1" applyProtection="1">
      <alignment vertical="center"/>
    </xf>
    <xf numFmtId="0" fontId="0" fillId="0" borderId="35" xfId="0" applyBorder="1" applyProtection="1">
      <alignment vertical="center"/>
    </xf>
    <xf numFmtId="0" fontId="12" fillId="0" borderId="36" xfId="0" applyFont="1" applyBorder="1" applyAlignment="1" applyProtection="1">
      <alignment horizontal="center" vertical="center"/>
    </xf>
    <xf numFmtId="176" fontId="0" fillId="0" borderId="36" xfId="0" applyNumberFormat="1" applyBorder="1" applyProtection="1">
      <alignment vertical="center"/>
      <protection locked="0"/>
    </xf>
    <xf numFmtId="177" fontId="0" fillId="0" borderId="36" xfId="0" applyNumberFormat="1" applyBorder="1" applyProtection="1">
      <alignment vertical="center"/>
    </xf>
    <xf numFmtId="177" fontId="0" fillId="0" borderId="37" xfId="0" applyNumberFormat="1" applyBorder="1" applyProtection="1">
      <alignment vertical="center"/>
    </xf>
    <xf numFmtId="0" fontId="0" fillId="0" borderId="38" xfId="0" applyFill="1" applyBorder="1" applyProtection="1">
      <alignment vertical="center"/>
    </xf>
    <xf numFmtId="0" fontId="0" fillId="0" borderId="39" xfId="0" applyFill="1" applyBorder="1" applyProtection="1">
      <alignment vertical="center"/>
    </xf>
    <xf numFmtId="0" fontId="0" fillId="0" borderId="39" xfId="0" applyBorder="1" applyProtection="1">
      <alignment vertical="center"/>
    </xf>
    <xf numFmtId="0" fontId="0" fillId="0" borderId="8" xfId="0" applyBorder="1" applyProtection="1">
      <alignment vertical="center"/>
    </xf>
    <xf numFmtId="0" fontId="13" fillId="3" borderId="40" xfId="0" applyFont="1" applyFill="1" applyBorder="1" applyAlignment="1">
      <alignment horizontal="center" vertical="center"/>
    </xf>
    <xf numFmtId="0" fontId="0" fillId="0" borderId="0" xfId="0" applyBorder="1" applyAlignment="1" applyProtection="1">
      <alignment vertical="center"/>
    </xf>
    <xf numFmtId="0" fontId="0" fillId="0" borderId="41" xfId="0" applyBorder="1" applyProtection="1">
      <alignment vertical="center"/>
      <protection locked="0"/>
    </xf>
    <xf numFmtId="0" fontId="0" fillId="0" borderId="42" xfId="0" applyBorder="1" applyProtection="1">
      <alignment vertical="center"/>
      <protection locked="0"/>
    </xf>
    <xf numFmtId="0" fontId="5" fillId="0" borderId="0" xfId="7">
      <alignment vertical="center"/>
    </xf>
    <xf numFmtId="0" fontId="16" fillId="0" borderId="0" xfId="2" applyFont="1" applyAlignment="1" applyProtection="1">
      <alignment vertical="center"/>
    </xf>
    <xf numFmtId="0" fontId="0" fillId="0" borderId="43" xfId="7" applyFont="1" applyBorder="1" applyAlignment="1">
      <alignment horizontal="left" vertical="center" indent="1"/>
    </xf>
    <xf numFmtId="0" fontId="3" fillId="0" borderId="44" xfId="7" applyFont="1" applyBorder="1">
      <alignment vertical="center"/>
    </xf>
    <xf numFmtId="0" fontId="0" fillId="0" borderId="45" xfId="7" applyFont="1" applyBorder="1" applyAlignment="1">
      <alignment horizontal="left" vertical="center" indent="1"/>
    </xf>
    <xf numFmtId="0" fontId="3" fillId="0" borderId="46" xfId="7" applyFont="1" applyBorder="1">
      <alignment vertical="center"/>
    </xf>
    <xf numFmtId="0" fontId="17" fillId="0" borderId="47" xfId="7" applyFont="1" applyFill="1" applyBorder="1" applyAlignment="1">
      <alignment horizontal="center" vertical="center"/>
    </xf>
    <xf numFmtId="0" fontId="3" fillId="0" borderId="0" xfId="7" applyFont="1" applyBorder="1" applyAlignment="1">
      <alignment horizontal="left" vertical="center" indent="1"/>
    </xf>
    <xf numFmtId="0" fontId="3" fillId="0" borderId="47" xfId="7" applyFont="1" applyBorder="1">
      <alignment vertical="center"/>
    </xf>
    <xf numFmtId="0" fontId="1" fillId="0" borderId="48" xfId="7" applyFont="1" applyBorder="1" applyAlignment="1">
      <alignment horizontal="left" vertical="center" wrapText="1" indent="1"/>
    </xf>
    <xf numFmtId="0" fontId="0" fillId="0" borderId="49" xfId="7" applyFont="1" applyBorder="1" applyAlignment="1">
      <alignment horizontal="left" vertical="center" wrapText="1" indent="1"/>
    </xf>
    <xf numFmtId="0" fontId="0" fillId="0" borderId="50" xfId="7" applyFont="1" applyBorder="1" applyAlignment="1">
      <alignment horizontal="left" vertical="center" wrapText="1" indent="1"/>
    </xf>
    <xf numFmtId="0" fontId="0" fillId="0" borderId="51" xfId="7" applyFont="1" applyBorder="1" applyAlignment="1">
      <alignment horizontal="left" vertical="center" wrapText="1" indent="1"/>
    </xf>
    <xf numFmtId="0" fontId="0" fillId="0" borderId="52" xfId="7" applyFont="1" applyBorder="1" applyAlignment="1">
      <alignment horizontal="left" vertical="center" wrapText="1" indent="1"/>
    </xf>
    <xf numFmtId="0" fontId="0" fillId="0" borderId="53" xfId="7" applyFont="1" applyBorder="1" applyAlignment="1">
      <alignment horizontal="left" vertical="center" wrapText="1" indent="1"/>
    </xf>
    <xf numFmtId="0" fontId="0" fillId="0" borderId="54" xfId="7" applyFont="1" applyBorder="1" applyAlignment="1">
      <alignment horizontal="left" vertical="center" wrapText="1" indent="1"/>
    </xf>
    <xf numFmtId="0" fontId="0" fillId="0" borderId="55" xfId="7" applyFont="1" applyBorder="1" applyAlignment="1">
      <alignment horizontal="left" vertical="center" wrapText="1" indent="1"/>
    </xf>
    <xf numFmtId="0" fontId="0" fillId="0" borderId="56" xfId="7" applyFont="1" applyBorder="1" applyAlignment="1">
      <alignment horizontal="left" vertical="center" wrapText="1" indent="1"/>
    </xf>
    <xf numFmtId="0" fontId="0" fillId="0" borderId="57" xfId="7" applyFont="1" applyBorder="1" applyAlignment="1">
      <alignment horizontal="left" vertical="center" wrapText="1" indent="1"/>
    </xf>
    <xf numFmtId="0" fontId="1" fillId="0" borderId="0" xfId="7" applyFont="1">
      <alignment vertical="center"/>
    </xf>
    <xf numFmtId="0" fontId="6" fillId="0" borderId="0" xfId="7" applyFont="1">
      <alignment vertical="center"/>
    </xf>
    <xf numFmtId="0" fontId="5" fillId="0" borderId="0" xfId="7" applyAlignment="1">
      <alignment horizontal="center" vertical="center"/>
    </xf>
    <xf numFmtId="0" fontId="5" fillId="0" borderId="0" xfId="7" applyAlignment="1">
      <alignment horizontal="right" vertical="center"/>
    </xf>
    <xf numFmtId="0" fontId="5" fillId="0" borderId="0" xfId="5" applyFont="1">
      <alignment vertical="center"/>
    </xf>
    <xf numFmtId="0" fontId="1" fillId="0" borderId="0" xfId="5" applyAlignment="1">
      <alignment horizontal="center" vertical="center"/>
    </xf>
    <xf numFmtId="0" fontId="1" fillId="0" borderId="0" xfId="5">
      <alignment vertical="center"/>
    </xf>
    <xf numFmtId="0" fontId="0" fillId="0" borderId="0" xfId="5" applyFont="1" applyAlignment="1">
      <alignment horizontal="center" vertical="center"/>
    </xf>
    <xf numFmtId="0" fontId="0" fillId="0" borderId="0" xfId="5" applyFont="1">
      <alignment vertical="center"/>
    </xf>
    <xf numFmtId="0" fontId="5" fillId="0" borderId="0" xfId="7" applyFont="1">
      <alignment vertical="center"/>
    </xf>
    <xf numFmtId="0" fontId="18" fillId="0" borderId="0" xfId="5" applyFont="1">
      <alignment vertical="center"/>
    </xf>
    <xf numFmtId="0" fontId="7" fillId="0" borderId="0" xfId="5" applyFont="1">
      <alignment vertical="center"/>
    </xf>
    <xf numFmtId="0" fontId="1" fillId="0" borderId="0" xfId="5" applyAlignment="1">
      <alignment horizontal="right" vertical="center"/>
    </xf>
    <xf numFmtId="0" fontId="19" fillId="0" borderId="0" xfId="0" applyFont="1" applyBorder="1" applyAlignment="1" applyProtection="1">
      <alignment vertical="center"/>
    </xf>
    <xf numFmtId="0" fontId="0" fillId="0" borderId="2" xfId="0" applyBorder="1" applyAlignment="1" applyProtection="1">
      <alignment vertical="center" wrapText="1" shrinkToFit="1"/>
      <protection locked="0"/>
    </xf>
    <xf numFmtId="0" fontId="13" fillId="3" borderId="40" xfId="0" applyFont="1" applyFill="1" applyBorder="1" applyAlignment="1" applyProtection="1">
      <alignment horizontal="center" vertical="center"/>
      <protection locked="0"/>
    </xf>
    <xf numFmtId="0" fontId="17" fillId="3" borderId="1" xfId="7" applyFont="1" applyFill="1" applyBorder="1" applyAlignment="1">
      <alignment horizontal="center" vertical="center"/>
    </xf>
    <xf numFmtId="0" fontId="0" fillId="0" borderId="58" xfId="7" applyFont="1" applyBorder="1" applyAlignment="1">
      <alignment horizontal="left" vertical="center" wrapText="1" indent="1"/>
    </xf>
    <xf numFmtId="0" fontId="0" fillId="0" borderId="59" xfId="7" applyFont="1" applyBorder="1" applyAlignment="1">
      <alignment horizontal="left" vertical="center" wrapText="1" indent="1"/>
    </xf>
    <xf numFmtId="0" fontId="1" fillId="0" borderId="0" xfId="6"/>
    <xf numFmtId="0" fontId="21" fillId="0" borderId="0" xfId="6" applyFont="1"/>
    <xf numFmtId="0" fontId="3" fillId="4" borderId="0" xfId="6" applyFont="1" applyFill="1" applyAlignment="1">
      <alignment horizontal="left" vertical="center" indent="1"/>
    </xf>
    <xf numFmtId="0" fontId="3" fillId="4" borderId="0" xfId="6" applyFont="1" applyFill="1"/>
    <xf numFmtId="0" fontId="22" fillId="0" borderId="0" xfId="1" applyFont="1" applyAlignment="1" applyProtection="1">
      <alignment horizontal="center" vertical="center"/>
    </xf>
    <xf numFmtId="0" fontId="0" fillId="0" borderId="0" xfId="0" applyBorder="1" applyProtection="1">
      <alignment vertical="center"/>
      <protection locked="0"/>
    </xf>
    <xf numFmtId="0" fontId="8" fillId="0" borderId="2" xfId="0" applyFont="1" applyBorder="1" applyAlignment="1" applyProtection="1">
      <alignment horizontal="center" vertical="center"/>
      <protection locked="0"/>
    </xf>
    <xf numFmtId="0" fontId="0" fillId="0" borderId="0" xfId="0" applyProtection="1">
      <alignment vertical="center"/>
      <protection locked="0"/>
    </xf>
    <xf numFmtId="0" fontId="3" fillId="0" borderId="0" xfId="0" applyFont="1" applyFill="1">
      <alignment vertical="center"/>
    </xf>
    <xf numFmtId="0" fontId="1" fillId="0" borderId="0" xfId="5" applyFont="1" applyAlignment="1">
      <alignment horizontal="center" vertical="center"/>
    </xf>
    <xf numFmtId="0" fontId="5" fillId="0" borderId="0" xfId="7" applyFont="1" applyAlignment="1">
      <alignment horizontal="center" vertical="center"/>
    </xf>
    <xf numFmtId="0" fontId="15" fillId="3" borderId="60" xfId="4" applyFont="1" applyFill="1" applyBorder="1" applyAlignment="1" applyProtection="1">
      <alignment horizontal="center" vertical="center"/>
      <protection hidden="1"/>
    </xf>
    <xf numFmtId="0" fontId="15" fillId="3" borderId="61" xfId="4" applyFont="1" applyFill="1" applyBorder="1" applyAlignment="1" applyProtection="1">
      <alignment horizontal="center" vertical="center"/>
      <protection hidden="1"/>
    </xf>
    <xf numFmtId="0" fontId="15" fillId="3" borderId="62" xfId="4" applyFont="1" applyFill="1" applyBorder="1" applyAlignment="1" applyProtection="1">
      <alignment horizontal="center" vertical="center"/>
      <protection hidden="1"/>
    </xf>
    <xf numFmtId="0" fontId="17" fillId="3" borderId="63" xfId="7" applyFont="1" applyFill="1" applyBorder="1" applyAlignment="1">
      <alignment horizontal="center" vertical="center"/>
    </xf>
    <xf numFmtId="0" fontId="17" fillId="3" borderId="64" xfId="7" applyFont="1" applyFill="1" applyBorder="1" applyAlignment="1">
      <alignment horizontal="center" vertical="center"/>
    </xf>
    <xf numFmtId="0" fontId="17" fillId="3" borderId="65" xfId="7" applyFont="1" applyFill="1" applyBorder="1" applyAlignment="1">
      <alignment horizontal="center" vertical="center"/>
    </xf>
    <xf numFmtId="0" fontId="17" fillId="3" borderId="66" xfId="7" applyFont="1" applyFill="1" applyBorder="1" applyAlignment="1">
      <alignment horizontal="center" vertical="center"/>
    </xf>
    <xf numFmtId="0" fontId="3" fillId="3" borderId="66" xfId="7" applyFont="1" applyFill="1" applyBorder="1" applyAlignment="1">
      <alignment vertical="center"/>
    </xf>
    <xf numFmtId="0" fontId="20" fillId="3" borderId="60" xfId="4" applyFont="1" applyFill="1" applyBorder="1" applyAlignment="1" applyProtection="1">
      <alignment horizontal="center" vertical="center"/>
      <protection hidden="1"/>
    </xf>
    <xf numFmtId="0" fontId="20" fillId="3" borderId="61" xfId="4" applyFont="1" applyFill="1" applyBorder="1" applyAlignment="1" applyProtection="1">
      <alignment horizontal="center" vertical="center"/>
      <protection hidden="1"/>
    </xf>
    <xf numFmtId="0" fontId="20" fillId="3" borderId="62" xfId="4" applyFont="1" applyFill="1" applyBorder="1" applyAlignment="1" applyProtection="1">
      <alignment horizontal="center" vertical="center"/>
      <protection hidden="1"/>
    </xf>
  </cellXfs>
  <cellStyles count="8">
    <cellStyle name="ハイパーリンク" xfId="1" builtinId="8"/>
    <cellStyle name="ハイパーリンク 2" xfId="2"/>
    <cellStyle name="桁区切り 3" xfId="3"/>
    <cellStyle name="標準" xfId="0" builtinId="0"/>
    <cellStyle name="標準 2" xfId="4"/>
    <cellStyle name="標準 2 2" xfId="5"/>
    <cellStyle name="標準 2 3" xfId="6"/>
    <cellStyle name="標準 3" xfId="7"/>
  </cellStyles>
  <dxfs count="88">
    <dxf>
      <border>
        <left style="thin">
          <color indexed="23"/>
        </left>
        <right style="thin">
          <color indexed="23"/>
        </right>
        <top style="dotted">
          <color indexed="23"/>
        </top>
        <bottom style="dotted">
          <color indexed="23"/>
        </bottom>
      </border>
    </dxf>
    <dxf>
      <border>
        <left style="thin">
          <color indexed="23"/>
        </left>
        <right style="thin">
          <color indexed="23"/>
        </right>
        <top style="dotted">
          <color indexed="23"/>
        </top>
        <bottom style="thin">
          <color indexed="23"/>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ont>
        <condense val="0"/>
        <extend val="0"/>
        <color indexed="10"/>
      </font>
    </dxf>
    <dxf>
      <font>
        <condense val="0"/>
        <extend val="0"/>
        <color indexed="18"/>
      </font>
    </dxf>
    <dxf>
      <font>
        <condense val="0"/>
        <extend val="0"/>
        <color indexed="10"/>
      </font>
    </dxf>
    <dxf>
      <font>
        <condense val="0"/>
        <extend val="0"/>
        <color indexed="18"/>
      </font>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s>
  <tableStyles count="1" defaultTableStyle="TableStyleMedium9" defaultPivotStyle="PivotStyleLight16">
    <tableStyle name="MySqlDefault" pivot="0" table="0" count="0"/>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hyperlink" Target="#&#12510;&#12473;&#12479;!A1"/><Relationship Id="rId1" Type="http://schemas.openxmlformats.org/officeDocument/2006/relationships/hyperlink" Target="#&#12513;&#12491;&#12517;&#12540;!A1"/></Relationships>
</file>

<file path=xl/drawings/_rels/drawing2.xml.rels><?xml version="1.0" encoding="UTF-8" standalone="yes"?>
<Relationships xmlns="http://schemas.openxmlformats.org/package/2006/relationships"><Relationship Id="rId2" Type="http://schemas.openxmlformats.org/officeDocument/2006/relationships/hyperlink" Target="#&#24037;&#31243;&#31649;&#29702;&#34920;!A1"/><Relationship Id="rId1" Type="http://schemas.openxmlformats.org/officeDocument/2006/relationships/hyperlink" Target="#&#12513;&#12491;&#12517;&#12540;!A1"/></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4</xdr:col>
      <xdr:colOff>152400</xdr:colOff>
      <xdr:row>0</xdr:row>
      <xdr:rowOff>142875</xdr:rowOff>
    </xdr:from>
    <xdr:to>
      <xdr:col>6</xdr:col>
      <xdr:colOff>104775</xdr:colOff>
      <xdr:row>2</xdr:row>
      <xdr:rowOff>0</xdr:rowOff>
    </xdr:to>
    <xdr:sp macro="[0]!CallDataClear" textlink="">
      <xdr:nvSpPr>
        <xdr:cNvPr id="976913" name="Rectangle 17"/>
        <xdr:cNvSpPr>
          <a:spLocks noChangeArrowheads="1"/>
        </xdr:cNvSpPr>
      </xdr:nvSpPr>
      <xdr:spPr bwMode="auto">
        <a:xfrm>
          <a:off x="4752975" y="142875"/>
          <a:ext cx="1104900" cy="3048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45720" tIns="18288" rIns="45720" bIns="18288" anchor="ctr" upright="1"/>
        <a:lstStyle/>
        <a:p>
          <a:pPr algn="ctr" rtl="0">
            <a:defRPr sz="1000"/>
          </a:pPr>
          <a:r>
            <a:rPr lang="ja-JP" altLang="en-US" sz="1200" b="1" i="0" u="none" strike="noStrike" baseline="0">
              <a:solidFill>
                <a:srgbClr val="000000"/>
              </a:solidFill>
              <a:latin typeface="HG丸ｺﾞｼｯｸM-PRO"/>
              <a:ea typeface="HG丸ｺﾞｼｯｸM-PRO"/>
            </a:rPr>
            <a:t>データクリア</a:t>
          </a:r>
        </a:p>
      </xdr:txBody>
    </xdr:sp>
    <xdr:clientData fPrintsWithSheet="0"/>
  </xdr:twoCellAnchor>
  <xdr:twoCellAnchor>
    <xdr:from>
      <xdr:col>6</xdr:col>
      <xdr:colOff>485775</xdr:colOff>
      <xdr:row>0</xdr:row>
      <xdr:rowOff>142875</xdr:rowOff>
    </xdr:from>
    <xdr:to>
      <xdr:col>8</xdr:col>
      <xdr:colOff>342900</xdr:colOff>
      <xdr:row>2</xdr:row>
      <xdr:rowOff>0</xdr:rowOff>
    </xdr:to>
    <xdr:sp macro="" textlink="">
      <xdr:nvSpPr>
        <xdr:cNvPr id="976914" name="Rectangle 18">
          <a:hlinkClick xmlns:r="http://schemas.openxmlformats.org/officeDocument/2006/relationships" r:id="rId1"/>
        </xdr:cNvPr>
        <xdr:cNvSpPr>
          <a:spLocks noChangeArrowheads="1"/>
        </xdr:cNvSpPr>
      </xdr:nvSpPr>
      <xdr:spPr bwMode="auto">
        <a:xfrm>
          <a:off x="6238875" y="142875"/>
          <a:ext cx="1104900" cy="3048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45720" tIns="18288" rIns="45720" bIns="18288" anchor="ctr" upright="1"/>
        <a:lstStyle/>
        <a:p>
          <a:pPr algn="ctr" rtl="0">
            <a:defRPr sz="1000"/>
          </a:pPr>
          <a:r>
            <a:rPr lang="ja-JP" altLang="en-US" sz="1200" b="1" i="0" u="none" strike="noStrike" baseline="0">
              <a:solidFill>
                <a:srgbClr val="000000"/>
              </a:solidFill>
              <a:latin typeface="HG丸ｺﾞｼｯｸM-PRO"/>
              <a:ea typeface="HG丸ｺﾞｼｯｸM-PRO"/>
            </a:rPr>
            <a:t>メニュー</a:t>
          </a:r>
        </a:p>
      </xdr:txBody>
    </xdr:sp>
    <xdr:clientData fPrintsWithSheet="0"/>
  </xdr:twoCellAnchor>
  <xdr:twoCellAnchor>
    <xdr:from>
      <xdr:col>6</xdr:col>
      <xdr:colOff>485775</xdr:colOff>
      <xdr:row>2</xdr:row>
      <xdr:rowOff>161925</xdr:rowOff>
    </xdr:from>
    <xdr:to>
      <xdr:col>8</xdr:col>
      <xdr:colOff>342900</xdr:colOff>
      <xdr:row>4</xdr:row>
      <xdr:rowOff>19050</xdr:rowOff>
    </xdr:to>
    <xdr:sp macro="" textlink="">
      <xdr:nvSpPr>
        <xdr:cNvPr id="976915" name="Rectangle 19">
          <a:hlinkClick xmlns:r="http://schemas.openxmlformats.org/officeDocument/2006/relationships" r:id="rId2"/>
        </xdr:cNvPr>
        <xdr:cNvSpPr>
          <a:spLocks noChangeArrowheads="1"/>
        </xdr:cNvSpPr>
      </xdr:nvSpPr>
      <xdr:spPr bwMode="auto">
        <a:xfrm>
          <a:off x="6238875" y="609600"/>
          <a:ext cx="1104900" cy="3048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45720" tIns="18288" rIns="45720" bIns="18288" anchor="ctr" upright="1"/>
        <a:lstStyle/>
        <a:p>
          <a:pPr algn="ctr" rtl="0">
            <a:defRPr sz="1000"/>
          </a:pPr>
          <a:r>
            <a:rPr lang="ja-JP" altLang="en-US" sz="1200" b="1" i="0" u="none" strike="noStrike" baseline="0">
              <a:solidFill>
                <a:srgbClr val="000000"/>
              </a:solidFill>
              <a:latin typeface="HG丸ｺﾞｼｯｸM-PRO"/>
              <a:ea typeface="HG丸ｺﾞｼｯｸM-PRO"/>
            </a:rPr>
            <a:t>マスタ</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7</xdr:col>
      <xdr:colOff>257175</xdr:colOff>
      <xdr:row>0</xdr:row>
      <xdr:rowOff>133350</xdr:rowOff>
    </xdr:from>
    <xdr:to>
      <xdr:col>9</xdr:col>
      <xdr:colOff>85725</xdr:colOff>
      <xdr:row>2</xdr:row>
      <xdr:rowOff>95250</xdr:rowOff>
    </xdr:to>
    <xdr:sp macro="" textlink="">
      <xdr:nvSpPr>
        <xdr:cNvPr id="979970" name="Rectangle 2">
          <a:hlinkClick xmlns:r="http://schemas.openxmlformats.org/officeDocument/2006/relationships" r:id="rId1"/>
        </xdr:cNvPr>
        <xdr:cNvSpPr>
          <a:spLocks noChangeArrowheads="1"/>
        </xdr:cNvSpPr>
      </xdr:nvSpPr>
      <xdr:spPr bwMode="auto">
        <a:xfrm>
          <a:off x="6334125" y="133350"/>
          <a:ext cx="1200150" cy="3048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HG丸ｺﾞｼｯｸM-PRO"/>
              <a:ea typeface="HG丸ｺﾞｼｯｸM-PRO"/>
            </a:rPr>
            <a:t>メニュー</a:t>
          </a:r>
        </a:p>
      </xdr:txBody>
    </xdr:sp>
    <xdr:clientData fPrintsWithSheet="0"/>
  </xdr:twoCellAnchor>
  <xdr:twoCellAnchor>
    <xdr:from>
      <xdr:col>7</xdr:col>
      <xdr:colOff>257175</xdr:colOff>
      <xdr:row>3</xdr:row>
      <xdr:rowOff>85725</xdr:rowOff>
    </xdr:from>
    <xdr:to>
      <xdr:col>9</xdr:col>
      <xdr:colOff>85725</xdr:colOff>
      <xdr:row>5</xdr:row>
      <xdr:rowOff>47625</xdr:rowOff>
    </xdr:to>
    <xdr:sp macro="" textlink="">
      <xdr:nvSpPr>
        <xdr:cNvPr id="979971" name="Rectangle 3">
          <a:hlinkClick xmlns:r="http://schemas.openxmlformats.org/officeDocument/2006/relationships" r:id="rId2"/>
        </xdr:cNvPr>
        <xdr:cNvSpPr>
          <a:spLocks noChangeArrowheads="1"/>
        </xdr:cNvSpPr>
      </xdr:nvSpPr>
      <xdr:spPr bwMode="auto">
        <a:xfrm>
          <a:off x="6334125" y="600075"/>
          <a:ext cx="1200150" cy="3048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HG丸ｺﾞｼｯｸM-PRO"/>
              <a:ea typeface="HG丸ｺﾞｼｯｸM-PRO"/>
            </a:rPr>
            <a:t>工程管理表</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619125</xdr:colOff>
      <xdr:row>28</xdr:row>
      <xdr:rowOff>114300</xdr:rowOff>
    </xdr:from>
    <xdr:to>
      <xdr:col>11</xdr:col>
      <xdr:colOff>76200</xdr:colOff>
      <xdr:row>42</xdr:row>
      <xdr:rowOff>152400</xdr:rowOff>
    </xdr:to>
    <xdr:pic>
      <xdr:nvPicPr>
        <xdr:cNvPr id="981050"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b="7246"/>
        <a:stretch>
          <a:fillRect/>
        </a:stretch>
      </xdr:blipFill>
      <xdr:spPr bwMode="auto">
        <a:xfrm>
          <a:off x="619125" y="4562475"/>
          <a:ext cx="7315200" cy="2438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400050</xdr:colOff>
      <xdr:row>28</xdr:row>
      <xdr:rowOff>152400</xdr:rowOff>
    </xdr:from>
    <xdr:to>
      <xdr:col>5</xdr:col>
      <xdr:colOff>95250</xdr:colOff>
      <xdr:row>30</xdr:row>
      <xdr:rowOff>104775</xdr:rowOff>
    </xdr:to>
    <xdr:sp macro="" textlink="">
      <xdr:nvSpPr>
        <xdr:cNvPr id="980995" name="AutoShape 3"/>
        <xdr:cNvSpPr>
          <a:spLocks noChangeArrowheads="1"/>
        </xdr:cNvSpPr>
      </xdr:nvSpPr>
      <xdr:spPr bwMode="auto">
        <a:xfrm>
          <a:off x="3667125" y="4600575"/>
          <a:ext cx="381000" cy="295275"/>
        </a:xfrm>
        <a:prstGeom prst="wedgeRectCallout">
          <a:avLst>
            <a:gd name="adj1" fmla="val -92500"/>
            <a:gd name="adj2" fmla="val 27421"/>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A</a:t>
          </a:r>
        </a:p>
      </xdr:txBody>
    </xdr:sp>
    <xdr:clientData/>
  </xdr:twoCellAnchor>
  <xdr:twoCellAnchor>
    <xdr:from>
      <xdr:col>4</xdr:col>
      <xdr:colOff>409575</xdr:colOff>
      <xdr:row>31</xdr:row>
      <xdr:rowOff>28575</xdr:rowOff>
    </xdr:from>
    <xdr:to>
      <xdr:col>5</xdr:col>
      <xdr:colOff>104775</xdr:colOff>
      <xdr:row>32</xdr:row>
      <xdr:rowOff>152400</xdr:rowOff>
    </xdr:to>
    <xdr:sp macro="" textlink="">
      <xdr:nvSpPr>
        <xdr:cNvPr id="980996" name="AutoShape 4"/>
        <xdr:cNvSpPr>
          <a:spLocks noChangeArrowheads="1"/>
        </xdr:cNvSpPr>
      </xdr:nvSpPr>
      <xdr:spPr bwMode="auto">
        <a:xfrm>
          <a:off x="3676650" y="4991100"/>
          <a:ext cx="381000" cy="295275"/>
        </a:xfrm>
        <a:prstGeom prst="wedgeRectCallout">
          <a:avLst>
            <a:gd name="adj1" fmla="val -102500"/>
            <a:gd name="adj2" fmla="val 33870"/>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B</a:t>
          </a:r>
        </a:p>
      </xdr:txBody>
    </xdr:sp>
    <xdr:clientData/>
  </xdr:twoCellAnchor>
  <xdr:twoCellAnchor>
    <xdr:from>
      <xdr:col>4</xdr:col>
      <xdr:colOff>333375</xdr:colOff>
      <xdr:row>36</xdr:row>
      <xdr:rowOff>9525</xdr:rowOff>
    </xdr:from>
    <xdr:to>
      <xdr:col>5</xdr:col>
      <xdr:colOff>28575</xdr:colOff>
      <xdr:row>37</xdr:row>
      <xdr:rowOff>133350</xdr:rowOff>
    </xdr:to>
    <xdr:sp macro="" textlink="">
      <xdr:nvSpPr>
        <xdr:cNvPr id="980997" name="AutoShape 5"/>
        <xdr:cNvSpPr>
          <a:spLocks noChangeArrowheads="1"/>
        </xdr:cNvSpPr>
      </xdr:nvSpPr>
      <xdr:spPr bwMode="auto">
        <a:xfrm>
          <a:off x="3600450" y="5829300"/>
          <a:ext cx="381000" cy="295275"/>
        </a:xfrm>
        <a:prstGeom prst="wedgeRectCallout">
          <a:avLst>
            <a:gd name="adj1" fmla="val -65000"/>
            <a:gd name="adj2" fmla="val 111292"/>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C</a:t>
          </a:r>
        </a:p>
      </xdr:txBody>
    </xdr:sp>
    <xdr:clientData/>
  </xdr:twoCellAnchor>
  <xdr:twoCellAnchor>
    <xdr:from>
      <xdr:col>1</xdr:col>
      <xdr:colOff>542925</xdr:colOff>
      <xdr:row>38</xdr:row>
      <xdr:rowOff>28575</xdr:rowOff>
    </xdr:from>
    <xdr:to>
      <xdr:col>5</xdr:col>
      <xdr:colOff>266700</xdr:colOff>
      <xdr:row>39</xdr:row>
      <xdr:rowOff>85725</xdr:rowOff>
    </xdr:to>
    <xdr:sp macro="" textlink="">
      <xdr:nvSpPr>
        <xdr:cNvPr id="981054" name="AutoShape 6"/>
        <xdr:cNvSpPr>
          <a:spLocks/>
        </xdr:cNvSpPr>
      </xdr:nvSpPr>
      <xdr:spPr bwMode="auto">
        <a:xfrm rot="-5400000">
          <a:off x="2609850" y="4810125"/>
          <a:ext cx="228600" cy="2990850"/>
        </a:xfrm>
        <a:prstGeom prst="rightBrace">
          <a:avLst>
            <a:gd name="adj1" fmla="val 109028"/>
            <a:gd name="adj2" fmla="val 50000"/>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6</xdr:col>
      <xdr:colOff>628650</xdr:colOff>
      <xdr:row>35</xdr:row>
      <xdr:rowOff>104775</xdr:rowOff>
    </xdr:from>
    <xdr:to>
      <xdr:col>7</xdr:col>
      <xdr:colOff>323850</xdr:colOff>
      <xdr:row>37</xdr:row>
      <xdr:rowOff>57150</xdr:rowOff>
    </xdr:to>
    <xdr:sp macro="" textlink="">
      <xdr:nvSpPr>
        <xdr:cNvPr id="980999" name="AutoShape 7"/>
        <xdr:cNvSpPr>
          <a:spLocks noChangeArrowheads="1"/>
        </xdr:cNvSpPr>
      </xdr:nvSpPr>
      <xdr:spPr bwMode="auto">
        <a:xfrm>
          <a:off x="5267325" y="5753100"/>
          <a:ext cx="381000" cy="295275"/>
        </a:xfrm>
        <a:prstGeom prst="wedgeRectCallout">
          <a:avLst>
            <a:gd name="adj1" fmla="val -65000"/>
            <a:gd name="adj2" fmla="val 111292"/>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D</a:t>
          </a:r>
        </a:p>
      </xdr:txBody>
    </xdr:sp>
    <xdr:clientData/>
  </xdr:twoCellAnchor>
  <xdr:twoCellAnchor>
    <xdr:from>
      <xdr:col>6</xdr:col>
      <xdr:colOff>9525</xdr:colOff>
      <xdr:row>38</xdr:row>
      <xdr:rowOff>19050</xdr:rowOff>
    </xdr:from>
    <xdr:to>
      <xdr:col>7</xdr:col>
      <xdr:colOff>323850</xdr:colOff>
      <xdr:row>39</xdr:row>
      <xdr:rowOff>114300</xdr:rowOff>
    </xdr:to>
    <xdr:sp macro="" textlink="">
      <xdr:nvSpPr>
        <xdr:cNvPr id="981056" name="AutoShape 8"/>
        <xdr:cNvSpPr>
          <a:spLocks/>
        </xdr:cNvSpPr>
      </xdr:nvSpPr>
      <xdr:spPr bwMode="auto">
        <a:xfrm rot="-5400000">
          <a:off x="5014913" y="5815012"/>
          <a:ext cx="266700" cy="1000125"/>
        </a:xfrm>
        <a:prstGeom prst="rightBrace">
          <a:avLst>
            <a:gd name="adj1" fmla="val 31250"/>
            <a:gd name="adj2" fmla="val 50000"/>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6</xdr:col>
      <xdr:colOff>476250</xdr:colOff>
      <xdr:row>27</xdr:row>
      <xdr:rowOff>161925</xdr:rowOff>
    </xdr:from>
    <xdr:to>
      <xdr:col>7</xdr:col>
      <xdr:colOff>171450</xdr:colOff>
      <xdr:row>29</xdr:row>
      <xdr:rowOff>114300</xdr:rowOff>
    </xdr:to>
    <xdr:sp macro="" textlink="">
      <xdr:nvSpPr>
        <xdr:cNvPr id="981001" name="AutoShape 9"/>
        <xdr:cNvSpPr>
          <a:spLocks noChangeArrowheads="1"/>
        </xdr:cNvSpPr>
      </xdr:nvSpPr>
      <xdr:spPr bwMode="auto">
        <a:xfrm>
          <a:off x="5114925" y="4438650"/>
          <a:ext cx="381000" cy="295275"/>
        </a:xfrm>
        <a:prstGeom prst="wedgeRectCallout">
          <a:avLst>
            <a:gd name="adj1" fmla="val -77500"/>
            <a:gd name="adj2" fmla="val 59676"/>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E</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838200</xdr:colOff>
      <xdr:row>7</xdr:row>
      <xdr:rowOff>66675</xdr:rowOff>
    </xdr:from>
    <xdr:to>
      <xdr:col>6</xdr:col>
      <xdr:colOff>514350</xdr:colOff>
      <xdr:row>26</xdr:row>
      <xdr:rowOff>114300</xdr:rowOff>
    </xdr:to>
    <xdr:pic>
      <xdr:nvPicPr>
        <xdr:cNvPr id="98208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8200" y="1266825"/>
          <a:ext cx="4010025" cy="3305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0</xdr:col>
      <xdr:colOff>885825</xdr:colOff>
      <xdr:row>30</xdr:row>
      <xdr:rowOff>114300</xdr:rowOff>
    </xdr:from>
    <xdr:to>
      <xdr:col>7</xdr:col>
      <xdr:colOff>9525</xdr:colOff>
      <xdr:row>40</xdr:row>
      <xdr:rowOff>104775</xdr:rowOff>
    </xdr:to>
    <xdr:pic>
      <xdr:nvPicPr>
        <xdr:cNvPr id="982088"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85825" y="5257800"/>
          <a:ext cx="414337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1</xdr:col>
      <xdr:colOff>28575</xdr:colOff>
      <xdr:row>13</xdr:row>
      <xdr:rowOff>76200</xdr:rowOff>
    </xdr:from>
    <xdr:to>
      <xdr:col>6</xdr:col>
      <xdr:colOff>390525</xdr:colOff>
      <xdr:row>17</xdr:row>
      <xdr:rowOff>57150</xdr:rowOff>
    </xdr:to>
    <xdr:sp macro="" textlink="">
      <xdr:nvSpPr>
        <xdr:cNvPr id="982089" name="Oval 3"/>
        <xdr:cNvSpPr>
          <a:spLocks noChangeArrowheads="1"/>
        </xdr:cNvSpPr>
      </xdr:nvSpPr>
      <xdr:spPr bwMode="auto">
        <a:xfrm>
          <a:off x="933450" y="2305050"/>
          <a:ext cx="3790950" cy="666750"/>
        </a:xfrm>
        <a:prstGeom prst="ellipse">
          <a:avLst/>
        </a:prstGeom>
        <a:noFill/>
        <a:ln w="19050">
          <a:solidFill>
            <a:srgbClr val="00008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66675</xdr:colOff>
      <xdr:row>38</xdr:row>
      <xdr:rowOff>0</xdr:rowOff>
    </xdr:from>
    <xdr:to>
      <xdr:col>5</xdr:col>
      <xdr:colOff>257175</xdr:colOff>
      <xdr:row>41</xdr:row>
      <xdr:rowOff>66675</xdr:rowOff>
    </xdr:to>
    <xdr:sp macro="" textlink="">
      <xdr:nvSpPr>
        <xdr:cNvPr id="982090" name="Oval 4"/>
        <xdr:cNvSpPr>
          <a:spLocks noChangeArrowheads="1"/>
        </xdr:cNvSpPr>
      </xdr:nvSpPr>
      <xdr:spPr bwMode="auto">
        <a:xfrm>
          <a:off x="2343150" y="6515100"/>
          <a:ext cx="1562100" cy="581025"/>
        </a:xfrm>
        <a:prstGeom prst="ellipse">
          <a:avLst/>
        </a:prstGeom>
        <a:noFill/>
        <a:ln w="19050">
          <a:solidFill>
            <a:srgbClr val="00008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523875</xdr:colOff>
      <xdr:row>10</xdr:row>
      <xdr:rowOff>19050</xdr:rowOff>
    </xdr:from>
    <xdr:to>
      <xdr:col>19</xdr:col>
      <xdr:colOff>581025</xdr:colOff>
      <xdr:row>25</xdr:row>
      <xdr:rowOff>0</xdr:rowOff>
    </xdr:to>
    <xdr:pic>
      <xdr:nvPicPr>
        <xdr:cNvPr id="982091" name="Picture 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22144" b="60876"/>
        <a:stretch>
          <a:fillRect/>
        </a:stretch>
      </xdr:blipFill>
      <xdr:spPr bwMode="auto">
        <a:xfrm>
          <a:off x="7239000" y="1733550"/>
          <a:ext cx="6229350" cy="2552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10</xdr:col>
      <xdr:colOff>590550</xdr:colOff>
      <xdr:row>29</xdr:row>
      <xdr:rowOff>161925</xdr:rowOff>
    </xdr:from>
    <xdr:to>
      <xdr:col>16</xdr:col>
      <xdr:colOff>104775</xdr:colOff>
      <xdr:row>33</xdr:row>
      <xdr:rowOff>47625</xdr:rowOff>
    </xdr:to>
    <xdr:pic>
      <xdr:nvPicPr>
        <xdr:cNvPr id="982092" name="Picture 6"/>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305675" y="5133975"/>
          <a:ext cx="36290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10</xdr:col>
      <xdr:colOff>638175</xdr:colOff>
      <xdr:row>35</xdr:row>
      <xdr:rowOff>161925</xdr:rowOff>
    </xdr:from>
    <xdr:to>
      <xdr:col>17</xdr:col>
      <xdr:colOff>514350</xdr:colOff>
      <xdr:row>60</xdr:row>
      <xdr:rowOff>38100</xdr:rowOff>
    </xdr:to>
    <xdr:pic>
      <xdr:nvPicPr>
        <xdr:cNvPr id="982093" name="Picture 7"/>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353300" y="6162675"/>
          <a:ext cx="4676775" cy="416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11</xdr:col>
      <xdr:colOff>171450</xdr:colOff>
      <xdr:row>48</xdr:row>
      <xdr:rowOff>66675</xdr:rowOff>
    </xdr:from>
    <xdr:to>
      <xdr:col>14</xdr:col>
      <xdr:colOff>295275</xdr:colOff>
      <xdr:row>51</xdr:row>
      <xdr:rowOff>133350</xdr:rowOff>
    </xdr:to>
    <xdr:sp macro="" textlink="">
      <xdr:nvSpPr>
        <xdr:cNvPr id="982094" name="Oval 8"/>
        <xdr:cNvSpPr>
          <a:spLocks noChangeArrowheads="1"/>
        </xdr:cNvSpPr>
      </xdr:nvSpPr>
      <xdr:spPr bwMode="auto">
        <a:xfrm>
          <a:off x="7572375" y="8296275"/>
          <a:ext cx="2181225" cy="581025"/>
        </a:xfrm>
        <a:prstGeom prst="ellipse">
          <a:avLst/>
        </a:prstGeom>
        <a:noFill/>
        <a:ln w="19050">
          <a:solidFill>
            <a:srgbClr val="00008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14</xdr:col>
      <xdr:colOff>266700</xdr:colOff>
      <xdr:row>30</xdr:row>
      <xdr:rowOff>123825</xdr:rowOff>
    </xdr:from>
    <xdr:to>
      <xdr:col>16</xdr:col>
      <xdr:colOff>28575</xdr:colOff>
      <xdr:row>33</xdr:row>
      <xdr:rowOff>142875</xdr:rowOff>
    </xdr:to>
    <xdr:sp macro="" textlink="">
      <xdr:nvSpPr>
        <xdr:cNvPr id="982095" name="Oval 9"/>
        <xdr:cNvSpPr>
          <a:spLocks noChangeArrowheads="1"/>
        </xdr:cNvSpPr>
      </xdr:nvSpPr>
      <xdr:spPr bwMode="auto">
        <a:xfrm>
          <a:off x="9725025" y="5267325"/>
          <a:ext cx="1133475" cy="533400"/>
        </a:xfrm>
        <a:prstGeom prst="ellipse">
          <a:avLst/>
        </a:prstGeom>
        <a:noFill/>
        <a:ln w="19050">
          <a:solidFill>
            <a:srgbClr val="00008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12</xdr:col>
      <xdr:colOff>285750</xdr:colOff>
      <xdr:row>14</xdr:row>
      <xdr:rowOff>47625</xdr:rowOff>
    </xdr:from>
    <xdr:to>
      <xdr:col>17</xdr:col>
      <xdr:colOff>647700</xdr:colOff>
      <xdr:row>18</xdr:row>
      <xdr:rowOff>28575</xdr:rowOff>
    </xdr:to>
    <xdr:sp macro="" textlink="">
      <xdr:nvSpPr>
        <xdr:cNvPr id="982096" name="Oval 10"/>
        <xdr:cNvSpPr>
          <a:spLocks noChangeArrowheads="1"/>
        </xdr:cNvSpPr>
      </xdr:nvSpPr>
      <xdr:spPr bwMode="auto">
        <a:xfrm>
          <a:off x="8372475" y="2447925"/>
          <a:ext cx="3790950" cy="666750"/>
        </a:xfrm>
        <a:prstGeom prst="ellipse">
          <a:avLst/>
        </a:prstGeom>
        <a:noFill/>
        <a:ln w="19050">
          <a:solidFill>
            <a:srgbClr val="00008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3"/>
  <sheetViews>
    <sheetView showGridLines="0" workbookViewId="0">
      <selection activeCell="C8" sqref="C8"/>
    </sheetView>
  </sheetViews>
  <sheetFormatPr defaultRowHeight="13.5" x14ac:dyDescent="0.15"/>
  <cols>
    <col min="1" max="1" width="13.625" style="73" customWidth="1"/>
    <col min="2" max="2" width="30.25" style="73" customWidth="1"/>
    <col min="3" max="3" width="55.125" style="73" customWidth="1"/>
    <col min="4" max="4" width="4.5" style="73" customWidth="1"/>
    <col min="5" max="5" width="12.5" style="73" customWidth="1"/>
    <col min="6" max="16384" width="9" style="73"/>
  </cols>
  <sheetData>
    <row r="1" spans="1:5" ht="39" customHeight="1" thickTop="1" thickBot="1" x14ac:dyDescent="0.2">
      <c r="A1" s="122" t="s">
        <v>59</v>
      </c>
      <c r="B1" s="123"/>
      <c r="C1" s="124"/>
    </row>
    <row r="2" spans="1:5" ht="15" thickTop="1" x14ac:dyDescent="0.15">
      <c r="E2" s="74" t="s">
        <v>16</v>
      </c>
    </row>
    <row r="3" spans="1:5" ht="29.25" customHeight="1" x14ac:dyDescent="0.15">
      <c r="A3" s="125" t="s">
        <v>17</v>
      </c>
      <c r="B3" s="75" t="s">
        <v>60</v>
      </c>
      <c r="C3" s="76"/>
    </row>
    <row r="4" spans="1:5" ht="29.25" customHeight="1" x14ac:dyDescent="0.15">
      <c r="A4" s="126"/>
      <c r="B4" s="77" t="s">
        <v>61</v>
      </c>
      <c r="C4" s="78"/>
    </row>
    <row r="5" spans="1:5" ht="9" customHeight="1" x14ac:dyDescent="0.15">
      <c r="A5" s="79"/>
      <c r="B5" s="80"/>
      <c r="C5" s="81"/>
    </row>
    <row r="6" spans="1:5" ht="41.25" customHeight="1" x14ac:dyDescent="0.15">
      <c r="A6" s="127" t="s">
        <v>18</v>
      </c>
      <c r="B6" s="82" t="s">
        <v>19</v>
      </c>
      <c r="C6" s="83" t="s">
        <v>109</v>
      </c>
    </row>
    <row r="7" spans="1:5" ht="41.25" customHeight="1" x14ac:dyDescent="0.15">
      <c r="A7" s="128"/>
      <c r="B7" s="84" t="s">
        <v>62</v>
      </c>
      <c r="C7" s="85" t="s">
        <v>63</v>
      </c>
    </row>
    <row r="8" spans="1:5" ht="41.25" customHeight="1" x14ac:dyDescent="0.15">
      <c r="A8" s="128"/>
      <c r="B8" s="86" t="s">
        <v>64</v>
      </c>
      <c r="C8" s="87" t="s">
        <v>67</v>
      </c>
    </row>
    <row r="9" spans="1:5" ht="41.25" customHeight="1" x14ac:dyDescent="0.15">
      <c r="A9" s="128"/>
      <c r="B9" s="88" t="s">
        <v>65</v>
      </c>
      <c r="C9" s="89" t="s">
        <v>66</v>
      </c>
    </row>
    <row r="10" spans="1:5" ht="41.25" customHeight="1" x14ac:dyDescent="0.15">
      <c r="A10" s="129"/>
      <c r="B10" s="90" t="s">
        <v>69</v>
      </c>
      <c r="C10" s="91" t="s">
        <v>70</v>
      </c>
    </row>
    <row r="11" spans="1:5" x14ac:dyDescent="0.15">
      <c r="B11" s="92"/>
      <c r="C11" s="92"/>
    </row>
    <row r="12" spans="1:5" x14ac:dyDescent="0.15">
      <c r="B12" s="92"/>
      <c r="C12" s="92"/>
    </row>
    <row r="13" spans="1:5" ht="45.75" customHeight="1" x14ac:dyDescent="0.15">
      <c r="A13" s="108" t="s">
        <v>20</v>
      </c>
      <c r="B13" s="109" t="s">
        <v>72</v>
      </c>
      <c r="C13" s="110" t="s">
        <v>71</v>
      </c>
    </row>
  </sheetData>
  <mergeCells count="3">
    <mergeCell ref="A1:C1"/>
    <mergeCell ref="A3:A4"/>
    <mergeCell ref="A6:A10"/>
  </mergeCells>
  <phoneticPr fontId="2"/>
  <hyperlinks>
    <hyperlink ref="E2" location="メニュー!A1" display="メニューへ"/>
  </hyperlinks>
  <pageMargins left="0.75" right="0.75" top="1" bottom="1" header="0.51200000000000001" footer="0.5120000000000000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7"/>
  <sheetViews>
    <sheetView showGridLines="0" workbookViewId="0">
      <selection activeCell="B3" sqref="B3"/>
    </sheetView>
  </sheetViews>
  <sheetFormatPr defaultRowHeight="14.25" x14ac:dyDescent="0.15"/>
  <cols>
    <col min="1" max="1" width="3.875" style="111" customWidth="1"/>
    <col min="2" max="2" width="16.5" style="112" customWidth="1"/>
    <col min="3" max="3" width="3.875" style="111" customWidth="1"/>
    <col min="4" max="4" width="9.75" style="111" customWidth="1"/>
    <col min="5" max="6" width="9" style="111"/>
    <col min="7" max="7" width="31.875" style="111" customWidth="1"/>
    <col min="8" max="16384" width="9" style="111"/>
  </cols>
  <sheetData>
    <row r="1" spans="1:7" ht="39.75" customHeight="1" thickTop="1" thickBot="1" x14ac:dyDescent="0.2">
      <c r="A1" s="130" t="s">
        <v>73</v>
      </c>
      <c r="B1" s="131"/>
      <c r="C1" s="131"/>
      <c r="D1" s="131"/>
      <c r="E1" s="131"/>
      <c r="F1" s="131"/>
      <c r="G1" s="132"/>
    </row>
    <row r="2" spans="1:7" ht="15" thickTop="1" x14ac:dyDescent="0.15"/>
    <row r="3" spans="1:7" ht="24.75" customHeight="1" x14ac:dyDescent="0.15">
      <c r="B3" s="115" t="s">
        <v>74</v>
      </c>
      <c r="D3" s="113" t="s">
        <v>75</v>
      </c>
      <c r="E3" s="114"/>
      <c r="F3" s="114"/>
      <c r="G3" s="114"/>
    </row>
    <row r="4" spans="1:7" ht="17.25" customHeight="1" x14ac:dyDescent="0.15"/>
    <row r="5" spans="1:7" ht="17.25" customHeight="1" x14ac:dyDescent="0.15"/>
    <row r="6" spans="1:7" ht="24.75" customHeight="1" x14ac:dyDescent="0.15">
      <c r="B6" s="115" t="s">
        <v>77</v>
      </c>
      <c r="D6" s="113" t="s">
        <v>76</v>
      </c>
      <c r="E6" s="114"/>
      <c r="F6" s="114"/>
      <c r="G6" s="114"/>
    </row>
    <row r="7" spans="1:7" ht="17.25" customHeight="1" x14ac:dyDescent="0.15"/>
  </sheetData>
  <mergeCells count="1">
    <mergeCell ref="A1:G1"/>
  </mergeCells>
  <phoneticPr fontId="2"/>
  <hyperlinks>
    <hyperlink ref="B3" location="工程管理表!A1" display="工程管理表"/>
    <hyperlink ref="B6" location="マスタ!A1" display="マスタ"/>
  </hyperlinks>
  <pageMargins left="0.75" right="0.75" top="1" bottom="1" header="0.51200000000000001" footer="0.51200000000000001"/>
  <pageSetup paperSize="9" orientation="portrait" horizontalDpi="0" verticalDpi="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autoPageBreaks="0"/>
  </sheetPr>
  <dimension ref="A1:GI124"/>
  <sheetViews>
    <sheetView showGridLines="0" tabSelected="1" view="pageBreakPreview" zoomScale="60" zoomScaleNormal="75" workbookViewId="0">
      <pane xSplit="9" ySplit="12" topLeftCell="AW13" activePane="bottomRight" state="frozen"/>
      <selection pane="topRight" activeCell="I1" sqref="I1"/>
      <selection pane="bottomLeft" activeCell="A11" sqref="A11"/>
      <selection pane="bottomRight" sqref="A1:XFD1048576"/>
    </sheetView>
  </sheetViews>
  <sheetFormatPr defaultRowHeight="13.5" x14ac:dyDescent="0.15"/>
  <cols>
    <col min="1" max="1" width="3.375" style="1" customWidth="1"/>
    <col min="2" max="2" width="19" style="1" customWidth="1"/>
    <col min="3" max="3" width="32.875" style="1" customWidth="1"/>
    <col min="4" max="4" width="15.125" style="1" customWidth="1"/>
    <col min="5" max="5" width="6.125" style="1" customWidth="1"/>
    <col min="6" max="7" width="9" style="1"/>
    <col min="8" max="8" width="7.375" style="1" customWidth="1"/>
    <col min="9" max="9" width="7" style="1" customWidth="1"/>
    <col min="10" max="191" width="6.125" style="1" customWidth="1"/>
    <col min="192" max="16384" width="9" style="1"/>
  </cols>
  <sheetData>
    <row r="1" spans="1:191" ht="21.75" customHeight="1" x14ac:dyDescent="0.15">
      <c r="B1" s="117" t="s">
        <v>68</v>
      </c>
      <c r="C1" s="106"/>
    </row>
    <row r="3" spans="1:191" x14ac:dyDescent="0.15">
      <c r="D3" s="2"/>
    </row>
    <row r="4" spans="1:191" ht="21.75" customHeight="1" x14ac:dyDescent="0.15">
      <c r="B4" s="3" t="s">
        <v>1</v>
      </c>
      <c r="C4" s="4">
        <v>42828</v>
      </c>
      <c r="D4" s="5"/>
      <c r="I4" s="6"/>
      <c r="J4" s="6"/>
    </row>
    <row r="5" spans="1:191" ht="21.75" customHeight="1" x14ac:dyDescent="0.15">
      <c r="B5" s="105"/>
      <c r="C5" s="7"/>
      <c r="D5" s="5"/>
      <c r="E5"/>
      <c r="F5" s="22"/>
      <c r="G5" s="70"/>
      <c r="J5" s="6"/>
    </row>
    <row r="6" spans="1:191" x14ac:dyDescent="0.15">
      <c r="C6" s="5"/>
      <c r="D6" s="5"/>
      <c r="E6"/>
      <c r="F6" s="22"/>
      <c r="G6" s="70"/>
      <c r="J6" s="6"/>
    </row>
    <row r="7" spans="1:191" x14ac:dyDescent="0.15">
      <c r="B7" s="8" t="s">
        <v>3</v>
      </c>
      <c r="C7" s="9">
        <f>IF(SUMIF($E$13:$E$112,"予定",$H$13:$H$112)=0,0,SUMIF($E$13:$E$112,"予定",$H$13:$H$112))</f>
        <v>0</v>
      </c>
      <c r="E7"/>
      <c r="F7" s="22"/>
      <c r="G7" s="70"/>
      <c r="J7" s="6"/>
    </row>
    <row r="8" spans="1:191" x14ac:dyDescent="0.15">
      <c r="B8" s="10" t="s">
        <v>4</v>
      </c>
      <c r="C8" s="11">
        <f>IF(SUMIF($E$13:$E$112,"実績",$H$13:$H$112)=0,0,SUMIF($E$13:$E$112,"実績",$H$13:$H$112))</f>
        <v>0</v>
      </c>
      <c r="E8"/>
      <c r="F8" s="22"/>
      <c r="G8" s="70"/>
      <c r="J8" s="6"/>
    </row>
    <row r="9" spans="1:191" x14ac:dyDescent="0.15">
      <c r="B9" s="12" t="s">
        <v>5</v>
      </c>
      <c r="C9" s="13">
        <f>IF(C7="","",C8-C7)</f>
        <v>0</v>
      </c>
      <c r="E9"/>
      <c r="F9" s="22"/>
      <c r="G9" s="70"/>
      <c r="J9" s="6"/>
    </row>
    <row r="10" spans="1:191" x14ac:dyDescent="0.15">
      <c r="B10" s="14"/>
      <c r="C10" s="15"/>
      <c r="E10"/>
      <c r="F10" s="22"/>
      <c r="G10" s="70"/>
      <c r="J10" s="6"/>
    </row>
    <row r="12" spans="1:191" ht="29.25" customHeight="1" x14ac:dyDescent="0.15">
      <c r="A12" s="16" t="s">
        <v>14</v>
      </c>
      <c r="B12" s="17" t="str">
        <f>分類タイトル</f>
        <v>分類名</v>
      </c>
      <c r="C12" s="17" t="s">
        <v>6</v>
      </c>
      <c r="D12" s="17" t="s">
        <v>7</v>
      </c>
      <c r="E12" s="18" t="s">
        <v>8</v>
      </c>
      <c r="F12" s="17" t="s">
        <v>9</v>
      </c>
      <c r="G12" s="17" t="s">
        <v>10</v>
      </c>
      <c r="H12" s="18" t="s">
        <v>11</v>
      </c>
      <c r="I12" s="19" t="s">
        <v>12</v>
      </c>
      <c r="J12" s="20">
        <f>C4</f>
        <v>42828</v>
      </c>
      <c r="K12" s="21">
        <f t="shared" ref="K12:AP12" si="0">J12+1</f>
        <v>42829</v>
      </c>
      <c r="L12" s="21">
        <f t="shared" si="0"/>
        <v>42830</v>
      </c>
      <c r="M12" s="21">
        <f t="shared" si="0"/>
        <v>42831</v>
      </c>
      <c r="N12" s="21">
        <f t="shared" si="0"/>
        <v>42832</v>
      </c>
      <c r="O12" s="21">
        <f t="shared" si="0"/>
        <v>42833</v>
      </c>
      <c r="P12" s="21">
        <f t="shared" si="0"/>
        <v>42834</v>
      </c>
      <c r="Q12" s="21">
        <f t="shared" si="0"/>
        <v>42835</v>
      </c>
      <c r="R12" s="21">
        <f t="shared" si="0"/>
        <v>42836</v>
      </c>
      <c r="S12" s="21">
        <f t="shared" si="0"/>
        <v>42837</v>
      </c>
      <c r="T12" s="21">
        <f t="shared" si="0"/>
        <v>42838</v>
      </c>
      <c r="U12" s="21">
        <f t="shared" si="0"/>
        <v>42839</v>
      </c>
      <c r="V12" s="21">
        <f t="shared" si="0"/>
        <v>42840</v>
      </c>
      <c r="W12" s="21">
        <f t="shared" si="0"/>
        <v>42841</v>
      </c>
      <c r="X12" s="21">
        <f t="shared" si="0"/>
        <v>42842</v>
      </c>
      <c r="Y12" s="21">
        <f t="shared" si="0"/>
        <v>42843</v>
      </c>
      <c r="Z12" s="21">
        <f t="shared" si="0"/>
        <v>42844</v>
      </c>
      <c r="AA12" s="21">
        <f t="shared" si="0"/>
        <v>42845</v>
      </c>
      <c r="AB12" s="21">
        <f t="shared" si="0"/>
        <v>42846</v>
      </c>
      <c r="AC12" s="21">
        <f t="shared" si="0"/>
        <v>42847</v>
      </c>
      <c r="AD12" s="21">
        <f t="shared" si="0"/>
        <v>42848</v>
      </c>
      <c r="AE12" s="21">
        <f t="shared" si="0"/>
        <v>42849</v>
      </c>
      <c r="AF12" s="21">
        <f t="shared" si="0"/>
        <v>42850</v>
      </c>
      <c r="AG12" s="21">
        <f t="shared" si="0"/>
        <v>42851</v>
      </c>
      <c r="AH12" s="21">
        <f t="shared" si="0"/>
        <v>42852</v>
      </c>
      <c r="AI12" s="21">
        <f t="shared" si="0"/>
        <v>42853</v>
      </c>
      <c r="AJ12" s="21">
        <f t="shared" si="0"/>
        <v>42854</v>
      </c>
      <c r="AK12" s="21">
        <f t="shared" si="0"/>
        <v>42855</v>
      </c>
      <c r="AL12" s="21">
        <f t="shared" si="0"/>
        <v>42856</v>
      </c>
      <c r="AM12" s="21">
        <f t="shared" si="0"/>
        <v>42857</v>
      </c>
      <c r="AN12" s="21">
        <f t="shared" si="0"/>
        <v>42858</v>
      </c>
      <c r="AO12" s="21">
        <f t="shared" si="0"/>
        <v>42859</v>
      </c>
      <c r="AP12" s="21">
        <f t="shared" si="0"/>
        <v>42860</v>
      </c>
      <c r="AQ12" s="21">
        <f t="shared" ref="AQ12:BS12" si="1">AP12+1</f>
        <v>42861</v>
      </c>
      <c r="AR12" s="21">
        <f t="shared" si="1"/>
        <v>42862</v>
      </c>
      <c r="AS12" s="21">
        <f t="shared" si="1"/>
        <v>42863</v>
      </c>
      <c r="AT12" s="21">
        <f t="shared" si="1"/>
        <v>42864</v>
      </c>
      <c r="AU12" s="21">
        <f t="shared" si="1"/>
        <v>42865</v>
      </c>
      <c r="AV12" s="21">
        <f t="shared" si="1"/>
        <v>42866</v>
      </c>
      <c r="AW12" s="21">
        <f t="shared" si="1"/>
        <v>42867</v>
      </c>
      <c r="AX12" s="21">
        <f t="shared" si="1"/>
        <v>42868</v>
      </c>
      <c r="AY12" s="21">
        <f t="shared" si="1"/>
        <v>42869</v>
      </c>
      <c r="AZ12" s="21">
        <f t="shared" si="1"/>
        <v>42870</v>
      </c>
      <c r="BA12" s="21">
        <f t="shared" si="1"/>
        <v>42871</v>
      </c>
      <c r="BB12" s="21">
        <f t="shared" si="1"/>
        <v>42872</v>
      </c>
      <c r="BC12" s="21">
        <f t="shared" si="1"/>
        <v>42873</v>
      </c>
      <c r="BD12" s="21">
        <f t="shared" si="1"/>
        <v>42874</v>
      </c>
      <c r="BE12" s="21">
        <f t="shared" si="1"/>
        <v>42875</v>
      </c>
      <c r="BF12" s="21">
        <f t="shared" si="1"/>
        <v>42876</v>
      </c>
      <c r="BG12" s="21">
        <f t="shared" si="1"/>
        <v>42877</v>
      </c>
      <c r="BH12" s="21">
        <f t="shared" si="1"/>
        <v>42878</v>
      </c>
      <c r="BI12" s="21">
        <f t="shared" si="1"/>
        <v>42879</v>
      </c>
      <c r="BJ12" s="21">
        <f t="shared" si="1"/>
        <v>42880</v>
      </c>
      <c r="BK12" s="21">
        <f t="shared" si="1"/>
        <v>42881</v>
      </c>
      <c r="BL12" s="21">
        <f t="shared" si="1"/>
        <v>42882</v>
      </c>
      <c r="BM12" s="21">
        <f t="shared" si="1"/>
        <v>42883</v>
      </c>
      <c r="BN12" s="21">
        <f t="shared" si="1"/>
        <v>42884</v>
      </c>
      <c r="BO12" s="21">
        <f t="shared" si="1"/>
        <v>42885</v>
      </c>
      <c r="BP12" s="21">
        <f t="shared" si="1"/>
        <v>42886</v>
      </c>
      <c r="BQ12" s="21">
        <f t="shared" si="1"/>
        <v>42887</v>
      </c>
      <c r="BR12" s="21">
        <f t="shared" si="1"/>
        <v>42888</v>
      </c>
      <c r="BS12" s="21">
        <f t="shared" si="1"/>
        <v>42889</v>
      </c>
      <c r="BT12" s="21">
        <f t="shared" ref="BT12:CT12" si="2">BS12+1</f>
        <v>42890</v>
      </c>
      <c r="BU12" s="21">
        <f t="shared" si="2"/>
        <v>42891</v>
      </c>
      <c r="BV12" s="21">
        <f t="shared" si="2"/>
        <v>42892</v>
      </c>
      <c r="BW12" s="21">
        <f t="shared" si="2"/>
        <v>42893</v>
      </c>
      <c r="BX12" s="21">
        <f t="shared" si="2"/>
        <v>42894</v>
      </c>
      <c r="BY12" s="21">
        <f t="shared" si="2"/>
        <v>42895</v>
      </c>
      <c r="BZ12" s="21">
        <f t="shared" si="2"/>
        <v>42896</v>
      </c>
      <c r="CA12" s="21">
        <f t="shared" si="2"/>
        <v>42897</v>
      </c>
      <c r="CB12" s="21">
        <f t="shared" si="2"/>
        <v>42898</v>
      </c>
      <c r="CC12" s="21">
        <f t="shared" si="2"/>
        <v>42899</v>
      </c>
      <c r="CD12" s="21">
        <f t="shared" si="2"/>
        <v>42900</v>
      </c>
      <c r="CE12" s="21">
        <f t="shared" si="2"/>
        <v>42901</v>
      </c>
      <c r="CF12" s="21">
        <f t="shared" si="2"/>
        <v>42902</v>
      </c>
      <c r="CG12" s="21">
        <f t="shared" si="2"/>
        <v>42903</v>
      </c>
      <c r="CH12" s="21">
        <f t="shared" si="2"/>
        <v>42904</v>
      </c>
      <c r="CI12" s="21">
        <f t="shared" si="2"/>
        <v>42905</v>
      </c>
      <c r="CJ12" s="21">
        <f t="shared" si="2"/>
        <v>42906</v>
      </c>
      <c r="CK12" s="21">
        <f t="shared" si="2"/>
        <v>42907</v>
      </c>
      <c r="CL12" s="21">
        <f t="shared" si="2"/>
        <v>42908</v>
      </c>
      <c r="CM12" s="21">
        <f t="shared" si="2"/>
        <v>42909</v>
      </c>
      <c r="CN12" s="21">
        <f t="shared" si="2"/>
        <v>42910</v>
      </c>
      <c r="CO12" s="21">
        <f t="shared" si="2"/>
        <v>42911</v>
      </c>
      <c r="CP12" s="21">
        <f t="shared" si="2"/>
        <v>42912</v>
      </c>
      <c r="CQ12" s="21">
        <f t="shared" si="2"/>
        <v>42913</v>
      </c>
      <c r="CR12" s="21">
        <f t="shared" si="2"/>
        <v>42914</v>
      </c>
      <c r="CS12" s="21">
        <f t="shared" si="2"/>
        <v>42915</v>
      </c>
      <c r="CT12" s="21">
        <f t="shared" si="2"/>
        <v>42916</v>
      </c>
      <c r="CU12" s="21">
        <f t="shared" ref="CU12:DZ12" si="3">CT12+1</f>
        <v>42917</v>
      </c>
      <c r="CV12" s="21">
        <f t="shared" si="3"/>
        <v>42918</v>
      </c>
      <c r="CW12" s="21">
        <f t="shared" si="3"/>
        <v>42919</v>
      </c>
      <c r="CX12" s="21">
        <f t="shared" si="3"/>
        <v>42920</v>
      </c>
      <c r="CY12" s="21">
        <f t="shared" si="3"/>
        <v>42921</v>
      </c>
      <c r="CZ12" s="21">
        <f t="shared" si="3"/>
        <v>42922</v>
      </c>
      <c r="DA12" s="21">
        <f t="shared" si="3"/>
        <v>42923</v>
      </c>
      <c r="DB12" s="21">
        <f t="shared" si="3"/>
        <v>42924</v>
      </c>
      <c r="DC12" s="21">
        <f t="shared" si="3"/>
        <v>42925</v>
      </c>
      <c r="DD12" s="21">
        <f t="shared" si="3"/>
        <v>42926</v>
      </c>
      <c r="DE12" s="21">
        <f t="shared" si="3"/>
        <v>42927</v>
      </c>
      <c r="DF12" s="21">
        <f t="shared" si="3"/>
        <v>42928</v>
      </c>
      <c r="DG12" s="21">
        <f t="shared" si="3"/>
        <v>42929</v>
      </c>
      <c r="DH12" s="21">
        <f t="shared" si="3"/>
        <v>42930</v>
      </c>
      <c r="DI12" s="21">
        <f t="shared" si="3"/>
        <v>42931</v>
      </c>
      <c r="DJ12" s="21">
        <f t="shared" si="3"/>
        <v>42932</v>
      </c>
      <c r="DK12" s="21">
        <f t="shared" si="3"/>
        <v>42933</v>
      </c>
      <c r="DL12" s="21">
        <f t="shared" si="3"/>
        <v>42934</v>
      </c>
      <c r="DM12" s="21">
        <f t="shared" si="3"/>
        <v>42935</v>
      </c>
      <c r="DN12" s="21">
        <f t="shared" si="3"/>
        <v>42936</v>
      </c>
      <c r="DO12" s="21">
        <f t="shared" si="3"/>
        <v>42937</v>
      </c>
      <c r="DP12" s="21">
        <f t="shared" si="3"/>
        <v>42938</v>
      </c>
      <c r="DQ12" s="21">
        <f t="shared" si="3"/>
        <v>42939</v>
      </c>
      <c r="DR12" s="21">
        <f t="shared" si="3"/>
        <v>42940</v>
      </c>
      <c r="DS12" s="21">
        <f t="shared" si="3"/>
        <v>42941</v>
      </c>
      <c r="DT12" s="21">
        <f t="shared" si="3"/>
        <v>42942</v>
      </c>
      <c r="DU12" s="21">
        <f t="shared" si="3"/>
        <v>42943</v>
      </c>
      <c r="DV12" s="21">
        <f t="shared" si="3"/>
        <v>42944</v>
      </c>
      <c r="DW12" s="21">
        <f t="shared" si="3"/>
        <v>42945</v>
      </c>
      <c r="DX12" s="21">
        <f t="shared" si="3"/>
        <v>42946</v>
      </c>
      <c r="DY12" s="21">
        <f t="shared" si="3"/>
        <v>42947</v>
      </c>
      <c r="DZ12" s="21">
        <f t="shared" si="3"/>
        <v>42948</v>
      </c>
      <c r="EA12" s="21">
        <f t="shared" ref="EA12:FF12" si="4">DZ12+1</f>
        <v>42949</v>
      </c>
      <c r="EB12" s="21">
        <f t="shared" si="4"/>
        <v>42950</v>
      </c>
      <c r="EC12" s="21">
        <f t="shared" si="4"/>
        <v>42951</v>
      </c>
      <c r="ED12" s="21">
        <f t="shared" si="4"/>
        <v>42952</v>
      </c>
      <c r="EE12" s="21">
        <f t="shared" si="4"/>
        <v>42953</v>
      </c>
      <c r="EF12" s="21">
        <f t="shared" si="4"/>
        <v>42954</v>
      </c>
      <c r="EG12" s="21">
        <f t="shared" si="4"/>
        <v>42955</v>
      </c>
      <c r="EH12" s="21">
        <f t="shared" si="4"/>
        <v>42956</v>
      </c>
      <c r="EI12" s="21">
        <f t="shared" si="4"/>
        <v>42957</v>
      </c>
      <c r="EJ12" s="21">
        <f t="shared" si="4"/>
        <v>42958</v>
      </c>
      <c r="EK12" s="21">
        <f t="shared" si="4"/>
        <v>42959</v>
      </c>
      <c r="EL12" s="21">
        <f t="shared" si="4"/>
        <v>42960</v>
      </c>
      <c r="EM12" s="21">
        <f t="shared" si="4"/>
        <v>42961</v>
      </c>
      <c r="EN12" s="21">
        <f t="shared" si="4"/>
        <v>42962</v>
      </c>
      <c r="EO12" s="21">
        <f t="shared" si="4"/>
        <v>42963</v>
      </c>
      <c r="EP12" s="21">
        <f t="shared" si="4"/>
        <v>42964</v>
      </c>
      <c r="EQ12" s="21">
        <f t="shared" si="4"/>
        <v>42965</v>
      </c>
      <c r="ER12" s="21">
        <f t="shared" si="4"/>
        <v>42966</v>
      </c>
      <c r="ES12" s="21">
        <f t="shared" si="4"/>
        <v>42967</v>
      </c>
      <c r="ET12" s="21">
        <f t="shared" si="4"/>
        <v>42968</v>
      </c>
      <c r="EU12" s="21">
        <f t="shared" si="4"/>
        <v>42969</v>
      </c>
      <c r="EV12" s="21">
        <f t="shared" si="4"/>
        <v>42970</v>
      </c>
      <c r="EW12" s="21">
        <f t="shared" si="4"/>
        <v>42971</v>
      </c>
      <c r="EX12" s="21">
        <f t="shared" si="4"/>
        <v>42972</v>
      </c>
      <c r="EY12" s="21">
        <f t="shared" si="4"/>
        <v>42973</v>
      </c>
      <c r="EZ12" s="21">
        <f t="shared" si="4"/>
        <v>42974</v>
      </c>
      <c r="FA12" s="21">
        <f t="shared" si="4"/>
        <v>42975</v>
      </c>
      <c r="FB12" s="21">
        <f t="shared" si="4"/>
        <v>42976</v>
      </c>
      <c r="FC12" s="21">
        <f t="shared" si="4"/>
        <v>42977</v>
      </c>
      <c r="FD12" s="21">
        <f t="shared" si="4"/>
        <v>42978</v>
      </c>
      <c r="FE12" s="21">
        <f t="shared" si="4"/>
        <v>42979</v>
      </c>
      <c r="FF12" s="21">
        <f t="shared" si="4"/>
        <v>42980</v>
      </c>
      <c r="FG12" s="21">
        <f t="shared" ref="FG12:GA12" si="5">FF12+1</f>
        <v>42981</v>
      </c>
      <c r="FH12" s="21">
        <f t="shared" si="5"/>
        <v>42982</v>
      </c>
      <c r="FI12" s="21">
        <f t="shared" si="5"/>
        <v>42983</v>
      </c>
      <c r="FJ12" s="21">
        <f t="shared" si="5"/>
        <v>42984</v>
      </c>
      <c r="FK12" s="21">
        <f t="shared" si="5"/>
        <v>42985</v>
      </c>
      <c r="FL12" s="21">
        <f t="shared" si="5"/>
        <v>42986</v>
      </c>
      <c r="FM12" s="21">
        <f t="shared" si="5"/>
        <v>42987</v>
      </c>
      <c r="FN12" s="21">
        <f t="shared" si="5"/>
        <v>42988</v>
      </c>
      <c r="FO12" s="21">
        <f t="shared" si="5"/>
        <v>42989</v>
      </c>
      <c r="FP12" s="21">
        <f t="shared" si="5"/>
        <v>42990</v>
      </c>
      <c r="FQ12" s="21">
        <f t="shared" si="5"/>
        <v>42991</v>
      </c>
      <c r="FR12" s="21">
        <f t="shared" si="5"/>
        <v>42992</v>
      </c>
      <c r="FS12" s="21">
        <f t="shared" si="5"/>
        <v>42993</v>
      </c>
      <c r="FT12" s="21">
        <f t="shared" si="5"/>
        <v>42994</v>
      </c>
      <c r="FU12" s="21">
        <f t="shared" si="5"/>
        <v>42995</v>
      </c>
      <c r="FV12" s="21">
        <f t="shared" si="5"/>
        <v>42996</v>
      </c>
      <c r="FW12" s="21">
        <f t="shared" si="5"/>
        <v>42997</v>
      </c>
      <c r="FX12" s="21">
        <f t="shared" si="5"/>
        <v>42998</v>
      </c>
      <c r="FY12" s="21">
        <f t="shared" si="5"/>
        <v>42999</v>
      </c>
      <c r="FZ12" s="21">
        <f t="shared" si="5"/>
        <v>43000</v>
      </c>
      <c r="GA12" s="21">
        <f t="shared" si="5"/>
        <v>43001</v>
      </c>
      <c r="GB12" s="21">
        <f t="shared" ref="GB12:GI12" si="6">GA12+1</f>
        <v>43002</v>
      </c>
      <c r="GC12" s="21">
        <f t="shared" si="6"/>
        <v>43003</v>
      </c>
      <c r="GD12" s="21">
        <f t="shared" si="6"/>
        <v>43004</v>
      </c>
      <c r="GE12" s="21">
        <f t="shared" si="6"/>
        <v>43005</v>
      </c>
      <c r="GF12" s="21">
        <f t="shared" si="6"/>
        <v>43006</v>
      </c>
      <c r="GG12" s="21">
        <f t="shared" si="6"/>
        <v>43007</v>
      </c>
      <c r="GH12" s="21">
        <f t="shared" si="6"/>
        <v>43008</v>
      </c>
      <c r="GI12" s="21">
        <f t="shared" si="6"/>
        <v>43009</v>
      </c>
    </row>
    <row r="13" spans="1:191" x14ac:dyDescent="0.15">
      <c r="A13" s="23">
        <v>1</v>
      </c>
      <c r="B13" s="24" t="s">
        <v>117</v>
      </c>
      <c r="C13" s="25" t="s">
        <v>111</v>
      </c>
      <c r="D13" s="26" t="s">
        <v>114</v>
      </c>
      <c r="E13" s="27" t="s">
        <v>13</v>
      </c>
      <c r="F13" s="28">
        <v>42828</v>
      </c>
      <c r="G13" s="28">
        <v>42841</v>
      </c>
      <c r="H13" s="29">
        <f>SUM(J13:GI13)</f>
        <v>0</v>
      </c>
      <c r="I13" s="30"/>
      <c r="J13" s="31"/>
      <c r="K13" s="32"/>
      <c r="L13" s="32"/>
      <c r="M13" s="32"/>
      <c r="N13" s="32"/>
      <c r="O13" s="32"/>
      <c r="P13" s="32"/>
      <c r="Q13" s="32"/>
      <c r="R13" s="32"/>
      <c r="S13" s="32"/>
      <c r="T13" s="32"/>
      <c r="U13" s="32"/>
      <c r="V13" s="32"/>
      <c r="W13" s="32"/>
      <c r="X13" s="32"/>
      <c r="Y13" s="32"/>
      <c r="Z13" s="32"/>
      <c r="AA13" s="32"/>
      <c r="AB13" s="32"/>
      <c r="AC13" s="32"/>
      <c r="AD13" s="32"/>
      <c r="AE13" s="32"/>
      <c r="AF13" s="32"/>
      <c r="AG13" s="32"/>
      <c r="AH13" s="32"/>
      <c r="AI13" s="32"/>
      <c r="AJ13" s="32"/>
      <c r="AK13" s="32"/>
      <c r="AL13" s="32"/>
      <c r="AM13" s="32"/>
      <c r="AN13" s="32"/>
      <c r="AO13" s="32"/>
      <c r="AP13" s="33"/>
      <c r="AQ13" s="33"/>
      <c r="AR13" s="33"/>
      <c r="AS13" s="33"/>
      <c r="AT13" s="33"/>
      <c r="AU13" s="33"/>
      <c r="AV13" s="33"/>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c r="BW13" s="33"/>
      <c r="BX13" s="33"/>
      <c r="BY13" s="33"/>
      <c r="BZ13" s="33"/>
      <c r="CA13" s="33"/>
      <c r="CB13" s="33"/>
      <c r="CC13" s="33"/>
      <c r="CD13" s="33"/>
      <c r="CE13" s="33"/>
      <c r="CF13" s="33"/>
      <c r="CG13" s="33"/>
      <c r="CH13" s="33"/>
      <c r="CI13" s="33"/>
      <c r="CJ13" s="33"/>
      <c r="CK13" s="33"/>
      <c r="CL13" s="33"/>
      <c r="CM13" s="33"/>
      <c r="CN13" s="33"/>
      <c r="CO13" s="33"/>
      <c r="CP13" s="33"/>
      <c r="CQ13" s="33"/>
      <c r="CR13" s="33"/>
      <c r="CS13" s="33"/>
      <c r="CT13" s="33"/>
      <c r="CU13" s="33"/>
      <c r="CV13" s="33"/>
      <c r="CW13" s="33"/>
      <c r="CX13" s="33"/>
      <c r="CY13" s="33"/>
      <c r="CZ13" s="33"/>
      <c r="DA13" s="33"/>
      <c r="DB13" s="33"/>
      <c r="DC13" s="33"/>
      <c r="DD13" s="33"/>
      <c r="DE13" s="33"/>
      <c r="DF13" s="33"/>
      <c r="DG13" s="33"/>
      <c r="DH13" s="33"/>
      <c r="DI13" s="33"/>
      <c r="DJ13" s="33"/>
      <c r="DK13" s="33"/>
      <c r="DL13" s="33"/>
      <c r="DM13" s="33"/>
      <c r="DN13" s="33"/>
      <c r="DO13" s="33"/>
      <c r="DP13" s="33"/>
      <c r="DQ13" s="33"/>
      <c r="DR13" s="33"/>
      <c r="DS13" s="33"/>
      <c r="DT13" s="33"/>
      <c r="DU13" s="33"/>
      <c r="DV13" s="33"/>
      <c r="DW13" s="33"/>
      <c r="DX13" s="33"/>
      <c r="DY13" s="33"/>
      <c r="DZ13" s="33"/>
      <c r="EA13" s="33"/>
      <c r="EB13" s="33"/>
      <c r="EC13" s="33"/>
      <c r="ED13" s="33"/>
      <c r="EE13" s="33"/>
      <c r="EF13" s="33"/>
      <c r="EG13" s="33"/>
      <c r="EH13" s="33"/>
      <c r="EI13" s="33"/>
      <c r="EJ13" s="33"/>
      <c r="EK13" s="33"/>
      <c r="EL13" s="33"/>
      <c r="EM13" s="33"/>
      <c r="EN13" s="33"/>
      <c r="EO13" s="33"/>
      <c r="EP13" s="33"/>
      <c r="EQ13" s="33"/>
      <c r="ER13" s="33"/>
      <c r="ES13" s="33"/>
      <c r="ET13" s="33"/>
      <c r="EU13" s="33"/>
      <c r="EV13" s="33"/>
      <c r="EW13" s="33"/>
      <c r="EX13" s="33"/>
      <c r="EY13" s="33"/>
      <c r="EZ13" s="33"/>
      <c r="FA13" s="33"/>
      <c r="FB13" s="33"/>
      <c r="FC13" s="33"/>
      <c r="FD13" s="33"/>
      <c r="FE13" s="33"/>
      <c r="FF13" s="33"/>
      <c r="FG13" s="33"/>
      <c r="FH13" s="33"/>
      <c r="FI13" s="33"/>
      <c r="FJ13" s="33"/>
      <c r="FK13" s="33"/>
      <c r="FL13" s="33"/>
      <c r="FM13" s="33"/>
      <c r="FN13" s="33"/>
      <c r="FO13" s="33"/>
      <c r="FP13" s="33"/>
      <c r="FQ13" s="33"/>
      <c r="FR13" s="33"/>
      <c r="FS13" s="33"/>
      <c r="FT13" s="33"/>
      <c r="FU13" s="33"/>
      <c r="FV13" s="33"/>
      <c r="FW13" s="33"/>
      <c r="FX13" s="33"/>
      <c r="FY13" s="33"/>
      <c r="FZ13" s="33"/>
      <c r="GA13" s="33"/>
      <c r="GB13" s="33"/>
      <c r="GC13" s="33"/>
      <c r="GD13" s="33"/>
      <c r="GE13" s="33"/>
      <c r="GF13" s="33"/>
      <c r="GG13" s="33"/>
      <c r="GH13" s="33"/>
      <c r="GI13" s="34"/>
    </row>
    <row r="14" spans="1:191" x14ac:dyDescent="0.15">
      <c r="A14" s="35">
        <f>A13</f>
        <v>1</v>
      </c>
      <c r="B14" s="36" t="str">
        <f>B13</f>
        <v>SA</v>
      </c>
      <c r="C14" s="36" t="str">
        <f>C13</f>
        <v>開発計画書作成</v>
      </c>
      <c r="D14" s="37" t="str">
        <f>D13</f>
        <v>那須</v>
      </c>
      <c r="E14" s="38" t="s">
        <v>0</v>
      </c>
      <c r="F14" s="39">
        <v>42828</v>
      </c>
      <c r="G14" s="39"/>
      <c r="H14" s="55">
        <f>SUM(J14:GI14)</f>
        <v>0</v>
      </c>
      <c r="I14" s="40">
        <f>IF(OR(H13="",H14=""),"",H14-H13)</f>
        <v>0</v>
      </c>
      <c r="J14" s="41"/>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43"/>
      <c r="CG14" s="43"/>
      <c r="CH14" s="43"/>
      <c r="CI14" s="43"/>
      <c r="CJ14" s="43"/>
      <c r="CK14" s="43"/>
      <c r="CL14" s="43"/>
      <c r="CM14" s="43"/>
      <c r="CN14" s="43"/>
      <c r="CO14" s="43"/>
      <c r="CP14" s="43"/>
      <c r="CQ14" s="43"/>
      <c r="CR14" s="43"/>
      <c r="CS14" s="43"/>
      <c r="CT14" s="43"/>
      <c r="CU14" s="43"/>
      <c r="CV14" s="43"/>
      <c r="CW14" s="43"/>
      <c r="CX14" s="43"/>
      <c r="CY14" s="43"/>
      <c r="CZ14" s="43"/>
      <c r="DA14" s="43"/>
      <c r="DB14" s="43"/>
      <c r="DC14" s="43"/>
      <c r="DD14" s="43"/>
      <c r="DE14" s="43"/>
      <c r="DF14" s="43"/>
      <c r="DG14" s="43"/>
      <c r="DH14" s="43"/>
      <c r="DI14" s="43"/>
      <c r="DJ14" s="43"/>
      <c r="DK14" s="43"/>
      <c r="DL14" s="43"/>
      <c r="DM14" s="43"/>
      <c r="DN14" s="43"/>
      <c r="DO14" s="43"/>
      <c r="DP14" s="43"/>
      <c r="DQ14" s="43"/>
      <c r="DR14" s="43"/>
      <c r="DS14" s="43"/>
      <c r="DT14" s="43"/>
      <c r="DU14" s="43"/>
      <c r="DV14" s="43"/>
      <c r="DW14" s="43"/>
      <c r="DX14" s="43"/>
      <c r="DY14" s="43"/>
      <c r="DZ14" s="43"/>
      <c r="EA14" s="43"/>
      <c r="EB14" s="43"/>
      <c r="EC14" s="43"/>
      <c r="ED14" s="43"/>
      <c r="EE14" s="43"/>
      <c r="EF14" s="43"/>
      <c r="EG14" s="43"/>
      <c r="EH14" s="43"/>
      <c r="EI14" s="43"/>
      <c r="EJ14" s="43"/>
      <c r="EK14" s="43"/>
      <c r="EL14" s="43"/>
      <c r="EM14" s="43"/>
      <c r="EN14" s="43"/>
      <c r="EO14" s="43"/>
      <c r="EP14" s="43"/>
      <c r="EQ14" s="43"/>
      <c r="ER14" s="43"/>
      <c r="ES14" s="43"/>
      <c r="ET14" s="43"/>
      <c r="EU14" s="43"/>
      <c r="EV14" s="43"/>
      <c r="EW14" s="43"/>
      <c r="EX14" s="43"/>
      <c r="EY14" s="43"/>
      <c r="EZ14" s="43"/>
      <c r="FA14" s="43"/>
      <c r="FB14" s="43"/>
      <c r="FC14" s="43"/>
      <c r="FD14" s="43"/>
      <c r="FE14" s="43"/>
      <c r="FF14" s="43"/>
      <c r="FG14" s="43"/>
      <c r="FH14" s="43"/>
      <c r="FI14" s="43"/>
      <c r="FJ14" s="43"/>
      <c r="FK14" s="43"/>
      <c r="FL14" s="43"/>
      <c r="FM14" s="43"/>
      <c r="FN14" s="43"/>
      <c r="FO14" s="43"/>
      <c r="FP14" s="43"/>
      <c r="FQ14" s="43"/>
      <c r="FR14" s="43"/>
      <c r="FS14" s="43"/>
      <c r="FT14" s="43"/>
      <c r="FU14" s="43"/>
      <c r="FV14" s="43"/>
      <c r="FW14" s="43"/>
      <c r="FX14" s="43"/>
      <c r="FY14" s="43"/>
      <c r="FZ14" s="43"/>
      <c r="GA14" s="43"/>
      <c r="GB14" s="43"/>
      <c r="GC14" s="43"/>
      <c r="GD14" s="43"/>
      <c r="GE14" s="43"/>
      <c r="GF14" s="43"/>
      <c r="GG14" s="43"/>
      <c r="GH14" s="43"/>
      <c r="GI14" s="44"/>
    </row>
    <row r="15" spans="1:191" x14ac:dyDescent="0.15">
      <c r="A15" s="23">
        <v>2</v>
      </c>
      <c r="B15" s="24" t="s">
        <v>118</v>
      </c>
      <c r="C15" s="45" t="s">
        <v>112</v>
      </c>
      <c r="D15" s="26" t="s">
        <v>115</v>
      </c>
      <c r="E15" s="46" t="s">
        <v>13</v>
      </c>
      <c r="F15" s="47">
        <v>42828</v>
      </c>
      <c r="G15" s="47">
        <v>42841</v>
      </c>
      <c r="H15" s="29">
        <f>SUM(J15:GI15)</f>
        <v>0</v>
      </c>
      <c r="I15" s="48"/>
      <c r="J15" s="49"/>
      <c r="K15" s="50"/>
      <c r="L15" s="50"/>
      <c r="M15" s="50"/>
      <c r="N15" s="50"/>
      <c r="O15" s="50"/>
      <c r="P15" s="50"/>
      <c r="Q15" s="50"/>
      <c r="R15" s="50"/>
      <c r="S15" s="50"/>
      <c r="T15" s="50"/>
      <c r="U15" s="50"/>
      <c r="V15" s="50"/>
      <c r="W15" s="50"/>
      <c r="X15" s="50"/>
      <c r="Y15" s="50"/>
      <c r="Z15" s="50"/>
      <c r="AA15" s="50"/>
      <c r="AB15" s="50"/>
      <c r="AC15" s="50"/>
      <c r="AD15" s="50"/>
      <c r="AE15" s="50"/>
      <c r="AF15" s="50"/>
      <c r="AG15" s="50"/>
      <c r="AH15" s="50"/>
      <c r="AI15" s="50"/>
      <c r="AJ15" s="50"/>
      <c r="AK15" s="50"/>
      <c r="AL15" s="50"/>
      <c r="AM15" s="50"/>
      <c r="AN15" s="50"/>
      <c r="AO15" s="50"/>
      <c r="AP15" s="51"/>
      <c r="AQ15" s="51"/>
      <c r="AR15" s="51"/>
      <c r="AS15" s="51"/>
      <c r="AT15" s="51"/>
      <c r="AU15" s="51"/>
      <c r="AV15" s="51"/>
      <c r="AW15" s="51"/>
      <c r="AX15" s="51"/>
      <c r="AY15" s="51"/>
      <c r="AZ15" s="51"/>
      <c r="BA15" s="51"/>
      <c r="BB15" s="51"/>
      <c r="BC15" s="51"/>
      <c r="BD15" s="51"/>
      <c r="BE15" s="51"/>
      <c r="BF15" s="51"/>
      <c r="BG15" s="51"/>
      <c r="BH15" s="51"/>
      <c r="BI15" s="51"/>
      <c r="BJ15" s="51"/>
      <c r="BK15" s="51"/>
      <c r="BL15" s="51"/>
      <c r="BM15" s="51"/>
      <c r="BN15" s="51"/>
      <c r="BO15" s="51"/>
      <c r="BP15" s="51"/>
      <c r="BQ15" s="51"/>
      <c r="BR15" s="51"/>
      <c r="BS15" s="51"/>
      <c r="BT15" s="51"/>
      <c r="BU15" s="51"/>
      <c r="BV15" s="51"/>
      <c r="BW15" s="51"/>
      <c r="BX15" s="51"/>
      <c r="BY15" s="51"/>
      <c r="BZ15" s="51"/>
      <c r="CA15" s="51"/>
      <c r="CB15" s="51"/>
      <c r="CC15" s="51"/>
      <c r="CD15" s="51"/>
      <c r="CE15" s="51"/>
      <c r="CF15" s="51"/>
      <c r="CG15" s="51"/>
      <c r="CH15" s="51"/>
      <c r="CI15" s="51"/>
      <c r="CJ15" s="51"/>
      <c r="CK15" s="51"/>
      <c r="CL15" s="51"/>
      <c r="CM15" s="51"/>
      <c r="CN15" s="51"/>
      <c r="CO15" s="51"/>
      <c r="CP15" s="51"/>
      <c r="CQ15" s="51"/>
      <c r="CR15" s="51"/>
      <c r="CS15" s="51"/>
      <c r="CT15" s="51"/>
      <c r="CU15" s="51"/>
      <c r="CV15" s="51"/>
      <c r="CW15" s="51"/>
      <c r="CX15" s="51"/>
      <c r="CY15" s="51"/>
      <c r="CZ15" s="51"/>
      <c r="DA15" s="51"/>
      <c r="DB15" s="51"/>
      <c r="DC15" s="51"/>
      <c r="DD15" s="51"/>
      <c r="DE15" s="51"/>
      <c r="DF15" s="51"/>
      <c r="DG15" s="51"/>
      <c r="DH15" s="51"/>
      <c r="DI15" s="51"/>
      <c r="DJ15" s="51"/>
      <c r="DK15" s="51"/>
      <c r="DL15" s="51"/>
      <c r="DM15" s="51"/>
      <c r="DN15" s="51"/>
      <c r="DO15" s="51"/>
      <c r="DP15" s="51"/>
      <c r="DQ15" s="51"/>
      <c r="DR15" s="51"/>
      <c r="DS15" s="51"/>
      <c r="DT15" s="51"/>
      <c r="DU15" s="51"/>
      <c r="DV15" s="51"/>
      <c r="DW15" s="51"/>
      <c r="DX15" s="51"/>
      <c r="DY15" s="51"/>
      <c r="DZ15" s="51"/>
      <c r="EA15" s="51"/>
      <c r="EB15" s="51"/>
      <c r="EC15" s="51"/>
      <c r="ED15" s="51"/>
      <c r="EE15" s="51"/>
      <c r="EF15" s="51"/>
      <c r="EG15" s="51"/>
      <c r="EH15" s="51"/>
      <c r="EI15" s="51"/>
      <c r="EJ15" s="51"/>
      <c r="EK15" s="51"/>
      <c r="EL15" s="51"/>
      <c r="EM15" s="51"/>
      <c r="EN15" s="51"/>
      <c r="EO15" s="51"/>
      <c r="EP15" s="51"/>
      <c r="EQ15" s="51"/>
      <c r="ER15" s="51"/>
      <c r="ES15" s="51"/>
      <c r="ET15" s="51"/>
      <c r="EU15" s="51"/>
      <c r="EV15" s="51"/>
      <c r="EW15" s="51"/>
      <c r="EX15" s="51"/>
      <c r="EY15" s="51"/>
      <c r="EZ15" s="51"/>
      <c r="FA15" s="51"/>
      <c r="FB15" s="51"/>
      <c r="FC15" s="51"/>
      <c r="FD15" s="51"/>
      <c r="FE15" s="51"/>
      <c r="FF15" s="51"/>
      <c r="FG15" s="51"/>
      <c r="FH15" s="51"/>
      <c r="FI15" s="51"/>
      <c r="FJ15" s="51"/>
      <c r="FK15" s="51"/>
      <c r="FL15" s="51"/>
      <c r="FM15" s="51"/>
      <c r="FN15" s="51"/>
      <c r="FO15" s="51"/>
      <c r="FP15" s="51"/>
      <c r="FQ15" s="51"/>
      <c r="FR15" s="51"/>
      <c r="FS15" s="51"/>
      <c r="FT15" s="51"/>
      <c r="FU15" s="51"/>
      <c r="FV15" s="51"/>
      <c r="FW15" s="51"/>
      <c r="FX15" s="51"/>
      <c r="FY15" s="51"/>
      <c r="FZ15" s="51"/>
      <c r="GA15" s="51"/>
      <c r="GB15" s="51"/>
      <c r="GC15" s="51"/>
      <c r="GD15" s="51"/>
      <c r="GE15" s="51"/>
      <c r="GF15" s="51"/>
      <c r="GG15" s="51"/>
      <c r="GH15" s="51"/>
      <c r="GI15" s="52"/>
    </row>
    <row r="16" spans="1:191" x14ac:dyDescent="0.15">
      <c r="A16" s="35">
        <f>A15</f>
        <v>2</v>
      </c>
      <c r="B16" s="36" t="str">
        <f>B15</f>
        <v>SA</v>
      </c>
      <c r="C16" s="36" t="str">
        <f>C15</f>
        <v>開発計画書作成</v>
      </c>
      <c r="D16" s="37" t="str">
        <f>D15</f>
        <v>若山</v>
      </c>
      <c r="E16" s="53" t="s">
        <v>0</v>
      </c>
      <c r="F16" s="54"/>
      <c r="G16" s="54"/>
      <c r="H16" s="55">
        <f>SUM(J16:GI16)</f>
        <v>0</v>
      </c>
      <c r="I16" s="56">
        <f>IF(OR(H15="",H16=""),"",H16-H15)</f>
        <v>0</v>
      </c>
      <c r="J16" s="57"/>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c r="AK16" s="58"/>
      <c r="AL16" s="58"/>
      <c r="AM16" s="58"/>
      <c r="AN16" s="58"/>
      <c r="AO16" s="58"/>
      <c r="AP16" s="59"/>
      <c r="AQ16" s="59"/>
      <c r="AR16" s="59"/>
      <c r="AS16" s="59"/>
      <c r="AT16" s="59"/>
      <c r="AU16" s="59"/>
      <c r="AV16" s="59"/>
      <c r="AW16" s="59"/>
      <c r="AX16" s="59"/>
      <c r="AY16" s="59"/>
      <c r="AZ16" s="59"/>
      <c r="BA16" s="59"/>
      <c r="BB16" s="59"/>
      <c r="BC16" s="59"/>
      <c r="BD16" s="59"/>
      <c r="BE16" s="59"/>
      <c r="BF16" s="59"/>
      <c r="BG16" s="59"/>
      <c r="BH16" s="59"/>
      <c r="BI16" s="59"/>
      <c r="BJ16" s="59"/>
      <c r="BK16" s="59"/>
      <c r="BL16" s="59"/>
      <c r="BM16" s="59"/>
      <c r="BN16" s="59"/>
      <c r="BO16" s="59"/>
      <c r="BP16" s="59"/>
      <c r="BQ16" s="59"/>
      <c r="BR16" s="59"/>
      <c r="BS16" s="59"/>
      <c r="BT16" s="59"/>
      <c r="BU16" s="59"/>
      <c r="BV16" s="59"/>
      <c r="BW16" s="59"/>
      <c r="BX16" s="59"/>
      <c r="BY16" s="59"/>
      <c r="BZ16" s="59"/>
      <c r="CA16" s="59"/>
      <c r="CB16" s="59"/>
      <c r="CC16" s="59"/>
      <c r="CD16" s="59"/>
      <c r="CE16" s="59"/>
      <c r="CF16" s="59"/>
      <c r="CG16" s="59"/>
      <c r="CH16" s="59"/>
      <c r="CI16" s="59"/>
      <c r="CJ16" s="59"/>
      <c r="CK16" s="59"/>
      <c r="CL16" s="59"/>
      <c r="CM16" s="59"/>
      <c r="CN16" s="59"/>
      <c r="CO16" s="59"/>
      <c r="CP16" s="59"/>
      <c r="CQ16" s="59"/>
      <c r="CR16" s="59"/>
      <c r="CS16" s="59"/>
      <c r="CT16" s="59"/>
      <c r="CU16" s="59"/>
      <c r="CV16" s="59"/>
      <c r="CW16" s="59"/>
      <c r="CX16" s="59"/>
      <c r="CY16" s="59"/>
      <c r="CZ16" s="59"/>
      <c r="DA16" s="59"/>
      <c r="DB16" s="59"/>
      <c r="DC16" s="59"/>
      <c r="DD16" s="59"/>
      <c r="DE16" s="59"/>
      <c r="DF16" s="59"/>
      <c r="DG16" s="59"/>
      <c r="DH16" s="59"/>
      <c r="DI16" s="59"/>
      <c r="DJ16" s="59"/>
      <c r="DK16" s="59"/>
      <c r="DL16" s="59"/>
      <c r="DM16" s="59"/>
      <c r="DN16" s="59"/>
      <c r="DO16" s="59"/>
      <c r="DP16" s="59"/>
      <c r="DQ16" s="59"/>
      <c r="DR16" s="59"/>
      <c r="DS16" s="59"/>
      <c r="DT16" s="59"/>
      <c r="DU16" s="59"/>
      <c r="DV16" s="59"/>
      <c r="DW16" s="59"/>
      <c r="DX16" s="59"/>
      <c r="DY16" s="59"/>
      <c r="DZ16" s="59"/>
      <c r="EA16" s="59"/>
      <c r="EB16" s="59"/>
      <c r="EC16" s="59"/>
      <c r="ED16" s="59"/>
      <c r="EE16" s="59"/>
      <c r="EF16" s="59"/>
      <c r="EG16" s="59"/>
      <c r="EH16" s="59"/>
      <c r="EI16" s="59"/>
      <c r="EJ16" s="59"/>
      <c r="EK16" s="59"/>
      <c r="EL16" s="59"/>
      <c r="EM16" s="59"/>
      <c r="EN16" s="59"/>
      <c r="EO16" s="59"/>
      <c r="EP16" s="59"/>
      <c r="EQ16" s="59"/>
      <c r="ER16" s="59"/>
      <c r="ES16" s="59"/>
      <c r="ET16" s="59"/>
      <c r="EU16" s="59"/>
      <c r="EV16" s="59"/>
      <c r="EW16" s="59"/>
      <c r="EX16" s="59"/>
      <c r="EY16" s="59"/>
      <c r="EZ16" s="59"/>
      <c r="FA16" s="59"/>
      <c r="FB16" s="59"/>
      <c r="FC16" s="59"/>
      <c r="FD16" s="59"/>
      <c r="FE16" s="59"/>
      <c r="FF16" s="59"/>
      <c r="FG16" s="59"/>
      <c r="FH16" s="59"/>
      <c r="FI16" s="59"/>
      <c r="FJ16" s="59"/>
      <c r="FK16" s="59"/>
      <c r="FL16" s="59"/>
      <c r="FM16" s="59"/>
      <c r="FN16" s="59"/>
      <c r="FO16" s="59"/>
      <c r="FP16" s="59"/>
      <c r="FQ16" s="59"/>
      <c r="FR16" s="59"/>
      <c r="FS16" s="59"/>
      <c r="FT16" s="59"/>
      <c r="FU16" s="59"/>
      <c r="FV16" s="59"/>
      <c r="FW16" s="59"/>
      <c r="FX16" s="59"/>
      <c r="FY16" s="59"/>
      <c r="FZ16" s="59"/>
      <c r="GA16" s="59"/>
      <c r="GB16" s="59"/>
      <c r="GC16" s="59"/>
      <c r="GD16" s="59"/>
      <c r="GE16" s="59"/>
      <c r="GF16" s="59"/>
      <c r="GG16" s="59"/>
      <c r="GH16" s="59"/>
      <c r="GI16" s="60"/>
    </row>
    <row r="17" spans="1:191" x14ac:dyDescent="0.15">
      <c r="A17" s="23">
        <v>3</v>
      </c>
      <c r="B17" s="24" t="s">
        <v>119</v>
      </c>
      <c r="C17" s="45" t="s">
        <v>113</v>
      </c>
      <c r="D17" s="26" t="s">
        <v>114</v>
      </c>
      <c r="E17" s="27" t="s">
        <v>13</v>
      </c>
      <c r="F17" s="28">
        <v>42842</v>
      </c>
      <c r="G17" s="28">
        <v>42848</v>
      </c>
      <c r="H17" s="29">
        <f t="shared" ref="H17:H80" si="7">SUM(J17:GI17)</f>
        <v>0</v>
      </c>
      <c r="I17" s="30"/>
      <c r="J17" s="31"/>
      <c r="K17" s="32"/>
      <c r="L17" s="32"/>
      <c r="M17" s="32"/>
      <c r="N17" s="32"/>
      <c r="O17" s="32"/>
      <c r="P17" s="32"/>
      <c r="Q17" s="32"/>
      <c r="R17" s="32"/>
      <c r="S17" s="32"/>
      <c r="T17" s="32"/>
      <c r="U17" s="32"/>
      <c r="V17" s="32"/>
      <c r="W17" s="32"/>
      <c r="X17" s="32"/>
      <c r="Y17" s="32"/>
      <c r="Z17" s="32"/>
      <c r="AA17" s="32"/>
      <c r="AB17" s="32"/>
      <c r="AC17" s="32"/>
      <c r="AD17" s="32"/>
      <c r="AE17" s="32"/>
      <c r="AF17" s="32"/>
      <c r="AG17" s="32"/>
      <c r="AH17" s="32"/>
      <c r="AI17" s="32"/>
      <c r="AJ17" s="32"/>
      <c r="AK17" s="32"/>
      <c r="AL17" s="32"/>
      <c r="AM17" s="32"/>
      <c r="AN17" s="32"/>
      <c r="AO17" s="32"/>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33"/>
      <c r="CG17" s="33"/>
      <c r="CH17" s="33"/>
      <c r="CI17" s="33"/>
      <c r="CJ17" s="33"/>
      <c r="CK17" s="33"/>
      <c r="CL17" s="33"/>
      <c r="CM17" s="33"/>
      <c r="CN17" s="33"/>
      <c r="CO17" s="33"/>
      <c r="CP17" s="33"/>
      <c r="CQ17" s="33"/>
      <c r="CR17" s="33"/>
      <c r="CS17" s="33"/>
      <c r="CT17" s="33"/>
      <c r="CU17" s="33"/>
      <c r="CV17" s="33"/>
      <c r="CW17" s="33"/>
      <c r="CX17" s="33"/>
      <c r="CY17" s="33"/>
      <c r="CZ17" s="33"/>
      <c r="DA17" s="33"/>
      <c r="DB17" s="33"/>
      <c r="DC17" s="33"/>
      <c r="DD17" s="33"/>
      <c r="DE17" s="33"/>
      <c r="DF17" s="33"/>
      <c r="DG17" s="33"/>
      <c r="DH17" s="33"/>
      <c r="DI17" s="33"/>
      <c r="DJ17" s="33"/>
      <c r="DK17" s="33"/>
      <c r="DL17" s="33"/>
      <c r="DM17" s="33"/>
      <c r="DN17" s="33"/>
      <c r="DO17" s="33"/>
      <c r="DP17" s="33"/>
      <c r="DQ17" s="33"/>
      <c r="DR17" s="33"/>
      <c r="DS17" s="33"/>
      <c r="DT17" s="33"/>
      <c r="DU17" s="33"/>
      <c r="DV17" s="33"/>
      <c r="DW17" s="33"/>
      <c r="DX17" s="33"/>
      <c r="DY17" s="33"/>
      <c r="DZ17" s="33"/>
      <c r="EA17" s="33"/>
      <c r="EB17" s="33"/>
      <c r="EC17" s="33"/>
      <c r="ED17" s="33"/>
      <c r="EE17" s="33"/>
      <c r="EF17" s="33"/>
      <c r="EG17" s="33"/>
      <c r="EH17" s="33"/>
      <c r="EI17" s="33"/>
      <c r="EJ17" s="33"/>
      <c r="EK17" s="33"/>
      <c r="EL17" s="33"/>
      <c r="EM17" s="33"/>
      <c r="EN17" s="33"/>
      <c r="EO17" s="33"/>
      <c r="EP17" s="33"/>
      <c r="EQ17" s="33"/>
      <c r="ER17" s="33"/>
      <c r="ES17" s="33"/>
      <c r="ET17" s="33"/>
      <c r="EU17" s="33"/>
      <c r="EV17" s="33"/>
      <c r="EW17" s="33"/>
      <c r="EX17" s="33"/>
      <c r="EY17" s="33"/>
      <c r="EZ17" s="33"/>
      <c r="FA17" s="33"/>
      <c r="FB17" s="33"/>
      <c r="FC17" s="33"/>
      <c r="FD17" s="33"/>
      <c r="FE17" s="33"/>
      <c r="FF17" s="33"/>
      <c r="FG17" s="33"/>
      <c r="FH17" s="33"/>
      <c r="FI17" s="33"/>
      <c r="FJ17" s="33"/>
      <c r="FK17" s="33"/>
      <c r="FL17" s="33"/>
      <c r="FM17" s="33"/>
      <c r="FN17" s="33"/>
      <c r="FO17" s="33"/>
      <c r="FP17" s="33"/>
      <c r="FQ17" s="33"/>
      <c r="FR17" s="33"/>
      <c r="FS17" s="33"/>
      <c r="FT17" s="33"/>
      <c r="FU17" s="33"/>
      <c r="FV17" s="33"/>
      <c r="FW17" s="33"/>
      <c r="FX17" s="33"/>
      <c r="FY17" s="33"/>
      <c r="FZ17" s="33"/>
      <c r="GA17" s="33"/>
      <c r="GB17" s="33"/>
      <c r="GC17" s="33"/>
      <c r="GD17" s="33"/>
      <c r="GE17" s="33"/>
      <c r="GF17" s="33"/>
      <c r="GG17" s="33"/>
      <c r="GH17" s="33"/>
      <c r="GI17" s="34"/>
    </row>
    <row r="18" spans="1:191" x14ac:dyDescent="0.15">
      <c r="A18" s="35">
        <f>A17</f>
        <v>3</v>
      </c>
      <c r="B18" s="36" t="str">
        <f>B17</f>
        <v>RD</v>
      </c>
      <c r="C18" s="36" t="str">
        <f>C17</f>
        <v>要件定義書作成</v>
      </c>
      <c r="D18" s="37"/>
      <c r="E18" s="38" t="s">
        <v>0</v>
      </c>
      <c r="F18" s="39"/>
      <c r="G18" s="39"/>
      <c r="H18" s="55">
        <f t="shared" si="7"/>
        <v>0</v>
      </c>
      <c r="I18" s="40"/>
      <c r="J18" s="41"/>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42"/>
      <c r="AK18" s="42"/>
      <c r="AL18" s="42"/>
      <c r="AM18" s="42"/>
      <c r="AN18" s="42"/>
      <c r="AO18" s="42"/>
      <c r="AP18" s="43"/>
      <c r="AQ18" s="43"/>
      <c r="AR18" s="43"/>
      <c r="AS18" s="43"/>
      <c r="AT18" s="43"/>
      <c r="AU18" s="43"/>
      <c r="AV18" s="43"/>
      <c r="AW18" s="43"/>
      <c r="AX18" s="43"/>
      <c r="AY18" s="43"/>
      <c r="AZ18" s="43"/>
      <c r="BA18" s="43"/>
      <c r="BB18" s="43"/>
      <c r="BC18" s="43"/>
      <c r="BD18" s="43"/>
      <c r="BE18" s="43"/>
      <c r="BF18" s="43"/>
      <c r="BG18" s="43"/>
      <c r="BH18" s="43"/>
      <c r="BI18" s="43"/>
      <c r="BJ18" s="43"/>
      <c r="BK18" s="43"/>
      <c r="BL18" s="43"/>
      <c r="BM18" s="43"/>
      <c r="BN18" s="43"/>
      <c r="BO18" s="43"/>
      <c r="BP18" s="43"/>
      <c r="BQ18" s="43"/>
      <c r="BR18" s="43"/>
      <c r="BS18" s="43"/>
      <c r="BT18" s="43"/>
      <c r="BU18" s="43"/>
      <c r="BV18" s="43"/>
      <c r="BW18" s="43"/>
      <c r="BX18" s="43"/>
      <c r="BY18" s="43"/>
      <c r="BZ18" s="43"/>
      <c r="CA18" s="43"/>
      <c r="CB18" s="43"/>
      <c r="CC18" s="43"/>
      <c r="CD18" s="43"/>
      <c r="CE18" s="43"/>
      <c r="CF18" s="43"/>
      <c r="CG18" s="43"/>
      <c r="CH18" s="43"/>
      <c r="CI18" s="43"/>
      <c r="CJ18" s="43"/>
      <c r="CK18" s="43"/>
      <c r="CL18" s="43"/>
      <c r="CM18" s="43"/>
      <c r="CN18" s="43"/>
      <c r="CO18" s="43"/>
      <c r="CP18" s="43"/>
      <c r="CQ18" s="43"/>
      <c r="CR18" s="43"/>
      <c r="CS18" s="43"/>
      <c r="CT18" s="43"/>
      <c r="CU18" s="43"/>
      <c r="CV18" s="43"/>
      <c r="CW18" s="43"/>
      <c r="CX18" s="43"/>
      <c r="CY18" s="43"/>
      <c r="CZ18" s="43"/>
      <c r="DA18" s="43"/>
      <c r="DB18" s="43"/>
      <c r="DC18" s="43"/>
      <c r="DD18" s="43"/>
      <c r="DE18" s="43"/>
      <c r="DF18" s="43"/>
      <c r="DG18" s="43"/>
      <c r="DH18" s="43"/>
      <c r="DI18" s="43"/>
      <c r="DJ18" s="43"/>
      <c r="DK18" s="43"/>
      <c r="DL18" s="43"/>
      <c r="DM18" s="43"/>
      <c r="DN18" s="43"/>
      <c r="DO18" s="43"/>
      <c r="DP18" s="43"/>
      <c r="DQ18" s="43"/>
      <c r="DR18" s="43"/>
      <c r="DS18" s="43"/>
      <c r="DT18" s="43"/>
      <c r="DU18" s="43"/>
      <c r="DV18" s="43"/>
      <c r="DW18" s="43"/>
      <c r="DX18" s="43"/>
      <c r="DY18" s="43"/>
      <c r="DZ18" s="43"/>
      <c r="EA18" s="43"/>
      <c r="EB18" s="43"/>
      <c r="EC18" s="43"/>
      <c r="ED18" s="43"/>
      <c r="EE18" s="43"/>
      <c r="EF18" s="43"/>
      <c r="EG18" s="43"/>
      <c r="EH18" s="43"/>
      <c r="EI18" s="43"/>
      <c r="EJ18" s="43"/>
      <c r="EK18" s="43"/>
      <c r="EL18" s="43"/>
      <c r="EM18" s="43"/>
      <c r="EN18" s="43"/>
      <c r="EO18" s="43"/>
      <c r="EP18" s="43"/>
      <c r="EQ18" s="43"/>
      <c r="ER18" s="43"/>
      <c r="ES18" s="43"/>
      <c r="ET18" s="43"/>
      <c r="EU18" s="43"/>
      <c r="EV18" s="43"/>
      <c r="EW18" s="43"/>
      <c r="EX18" s="43"/>
      <c r="EY18" s="43"/>
      <c r="EZ18" s="43"/>
      <c r="FA18" s="43"/>
      <c r="FB18" s="43"/>
      <c r="FC18" s="43"/>
      <c r="FD18" s="43"/>
      <c r="FE18" s="43"/>
      <c r="FF18" s="43"/>
      <c r="FG18" s="43"/>
      <c r="FH18" s="43"/>
      <c r="FI18" s="43"/>
      <c r="FJ18" s="43"/>
      <c r="FK18" s="43"/>
      <c r="FL18" s="43"/>
      <c r="FM18" s="43"/>
      <c r="FN18" s="43"/>
      <c r="FO18" s="43"/>
      <c r="FP18" s="43"/>
      <c r="FQ18" s="43"/>
      <c r="FR18" s="43"/>
      <c r="FS18" s="43"/>
      <c r="FT18" s="43"/>
      <c r="FU18" s="43"/>
      <c r="FV18" s="43"/>
      <c r="FW18" s="43"/>
      <c r="FX18" s="43"/>
      <c r="FY18" s="43"/>
      <c r="FZ18" s="43"/>
      <c r="GA18" s="43"/>
      <c r="GB18" s="43"/>
      <c r="GC18" s="43"/>
      <c r="GD18" s="43"/>
      <c r="GE18" s="43"/>
      <c r="GF18" s="43"/>
      <c r="GG18" s="43"/>
      <c r="GH18" s="43"/>
      <c r="GI18" s="44"/>
    </row>
    <row r="19" spans="1:191" x14ac:dyDescent="0.15">
      <c r="A19" s="23">
        <v>4</v>
      </c>
      <c r="B19" s="24" t="s">
        <v>119</v>
      </c>
      <c r="C19" s="45" t="s">
        <v>113</v>
      </c>
      <c r="D19" s="26" t="s">
        <v>115</v>
      </c>
      <c r="E19" s="46" t="s">
        <v>13</v>
      </c>
      <c r="F19" s="47">
        <v>42842</v>
      </c>
      <c r="G19" s="47">
        <v>42848</v>
      </c>
      <c r="H19" s="29">
        <f t="shared" si="7"/>
        <v>0</v>
      </c>
      <c r="I19" s="48"/>
      <c r="J19" s="49"/>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c r="AL19" s="50"/>
      <c r="AM19" s="50"/>
      <c r="AN19" s="50"/>
      <c r="AO19" s="50"/>
      <c r="AP19" s="51"/>
      <c r="AQ19" s="51"/>
      <c r="AR19" s="51"/>
      <c r="AS19" s="51"/>
      <c r="AT19" s="51"/>
      <c r="AU19" s="51"/>
      <c r="AV19" s="51"/>
      <c r="AW19" s="51"/>
      <c r="AX19" s="51"/>
      <c r="AY19" s="51"/>
      <c r="AZ19" s="51"/>
      <c r="BA19" s="51"/>
      <c r="BB19" s="51"/>
      <c r="BC19" s="51"/>
      <c r="BD19" s="51"/>
      <c r="BE19" s="51"/>
      <c r="BF19" s="51"/>
      <c r="BG19" s="51"/>
      <c r="BH19" s="51"/>
      <c r="BI19" s="51"/>
      <c r="BJ19" s="51"/>
      <c r="BK19" s="51"/>
      <c r="BL19" s="51"/>
      <c r="BM19" s="51"/>
      <c r="BN19" s="51"/>
      <c r="BO19" s="51"/>
      <c r="BP19" s="51"/>
      <c r="BQ19" s="51"/>
      <c r="BR19" s="51"/>
      <c r="BS19" s="51"/>
      <c r="BT19" s="51"/>
      <c r="BU19" s="51"/>
      <c r="BV19" s="51"/>
      <c r="BW19" s="51"/>
      <c r="BX19" s="51"/>
      <c r="BY19" s="51"/>
      <c r="BZ19" s="51"/>
      <c r="CA19" s="51"/>
      <c r="CB19" s="51"/>
      <c r="CC19" s="51"/>
      <c r="CD19" s="51"/>
      <c r="CE19" s="51"/>
      <c r="CF19" s="51"/>
      <c r="CG19" s="51"/>
      <c r="CH19" s="51"/>
      <c r="CI19" s="51"/>
      <c r="CJ19" s="51"/>
      <c r="CK19" s="51"/>
      <c r="CL19" s="51"/>
      <c r="CM19" s="51"/>
      <c r="CN19" s="51"/>
      <c r="CO19" s="51"/>
      <c r="CP19" s="51"/>
      <c r="CQ19" s="51"/>
      <c r="CR19" s="51"/>
      <c r="CS19" s="51"/>
      <c r="CT19" s="51"/>
      <c r="CU19" s="51"/>
      <c r="CV19" s="51"/>
      <c r="CW19" s="51"/>
      <c r="CX19" s="51"/>
      <c r="CY19" s="51"/>
      <c r="CZ19" s="51"/>
      <c r="DA19" s="51"/>
      <c r="DB19" s="51"/>
      <c r="DC19" s="51"/>
      <c r="DD19" s="51"/>
      <c r="DE19" s="51"/>
      <c r="DF19" s="51"/>
      <c r="DG19" s="51"/>
      <c r="DH19" s="51"/>
      <c r="DI19" s="51"/>
      <c r="DJ19" s="51"/>
      <c r="DK19" s="51"/>
      <c r="DL19" s="51"/>
      <c r="DM19" s="51"/>
      <c r="DN19" s="51"/>
      <c r="DO19" s="51"/>
      <c r="DP19" s="51"/>
      <c r="DQ19" s="51"/>
      <c r="DR19" s="51"/>
      <c r="DS19" s="51"/>
      <c r="DT19" s="51"/>
      <c r="DU19" s="51"/>
      <c r="DV19" s="51"/>
      <c r="DW19" s="51"/>
      <c r="DX19" s="51"/>
      <c r="DY19" s="51"/>
      <c r="DZ19" s="51"/>
      <c r="EA19" s="51"/>
      <c r="EB19" s="51"/>
      <c r="EC19" s="51"/>
      <c r="ED19" s="51"/>
      <c r="EE19" s="51"/>
      <c r="EF19" s="51"/>
      <c r="EG19" s="51"/>
      <c r="EH19" s="51"/>
      <c r="EI19" s="51"/>
      <c r="EJ19" s="51"/>
      <c r="EK19" s="51"/>
      <c r="EL19" s="51"/>
      <c r="EM19" s="51"/>
      <c r="EN19" s="51"/>
      <c r="EO19" s="51"/>
      <c r="EP19" s="51"/>
      <c r="EQ19" s="51"/>
      <c r="ER19" s="51"/>
      <c r="ES19" s="51"/>
      <c r="ET19" s="51"/>
      <c r="EU19" s="51"/>
      <c r="EV19" s="51"/>
      <c r="EW19" s="51"/>
      <c r="EX19" s="51"/>
      <c r="EY19" s="51"/>
      <c r="EZ19" s="51"/>
      <c r="FA19" s="51"/>
      <c r="FB19" s="51"/>
      <c r="FC19" s="51"/>
      <c r="FD19" s="51"/>
      <c r="FE19" s="51"/>
      <c r="FF19" s="51"/>
      <c r="FG19" s="51"/>
      <c r="FH19" s="51"/>
      <c r="FI19" s="51"/>
      <c r="FJ19" s="51"/>
      <c r="FK19" s="51"/>
      <c r="FL19" s="51"/>
      <c r="FM19" s="51"/>
      <c r="FN19" s="51"/>
      <c r="FO19" s="51"/>
      <c r="FP19" s="51"/>
      <c r="FQ19" s="51"/>
      <c r="FR19" s="51"/>
      <c r="FS19" s="51"/>
      <c r="FT19" s="51"/>
      <c r="FU19" s="51"/>
      <c r="FV19" s="51"/>
      <c r="FW19" s="51"/>
      <c r="FX19" s="51"/>
      <c r="FY19" s="51"/>
      <c r="FZ19" s="51"/>
      <c r="GA19" s="51"/>
      <c r="GB19" s="51"/>
      <c r="GC19" s="51"/>
      <c r="GD19" s="51"/>
      <c r="GE19" s="51"/>
      <c r="GF19" s="51"/>
      <c r="GG19" s="51"/>
      <c r="GH19" s="51"/>
      <c r="GI19" s="52"/>
    </row>
    <row r="20" spans="1:191" x14ac:dyDescent="0.15">
      <c r="A20" s="35">
        <f>A19</f>
        <v>4</v>
      </c>
      <c r="B20" s="36" t="str">
        <f>B19</f>
        <v>RD</v>
      </c>
      <c r="C20" s="36" t="str">
        <f>C19</f>
        <v>要件定義書作成</v>
      </c>
      <c r="D20" s="37"/>
      <c r="E20" s="53" t="s">
        <v>0</v>
      </c>
      <c r="F20" s="54"/>
      <c r="G20" s="54"/>
      <c r="H20" s="55">
        <f t="shared" si="7"/>
        <v>0</v>
      </c>
      <c r="I20" s="56"/>
      <c r="J20" s="57"/>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c r="AK20" s="58"/>
      <c r="AL20" s="58"/>
      <c r="AM20" s="58"/>
      <c r="AN20" s="58"/>
      <c r="AO20" s="58"/>
      <c r="AP20" s="59"/>
      <c r="AQ20" s="59"/>
      <c r="AR20" s="59"/>
      <c r="AS20" s="59"/>
      <c r="AT20" s="59"/>
      <c r="AU20" s="59"/>
      <c r="AV20" s="59"/>
      <c r="AW20" s="59"/>
      <c r="AX20" s="59"/>
      <c r="AY20" s="59"/>
      <c r="AZ20" s="59"/>
      <c r="BA20" s="59"/>
      <c r="BB20" s="59"/>
      <c r="BC20" s="59"/>
      <c r="BD20" s="59"/>
      <c r="BE20" s="59"/>
      <c r="BF20" s="59"/>
      <c r="BG20" s="59"/>
      <c r="BH20" s="59"/>
      <c r="BI20" s="59"/>
      <c r="BJ20" s="59"/>
      <c r="BK20" s="59"/>
      <c r="BL20" s="59"/>
      <c r="BM20" s="59"/>
      <c r="BN20" s="59"/>
      <c r="BO20" s="59"/>
      <c r="BP20" s="59"/>
      <c r="BQ20" s="59"/>
      <c r="BR20" s="59"/>
      <c r="BS20" s="59"/>
      <c r="BT20" s="59"/>
      <c r="BU20" s="59"/>
      <c r="BV20" s="59"/>
      <c r="BW20" s="59"/>
      <c r="BX20" s="59"/>
      <c r="BY20" s="59"/>
      <c r="BZ20" s="59"/>
      <c r="CA20" s="59"/>
      <c r="CB20" s="59"/>
      <c r="CC20" s="59"/>
      <c r="CD20" s="59"/>
      <c r="CE20" s="59"/>
      <c r="CF20" s="59"/>
      <c r="CG20" s="59"/>
      <c r="CH20" s="59"/>
      <c r="CI20" s="59"/>
      <c r="CJ20" s="59"/>
      <c r="CK20" s="59"/>
      <c r="CL20" s="59"/>
      <c r="CM20" s="59"/>
      <c r="CN20" s="59"/>
      <c r="CO20" s="59"/>
      <c r="CP20" s="59"/>
      <c r="CQ20" s="59"/>
      <c r="CR20" s="59"/>
      <c r="CS20" s="59"/>
      <c r="CT20" s="59"/>
      <c r="CU20" s="59"/>
      <c r="CV20" s="59"/>
      <c r="CW20" s="59"/>
      <c r="CX20" s="59"/>
      <c r="CY20" s="59"/>
      <c r="CZ20" s="59"/>
      <c r="DA20" s="59"/>
      <c r="DB20" s="59"/>
      <c r="DC20" s="59"/>
      <c r="DD20" s="59"/>
      <c r="DE20" s="59"/>
      <c r="DF20" s="59"/>
      <c r="DG20" s="59"/>
      <c r="DH20" s="59"/>
      <c r="DI20" s="59"/>
      <c r="DJ20" s="59"/>
      <c r="DK20" s="59"/>
      <c r="DL20" s="59"/>
      <c r="DM20" s="59"/>
      <c r="DN20" s="59"/>
      <c r="DO20" s="59"/>
      <c r="DP20" s="59"/>
      <c r="DQ20" s="59"/>
      <c r="DR20" s="59"/>
      <c r="DS20" s="59"/>
      <c r="DT20" s="59"/>
      <c r="DU20" s="59"/>
      <c r="DV20" s="59"/>
      <c r="DW20" s="59"/>
      <c r="DX20" s="59"/>
      <c r="DY20" s="59"/>
      <c r="DZ20" s="59"/>
      <c r="EA20" s="59"/>
      <c r="EB20" s="59"/>
      <c r="EC20" s="59"/>
      <c r="ED20" s="59"/>
      <c r="EE20" s="59"/>
      <c r="EF20" s="59"/>
      <c r="EG20" s="59"/>
      <c r="EH20" s="59"/>
      <c r="EI20" s="59"/>
      <c r="EJ20" s="59"/>
      <c r="EK20" s="59"/>
      <c r="EL20" s="59"/>
      <c r="EM20" s="59"/>
      <c r="EN20" s="59"/>
      <c r="EO20" s="59"/>
      <c r="EP20" s="59"/>
      <c r="EQ20" s="59"/>
      <c r="ER20" s="59"/>
      <c r="ES20" s="59"/>
      <c r="ET20" s="59"/>
      <c r="EU20" s="59"/>
      <c r="EV20" s="59"/>
      <c r="EW20" s="59"/>
      <c r="EX20" s="59"/>
      <c r="EY20" s="59"/>
      <c r="EZ20" s="59"/>
      <c r="FA20" s="59"/>
      <c r="FB20" s="59"/>
      <c r="FC20" s="59"/>
      <c r="FD20" s="59"/>
      <c r="FE20" s="59"/>
      <c r="FF20" s="59"/>
      <c r="FG20" s="59"/>
      <c r="FH20" s="59"/>
      <c r="FI20" s="59"/>
      <c r="FJ20" s="59"/>
      <c r="FK20" s="59"/>
      <c r="FL20" s="59"/>
      <c r="FM20" s="59"/>
      <c r="FN20" s="59"/>
      <c r="FO20" s="59"/>
      <c r="FP20" s="59"/>
      <c r="FQ20" s="59"/>
      <c r="FR20" s="59"/>
      <c r="FS20" s="59"/>
      <c r="FT20" s="59"/>
      <c r="FU20" s="59"/>
      <c r="FV20" s="59"/>
      <c r="FW20" s="59"/>
      <c r="FX20" s="59"/>
      <c r="FY20" s="59"/>
      <c r="FZ20" s="59"/>
      <c r="GA20" s="59"/>
      <c r="GB20" s="59"/>
      <c r="GC20" s="59"/>
      <c r="GD20" s="59"/>
      <c r="GE20" s="59"/>
      <c r="GF20" s="59"/>
      <c r="GG20" s="59"/>
      <c r="GH20" s="59"/>
      <c r="GI20" s="60"/>
    </row>
    <row r="21" spans="1:191" x14ac:dyDescent="0.15">
      <c r="A21" s="23">
        <v>5</v>
      </c>
      <c r="B21" s="24" t="s">
        <v>120</v>
      </c>
      <c r="C21" s="45" t="s">
        <v>121</v>
      </c>
      <c r="D21" s="26" t="s">
        <v>114</v>
      </c>
      <c r="E21" s="46" t="s">
        <v>13</v>
      </c>
      <c r="F21" s="47">
        <v>42849</v>
      </c>
      <c r="G21" s="47">
        <v>42861</v>
      </c>
      <c r="H21" s="29">
        <f t="shared" si="7"/>
        <v>0</v>
      </c>
      <c r="I21" s="48"/>
      <c r="J21" s="49"/>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c r="AL21" s="50"/>
      <c r="AM21" s="50"/>
      <c r="AN21" s="50"/>
      <c r="AO21" s="50"/>
      <c r="AP21" s="51"/>
      <c r="AQ21" s="51"/>
      <c r="AR21" s="51"/>
      <c r="AS21" s="51"/>
      <c r="AT21" s="51"/>
      <c r="AU21" s="51"/>
      <c r="AV21" s="51"/>
      <c r="AW21" s="51"/>
      <c r="AX21" s="51"/>
      <c r="AY21" s="51"/>
      <c r="AZ21" s="51"/>
      <c r="BA21" s="51"/>
      <c r="BB21" s="51"/>
      <c r="BC21" s="51"/>
      <c r="BD21" s="51"/>
      <c r="BE21" s="51"/>
      <c r="BF21" s="51"/>
      <c r="BG21" s="51"/>
      <c r="BH21" s="51"/>
      <c r="BI21" s="51"/>
      <c r="BJ21" s="51"/>
      <c r="BK21" s="51"/>
      <c r="BL21" s="51"/>
      <c r="BM21" s="51"/>
      <c r="BN21" s="51"/>
      <c r="BO21" s="51"/>
      <c r="BP21" s="51"/>
      <c r="BQ21" s="51"/>
      <c r="BR21" s="51"/>
      <c r="BS21" s="51"/>
      <c r="BT21" s="51"/>
      <c r="BU21" s="51"/>
      <c r="BV21" s="51"/>
      <c r="BW21" s="51"/>
      <c r="BX21" s="51"/>
      <c r="BY21" s="51"/>
      <c r="BZ21" s="51"/>
      <c r="CA21" s="51"/>
      <c r="CB21" s="51"/>
      <c r="CC21" s="51"/>
      <c r="CD21" s="51"/>
      <c r="CE21" s="51"/>
      <c r="CF21" s="51"/>
      <c r="CG21" s="51"/>
      <c r="CH21" s="51"/>
      <c r="CI21" s="51"/>
      <c r="CJ21" s="51"/>
      <c r="CK21" s="51"/>
      <c r="CL21" s="51"/>
      <c r="CM21" s="51"/>
      <c r="CN21" s="51"/>
      <c r="CO21" s="51"/>
      <c r="CP21" s="51"/>
      <c r="CQ21" s="51"/>
      <c r="CR21" s="51"/>
      <c r="CS21" s="51"/>
      <c r="CT21" s="51"/>
      <c r="CU21" s="51"/>
      <c r="CV21" s="51"/>
      <c r="CW21" s="51"/>
      <c r="CX21" s="51"/>
      <c r="CY21" s="51"/>
      <c r="CZ21" s="51"/>
      <c r="DA21" s="51"/>
      <c r="DB21" s="51"/>
      <c r="DC21" s="51"/>
      <c r="DD21" s="51"/>
      <c r="DE21" s="51"/>
      <c r="DF21" s="51"/>
      <c r="DG21" s="51"/>
      <c r="DH21" s="51"/>
      <c r="DI21" s="51"/>
      <c r="DJ21" s="51"/>
      <c r="DK21" s="51"/>
      <c r="DL21" s="51"/>
      <c r="DM21" s="51"/>
      <c r="DN21" s="51"/>
      <c r="DO21" s="51"/>
      <c r="DP21" s="51"/>
      <c r="DQ21" s="51"/>
      <c r="DR21" s="51"/>
      <c r="DS21" s="51"/>
      <c r="DT21" s="51"/>
      <c r="DU21" s="51"/>
      <c r="DV21" s="51"/>
      <c r="DW21" s="51"/>
      <c r="DX21" s="51"/>
      <c r="DY21" s="51"/>
      <c r="DZ21" s="51"/>
      <c r="EA21" s="51"/>
      <c r="EB21" s="51"/>
      <c r="EC21" s="51"/>
      <c r="ED21" s="51"/>
      <c r="EE21" s="51"/>
      <c r="EF21" s="51"/>
      <c r="EG21" s="51"/>
      <c r="EH21" s="51"/>
      <c r="EI21" s="51"/>
      <c r="EJ21" s="51"/>
      <c r="EK21" s="51"/>
      <c r="EL21" s="51"/>
      <c r="EM21" s="51"/>
      <c r="EN21" s="51"/>
      <c r="EO21" s="51"/>
      <c r="EP21" s="51"/>
      <c r="EQ21" s="51"/>
      <c r="ER21" s="51"/>
      <c r="ES21" s="51"/>
      <c r="ET21" s="51"/>
      <c r="EU21" s="51"/>
      <c r="EV21" s="51"/>
      <c r="EW21" s="51"/>
      <c r="EX21" s="51"/>
      <c r="EY21" s="51"/>
      <c r="EZ21" s="51"/>
      <c r="FA21" s="51"/>
      <c r="FB21" s="51"/>
      <c r="FC21" s="51"/>
      <c r="FD21" s="51"/>
      <c r="FE21" s="51"/>
      <c r="FF21" s="51"/>
      <c r="FG21" s="51"/>
      <c r="FH21" s="51"/>
      <c r="FI21" s="51"/>
      <c r="FJ21" s="51"/>
      <c r="FK21" s="51"/>
      <c r="FL21" s="51"/>
      <c r="FM21" s="51"/>
      <c r="FN21" s="51"/>
      <c r="FO21" s="51"/>
      <c r="FP21" s="51"/>
      <c r="FQ21" s="51"/>
      <c r="FR21" s="51"/>
      <c r="FS21" s="51"/>
      <c r="FT21" s="51"/>
      <c r="FU21" s="51"/>
      <c r="FV21" s="51"/>
      <c r="FW21" s="51"/>
      <c r="FX21" s="51"/>
      <c r="FY21" s="51"/>
      <c r="FZ21" s="51"/>
      <c r="GA21" s="51"/>
      <c r="GB21" s="51"/>
      <c r="GC21" s="51"/>
      <c r="GD21" s="51"/>
      <c r="GE21" s="51"/>
      <c r="GF21" s="51"/>
      <c r="GG21" s="51"/>
      <c r="GH21" s="51"/>
      <c r="GI21" s="52"/>
    </row>
    <row r="22" spans="1:191" x14ac:dyDescent="0.15">
      <c r="A22" s="35">
        <f>A21</f>
        <v>5</v>
      </c>
      <c r="B22" s="36" t="str">
        <f>B21</f>
        <v>FD</v>
      </c>
      <c r="C22" s="36" t="str">
        <f>C21</f>
        <v>Webアプリ機能設計書作成</v>
      </c>
      <c r="D22" s="37"/>
      <c r="E22" s="53" t="s">
        <v>0</v>
      </c>
      <c r="F22" s="54"/>
      <c r="G22" s="54"/>
      <c r="H22" s="55">
        <f t="shared" si="7"/>
        <v>0</v>
      </c>
      <c r="I22" s="56"/>
      <c r="J22" s="57"/>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9"/>
      <c r="AQ22" s="59"/>
      <c r="AR22" s="59"/>
      <c r="AS22" s="59"/>
      <c r="AT22" s="59"/>
      <c r="AU22" s="59"/>
      <c r="AV22" s="59"/>
      <c r="AW22" s="59"/>
      <c r="AX22" s="59"/>
      <c r="AY22" s="59"/>
      <c r="AZ22" s="59"/>
      <c r="BA22" s="59"/>
      <c r="BB22" s="59"/>
      <c r="BC22" s="59"/>
      <c r="BD22" s="59"/>
      <c r="BE22" s="59"/>
      <c r="BF22" s="59"/>
      <c r="BG22" s="59"/>
      <c r="BH22" s="59"/>
      <c r="BI22" s="59"/>
      <c r="BJ22" s="59"/>
      <c r="BK22" s="59"/>
      <c r="BL22" s="59"/>
      <c r="BM22" s="59"/>
      <c r="BN22" s="59"/>
      <c r="BO22" s="59"/>
      <c r="BP22" s="59"/>
      <c r="BQ22" s="59"/>
      <c r="BR22" s="59"/>
      <c r="BS22" s="59"/>
      <c r="BT22" s="59"/>
      <c r="BU22" s="59"/>
      <c r="BV22" s="59"/>
      <c r="BW22" s="59"/>
      <c r="BX22" s="59"/>
      <c r="BY22" s="59"/>
      <c r="BZ22" s="59"/>
      <c r="CA22" s="59"/>
      <c r="CB22" s="59"/>
      <c r="CC22" s="59"/>
      <c r="CD22" s="59"/>
      <c r="CE22" s="59"/>
      <c r="CF22" s="59"/>
      <c r="CG22" s="59"/>
      <c r="CH22" s="59"/>
      <c r="CI22" s="59"/>
      <c r="CJ22" s="59"/>
      <c r="CK22" s="59"/>
      <c r="CL22" s="59"/>
      <c r="CM22" s="59"/>
      <c r="CN22" s="59"/>
      <c r="CO22" s="59"/>
      <c r="CP22" s="59"/>
      <c r="CQ22" s="59"/>
      <c r="CR22" s="59"/>
      <c r="CS22" s="59"/>
      <c r="CT22" s="59"/>
      <c r="CU22" s="59"/>
      <c r="CV22" s="59"/>
      <c r="CW22" s="59"/>
      <c r="CX22" s="59"/>
      <c r="CY22" s="59"/>
      <c r="CZ22" s="59"/>
      <c r="DA22" s="59"/>
      <c r="DB22" s="59"/>
      <c r="DC22" s="59"/>
      <c r="DD22" s="59"/>
      <c r="DE22" s="59"/>
      <c r="DF22" s="59"/>
      <c r="DG22" s="59"/>
      <c r="DH22" s="59"/>
      <c r="DI22" s="59"/>
      <c r="DJ22" s="59"/>
      <c r="DK22" s="59"/>
      <c r="DL22" s="59"/>
      <c r="DM22" s="59"/>
      <c r="DN22" s="59"/>
      <c r="DO22" s="59"/>
      <c r="DP22" s="59"/>
      <c r="DQ22" s="59"/>
      <c r="DR22" s="59"/>
      <c r="DS22" s="59"/>
      <c r="DT22" s="59"/>
      <c r="DU22" s="59"/>
      <c r="DV22" s="59"/>
      <c r="DW22" s="59"/>
      <c r="DX22" s="59"/>
      <c r="DY22" s="59"/>
      <c r="DZ22" s="59"/>
      <c r="EA22" s="59"/>
      <c r="EB22" s="59"/>
      <c r="EC22" s="59"/>
      <c r="ED22" s="59"/>
      <c r="EE22" s="59"/>
      <c r="EF22" s="59"/>
      <c r="EG22" s="59"/>
      <c r="EH22" s="59"/>
      <c r="EI22" s="59"/>
      <c r="EJ22" s="59"/>
      <c r="EK22" s="59"/>
      <c r="EL22" s="59"/>
      <c r="EM22" s="59"/>
      <c r="EN22" s="59"/>
      <c r="EO22" s="59"/>
      <c r="EP22" s="59"/>
      <c r="EQ22" s="59"/>
      <c r="ER22" s="59"/>
      <c r="ES22" s="59"/>
      <c r="ET22" s="59"/>
      <c r="EU22" s="59"/>
      <c r="EV22" s="59"/>
      <c r="EW22" s="59"/>
      <c r="EX22" s="59"/>
      <c r="EY22" s="59"/>
      <c r="EZ22" s="59"/>
      <c r="FA22" s="59"/>
      <c r="FB22" s="59"/>
      <c r="FC22" s="59"/>
      <c r="FD22" s="59"/>
      <c r="FE22" s="59"/>
      <c r="FF22" s="59"/>
      <c r="FG22" s="59"/>
      <c r="FH22" s="59"/>
      <c r="FI22" s="59"/>
      <c r="FJ22" s="59"/>
      <c r="FK22" s="59"/>
      <c r="FL22" s="59"/>
      <c r="FM22" s="59"/>
      <c r="FN22" s="59"/>
      <c r="FO22" s="59"/>
      <c r="FP22" s="59"/>
      <c r="FQ22" s="59"/>
      <c r="FR22" s="59"/>
      <c r="FS22" s="59"/>
      <c r="FT22" s="59"/>
      <c r="FU22" s="59"/>
      <c r="FV22" s="59"/>
      <c r="FW22" s="59"/>
      <c r="FX22" s="59"/>
      <c r="FY22" s="59"/>
      <c r="FZ22" s="59"/>
      <c r="GA22" s="59"/>
      <c r="GB22" s="59"/>
      <c r="GC22" s="59"/>
      <c r="GD22" s="59"/>
      <c r="GE22" s="59"/>
      <c r="GF22" s="59"/>
      <c r="GG22" s="59"/>
      <c r="GH22" s="59"/>
      <c r="GI22" s="60"/>
    </row>
    <row r="23" spans="1:191" x14ac:dyDescent="0.15">
      <c r="A23" s="23">
        <v>6</v>
      </c>
      <c r="B23" s="24" t="s">
        <v>120</v>
      </c>
      <c r="C23" s="45" t="s">
        <v>122</v>
      </c>
      <c r="D23" s="26" t="s">
        <v>170</v>
      </c>
      <c r="E23" s="27" t="s">
        <v>13</v>
      </c>
      <c r="F23" s="28">
        <v>42861</v>
      </c>
      <c r="G23" s="28">
        <v>42862</v>
      </c>
      <c r="H23" s="29">
        <f t="shared" si="7"/>
        <v>0</v>
      </c>
      <c r="I23" s="30"/>
      <c r="J23" s="31"/>
      <c r="K23" s="32"/>
      <c r="L23" s="32"/>
      <c r="M23" s="32"/>
      <c r="N23" s="32"/>
      <c r="O23" s="32"/>
      <c r="P23" s="32"/>
      <c r="Q23" s="32"/>
      <c r="R23" s="32"/>
      <c r="S23" s="32"/>
      <c r="T23" s="32"/>
      <c r="U23" s="32"/>
      <c r="V23" s="32"/>
      <c r="W23" s="32"/>
      <c r="X23" s="32"/>
      <c r="Y23" s="32"/>
      <c r="Z23" s="32"/>
      <c r="AA23" s="32"/>
      <c r="AB23" s="32"/>
      <c r="AC23" s="32"/>
      <c r="AD23" s="32"/>
      <c r="AE23" s="32"/>
      <c r="AF23" s="32"/>
      <c r="AG23" s="32"/>
      <c r="AH23" s="32"/>
      <c r="AI23" s="32"/>
      <c r="AJ23" s="32"/>
      <c r="AK23" s="32"/>
      <c r="AL23" s="32"/>
      <c r="AM23" s="32"/>
      <c r="AN23" s="32"/>
      <c r="AO23" s="32"/>
      <c r="AP23" s="33"/>
      <c r="AQ23" s="33"/>
      <c r="AR23" s="33"/>
      <c r="AS23" s="33"/>
      <c r="AT23" s="33"/>
      <c r="AU23" s="33"/>
      <c r="AV23" s="33"/>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33"/>
      <c r="CG23" s="33"/>
      <c r="CH23" s="33"/>
      <c r="CI23" s="33"/>
      <c r="CJ23" s="33"/>
      <c r="CK23" s="33"/>
      <c r="CL23" s="33"/>
      <c r="CM23" s="33"/>
      <c r="CN23" s="33"/>
      <c r="CO23" s="33"/>
      <c r="CP23" s="33"/>
      <c r="CQ23" s="33"/>
      <c r="CR23" s="33"/>
      <c r="CS23" s="33"/>
      <c r="CT23" s="33"/>
      <c r="CU23" s="33"/>
      <c r="CV23" s="33"/>
      <c r="CW23" s="33"/>
      <c r="CX23" s="33"/>
      <c r="CY23" s="33"/>
      <c r="CZ23" s="33"/>
      <c r="DA23" s="33"/>
      <c r="DB23" s="33"/>
      <c r="DC23" s="33"/>
      <c r="DD23" s="33"/>
      <c r="DE23" s="33"/>
      <c r="DF23" s="33"/>
      <c r="DG23" s="33"/>
      <c r="DH23" s="33"/>
      <c r="DI23" s="33"/>
      <c r="DJ23" s="33"/>
      <c r="DK23" s="33"/>
      <c r="DL23" s="33"/>
      <c r="DM23" s="33"/>
      <c r="DN23" s="33"/>
      <c r="DO23" s="33"/>
      <c r="DP23" s="33"/>
      <c r="DQ23" s="33"/>
      <c r="DR23" s="33"/>
      <c r="DS23" s="33"/>
      <c r="DT23" s="33"/>
      <c r="DU23" s="33"/>
      <c r="DV23" s="33"/>
      <c r="DW23" s="33"/>
      <c r="DX23" s="33"/>
      <c r="DY23" s="33"/>
      <c r="DZ23" s="33"/>
      <c r="EA23" s="33"/>
      <c r="EB23" s="33"/>
      <c r="EC23" s="33"/>
      <c r="ED23" s="33"/>
      <c r="EE23" s="33"/>
      <c r="EF23" s="33"/>
      <c r="EG23" s="33"/>
      <c r="EH23" s="33"/>
      <c r="EI23" s="33"/>
      <c r="EJ23" s="33"/>
      <c r="EK23" s="33"/>
      <c r="EL23" s="33"/>
      <c r="EM23" s="33"/>
      <c r="EN23" s="33"/>
      <c r="EO23" s="33"/>
      <c r="EP23" s="33"/>
      <c r="EQ23" s="33"/>
      <c r="ER23" s="33"/>
      <c r="ES23" s="33"/>
      <c r="ET23" s="33"/>
      <c r="EU23" s="33"/>
      <c r="EV23" s="33"/>
      <c r="EW23" s="33"/>
      <c r="EX23" s="33"/>
      <c r="EY23" s="33"/>
      <c r="EZ23" s="33"/>
      <c r="FA23" s="33"/>
      <c r="FB23" s="33"/>
      <c r="FC23" s="33"/>
      <c r="FD23" s="33"/>
      <c r="FE23" s="33"/>
      <c r="FF23" s="33"/>
      <c r="FG23" s="33"/>
      <c r="FH23" s="33"/>
      <c r="FI23" s="33"/>
      <c r="FJ23" s="33"/>
      <c r="FK23" s="33"/>
      <c r="FL23" s="33"/>
      <c r="FM23" s="33"/>
      <c r="FN23" s="33"/>
      <c r="FO23" s="33"/>
      <c r="FP23" s="33"/>
      <c r="FQ23" s="33"/>
      <c r="FR23" s="33"/>
      <c r="FS23" s="33"/>
      <c r="FT23" s="33"/>
      <c r="FU23" s="33"/>
      <c r="FV23" s="33"/>
      <c r="FW23" s="33"/>
      <c r="FX23" s="33"/>
      <c r="FY23" s="33"/>
      <c r="FZ23" s="33"/>
      <c r="GA23" s="33"/>
      <c r="GB23" s="33"/>
      <c r="GC23" s="33"/>
      <c r="GD23" s="33"/>
      <c r="GE23" s="33"/>
      <c r="GF23" s="33"/>
      <c r="GG23" s="33"/>
      <c r="GH23" s="33"/>
      <c r="GI23" s="34"/>
    </row>
    <row r="24" spans="1:191" x14ac:dyDescent="0.15">
      <c r="A24" s="35">
        <f>A23</f>
        <v>6</v>
      </c>
      <c r="B24" s="36" t="str">
        <f>B23</f>
        <v>FD</v>
      </c>
      <c r="C24" s="36" t="str">
        <f>C23</f>
        <v>Webアプリ機能設計書レビュー</v>
      </c>
      <c r="D24" s="37"/>
      <c r="E24" s="38" t="s">
        <v>0</v>
      </c>
      <c r="F24" s="39"/>
      <c r="G24" s="39"/>
      <c r="H24" s="55">
        <f t="shared" si="7"/>
        <v>0</v>
      </c>
      <c r="I24" s="40"/>
      <c r="J24" s="41"/>
      <c r="K24" s="42"/>
      <c r="L24" s="42"/>
      <c r="M24" s="42"/>
      <c r="N24" s="42"/>
      <c r="O24" s="42"/>
      <c r="P24" s="42"/>
      <c r="Q24" s="42"/>
      <c r="R24" s="42"/>
      <c r="S24" s="42"/>
      <c r="T24" s="42"/>
      <c r="U24" s="42"/>
      <c r="V24" s="42"/>
      <c r="W24" s="42"/>
      <c r="X24" s="42"/>
      <c r="Y24" s="42"/>
      <c r="Z24" s="42"/>
      <c r="AA24" s="42"/>
      <c r="AB24" s="42"/>
      <c r="AC24" s="42"/>
      <c r="AD24" s="42"/>
      <c r="AE24" s="42"/>
      <c r="AF24" s="42"/>
      <c r="AG24" s="42"/>
      <c r="AH24" s="42"/>
      <c r="AI24" s="42"/>
      <c r="AJ24" s="42"/>
      <c r="AK24" s="42"/>
      <c r="AL24" s="42"/>
      <c r="AM24" s="42"/>
      <c r="AN24" s="42"/>
      <c r="AO24" s="42"/>
      <c r="AP24" s="43"/>
      <c r="AQ24" s="43"/>
      <c r="AR24" s="43"/>
      <c r="AS24" s="43"/>
      <c r="AT24" s="43"/>
      <c r="AU24" s="43"/>
      <c r="AV24" s="43"/>
      <c r="AW24" s="43"/>
      <c r="AX24" s="43"/>
      <c r="AY24" s="43"/>
      <c r="AZ24" s="43"/>
      <c r="BA24" s="43"/>
      <c r="BB24" s="43"/>
      <c r="BC24" s="43"/>
      <c r="BD24" s="43"/>
      <c r="BE24" s="43"/>
      <c r="BF24" s="43"/>
      <c r="BG24" s="43"/>
      <c r="BH24" s="43"/>
      <c r="BI24" s="43"/>
      <c r="BJ24" s="43"/>
      <c r="BK24" s="43"/>
      <c r="BL24" s="43"/>
      <c r="BM24" s="43"/>
      <c r="BN24" s="43"/>
      <c r="BO24" s="43"/>
      <c r="BP24" s="43"/>
      <c r="BQ24" s="43"/>
      <c r="BR24" s="43"/>
      <c r="BS24" s="43"/>
      <c r="BT24" s="43"/>
      <c r="BU24" s="43"/>
      <c r="BV24" s="43"/>
      <c r="BW24" s="43"/>
      <c r="BX24" s="43"/>
      <c r="BY24" s="43"/>
      <c r="BZ24" s="43"/>
      <c r="CA24" s="43"/>
      <c r="CB24" s="43"/>
      <c r="CC24" s="43"/>
      <c r="CD24" s="43"/>
      <c r="CE24" s="43"/>
      <c r="CF24" s="43"/>
      <c r="CG24" s="43"/>
      <c r="CH24" s="43"/>
      <c r="CI24" s="43"/>
      <c r="CJ24" s="43"/>
      <c r="CK24" s="43"/>
      <c r="CL24" s="43"/>
      <c r="CM24" s="43"/>
      <c r="CN24" s="43"/>
      <c r="CO24" s="43"/>
      <c r="CP24" s="43"/>
      <c r="CQ24" s="43"/>
      <c r="CR24" s="43"/>
      <c r="CS24" s="43"/>
      <c r="CT24" s="43"/>
      <c r="CU24" s="43"/>
      <c r="CV24" s="43"/>
      <c r="CW24" s="43"/>
      <c r="CX24" s="43"/>
      <c r="CY24" s="43"/>
      <c r="CZ24" s="43"/>
      <c r="DA24" s="43"/>
      <c r="DB24" s="43"/>
      <c r="DC24" s="43"/>
      <c r="DD24" s="43"/>
      <c r="DE24" s="43"/>
      <c r="DF24" s="43"/>
      <c r="DG24" s="43"/>
      <c r="DH24" s="43"/>
      <c r="DI24" s="43"/>
      <c r="DJ24" s="43"/>
      <c r="DK24" s="43"/>
      <c r="DL24" s="43"/>
      <c r="DM24" s="43"/>
      <c r="DN24" s="43"/>
      <c r="DO24" s="43"/>
      <c r="DP24" s="43"/>
      <c r="DQ24" s="43"/>
      <c r="DR24" s="43"/>
      <c r="DS24" s="43"/>
      <c r="DT24" s="43"/>
      <c r="DU24" s="43"/>
      <c r="DV24" s="43"/>
      <c r="DW24" s="43"/>
      <c r="DX24" s="43"/>
      <c r="DY24" s="43"/>
      <c r="DZ24" s="43"/>
      <c r="EA24" s="43"/>
      <c r="EB24" s="43"/>
      <c r="EC24" s="43"/>
      <c r="ED24" s="43"/>
      <c r="EE24" s="43"/>
      <c r="EF24" s="43"/>
      <c r="EG24" s="43"/>
      <c r="EH24" s="43"/>
      <c r="EI24" s="43"/>
      <c r="EJ24" s="43"/>
      <c r="EK24" s="43"/>
      <c r="EL24" s="43"/>
      <c r="EM24" s="43"/>
      <c r="EN24" s="43"/>
      <c r="EO24" s="43"/>
      <c r="EP24" s="43"/>
      <c r="EQ24" s="43"/>
      <c r="ER24" s="43"/>
      <c r="ES24" s="43"/>
      <c r="ET24" s="43"/>
      <c r="EU24" s="43"/>
      <c r="EV24" s="43"/>
      <c r="EW24" s="43"/>
      <c r="EX24" s="43"/>
      <c r="EY24" s="43"/>
      <c r="EZ24" s="43"/>
      <c r="FA24" s="43"/>
      <c r="FB24" s="43"/>
      <c r="FC24" s="43"/>
      <c r="FD24" s="43"/>
      <c r="FE24" s="43"/>
      <c r="FF24" s="43"/>
      <c r="FG24" s="43"/>
      <c r="FH24" s="43"/>
      <c r="FI24" s="43"/>
      <c r="FJ24" s="43"/>
      <c r="FK24" s="43"/>
      <c r="FL24" s="43"/>
      <c r="FM24" s="43"/>
      <c r="FN24" s="43"/>
      <c r="FO24" s="43"/>
      <c r="FP24" s="43"/>
      <c r="FQ24" s="43"/>
      <c r="FR24" s="43"/>
      <c r="FS24" s="43"/>
      <c r="FT24" s="43"/>
      <c r="FU24" s="43"/>
      <c r="FV24" s="43"/>
      <c r="FW24" s="43"/>
      <c r="FX24" s="43"/>
      <c r="FY24" s="43"/>
      <c r="FZ24" s="43"/>
      <c r="GA24" s="43"/>
      <c r="GB24" s="43"/>
      <c r="GC24" s="43"/>
      <c r="GD24" s="43"/>
      <c r="GE24" s="43"/>
      <c r="GF24" s="43"/>
      <c r="GG24" s="43"/>
      <c r="GH24" s="43"/>
      <c r="GI24" s="44"/>
    </row>
    <row r="25" spans="1:191" x14ac:dyDescent="0.15">
      <c r="A25" s="23">
        <v>7</v>
      </c>
      <c r="B25" s="24" t="s">
        <v>120</v>
      </c>
      <c r="C25" s="45" t="s">
        <v>123</v>
      </c>
      <c r="D25" s="26" t="s">
        <v>114</v>
      </c>
      <c r="E25" s="46" t="s">
        <v>13</v>
      </c>
      <c r="F25" s="47">
        <v>42863</v>
      </c>
      <c r="G25" s="47">
        <v>42869</v>
      </c>
      <c r="H25" s="29">
        <f t="shared" si="7"/>
        <v>0</v>
      </c>
      <c r="I25" s="48"/>
      <c r="J25" s="49"/>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c r="AL25" s="50"/>
      <c r="AM25" s="50"/>
      <c r="AN25" s="50"/>
      <c r="AO25" s="50"/>
      <c r="AP25" s="51"/>
      <c r="AQ25" s="51"/>
      <c r="AR25" s="51"/>
      <c r="AS25" s="51"/>
      <c r="AT25" s="51"/>
      <c r="AU25" s="51"/>
      <c r="AV25" s="51"/>
      <c r="AW25" s="51"/>
      <c r="AX25" s="51"/>
      <c r="AY25" s="51"/>
      <c r="AZ25" s="51"/>
      <c r="BA25" s="51"/>
      <c r="BB25" s="51"/>
      <c r="BC25" s="51"/>
      <c r="BD25" s="51"/>
      <c r="BE25" s="51"/>
      <c r="BF25" s="51"/>
      <c r="BG25" s="51"/>
      <c r="BH25" s="51"/>
      <c r="BI25" s="51"/>
      <c r="BJ25" s="51"/>
      <c r="BK25" s="51"/>
      <c r="BL25" s="51"/>
      <c r="BM25" s="51"/>
      <c r="BN25" s="51"/>
      <c r="BO25" s="51"/>
      <c r="BP25" s="51"/>
      <c r="BQ25" s="51"/>
      <c r="BR25" s="51"/>
      <c r="BS25" s="51"/>
      <c r="BT25" s="51"/>
      <c r="BU25" s="51"/>
      <c r="BV25" s="51"/>
      <c r="BW25" s="51"/>
      <c r="BX25" s="51"/>
      <c r="BY25" s="51"/>
      <c r="BZ25" s="51"/>
      <c r="CA25" s="51"/>
      <c r="CB25" s="51"/>
      <c r="CC25" s="51"/>
      <c r="CD25" s="51"/>
      <c r="CE25" s="51"/>
      <c r="CF25" s="51"/>
      <c r="CG25" s="51"/>
      <c r="CH25" s="51"/>
      <c r="CI25" s="51"/>
      <c r="CJ25" s="51"/>
      <c r="CK25" s="51"/>
      <c r="CL25" s="51"/>
      <c r="CM25" s="51"/>
      <c r="CN25" s="51"/>
      <c r="CO25" s="51"/>
      <c r="CP25" s="51"/>
      <c r="CQ25" s="51"/>
      <c r="CR25" s="51"/>
      <c r="CS25" s="51"/>
      <c r="CT25" s="51"/>
      <c r="CU25" s="51"/>
      <c r="CV25" s="51"/>
      <c r="CW25" s="51"/>
      <c r="CX25" s="51"/>
      <c r="CY25" s="51"/>
      <c r="CZ25" s="51"/>
      <c r="DA25" s="51"/>
      <c r="DB25" s="51"/>
      <c r="DC25" s="51"/>
      <c r="DD25" s="51"/>
      <c r="DE25" s="51"/>
      <c r="DF25" s="51"/>
      <c r="DG25" s="51"/>
      <c r="DH25" s="51"/>
      <c r="DI25" s="51"/>
      <c r="DJ25" s="51"/>
      <c r="DK25" s="51"/>
      <c r="DL25" s="51"/>
      <c r="DM25" s="51"/>
      <c r="DN25" s="51"/>
      <c r="DO25" s="51"/>
      <c r="DP25" s="51"/>
      <c r="DQ25" s="51"/>
      <c r="DR25" s="51"/>
      <c r="DS25" s="51"/>
      <c r="DT25" s="51"/>
      <c r="DU25" s="51"/>
      <c r="DV25" s="51"/>
      <c r="DW25" s="51"/>
      <c r="DX25" s="51"/>
      <c r="DY25" s="51"/>
      <c r="DZ25" s="51"/>
      <c r="EA25" s="51"/>
      <c r="EB25" s="51"/>
      <c r="EC25" s="51"/>
      <c r="ED25" s="51"/>
      <c r="EE25" s="51"/>
      <c r="EF25" s="51"/>
      <c r="EG25" s="51"/>
      <c r="EH25" s="51"/>
      <c r="EI25" s="51"/>
      <c r="EJ25" s="51"/>
      <c r="EK25" s="51"/>
      <c r="EL25" s="51"/>
      <c r="EM25" s="51"/>
      <c r="EN25" s="51"/>
      <c r="EO25" s="51"/>
      <c r="EP25" s="51"/>
      <c r="EQ25" s="51"/>
      <c r="ER25" s="51"/>
      <c r="ES25" s="51"/>
      <c r="ET25" s="51"/>
      <c r="EU25" s="51"/>
      <c r="EV25" s="51"/>
      <c r="EW25" s="51"/>
      <c r="EX25" s="51"/>
      <c r="EY25" s="51"/>
      <c r="EZ25" s="51"/>
      <c r="FA25" s="51"/>
      <c r="FB25" s="51"/>
      <c r="FC25" s="51"/>
      <c r="FD25" s="51"/>
      <c r="FE25" s="51"/>
      <c r="FF25" s="51"/>
      <c r="FG25" s="51"/>
      <c r="FH25" s="51"/>
      <c r="FI25" s="51"/>
      <c r="FJ25" s="51"/>
      <c r="FK25" s="51"/>
      <c r="FL25" s="51"/>
      <c r="FM25" s="51"/>
      <c r="FN25" s="51"/>
      <c r="FO25" s="51"/>
      <c r="FP25" s="51"/>
      <c r="FQ25" s="51"/>
      <c r="FR25" s="51"/>
      <c r="FS25" s="51"/>
      <c r="FT25" s="51"/>
      <c r="FU25" s="51"/>
      <c r="FV25" s="51"/>
      <c r="FW25" s="51"/>
      <c r="FX25" s="51"/>
      <c r="FY25" s="51"/>
      <c r="FZ25" s="51"/>
      <c r="GA25" s="51"/>
      <c r="GB25" s="51"/>
      <c r="GC25" s="51"/>
      <c r="GD25" s="51"/>
      <c r="GE25" s="51"/>
      <c r="GF25" s="51"/>
      <c r="GG25" s="51"/>
      <c r="GH25" s="51"/>
      <c r="GI25" s="52"/>
    </row>
    <row r="26" spans="1:191" x14ac:dyDescent="0.15">
      <c r="A26" s="35">
        <f>A25</f>
        <v>7</v>
      </c>
      <c r="B26" s="36" t="str">
        <f>B25</f>
        <v>FD</v>
      </c>
      <c r="C26" s="36" t="str">
        <f>C25</f>
        <v>Webアプリ機能設計書レビュー指摘対応</v>
      </c>
      <c r="D26" s="37" t="str">
        <f>D25</f>
        <v>那須</v>
      </c>
      <c r="E26" s="53" t="s">
        <v>0</v>
      </c>
      <c r="F26" s="54"/>
      <c r="G26" s="54"/>
      <c r="H26" s="55">
        <f t="shared" si="7"/>
        <v>0</v>
      </c>
      <c r="I26" s="56">
        <f>IF(OR(H25="",H26=""),"",H26-H25)</f>
        <v>0</v>
      </c>
      <c r="J26" s="57"/>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c r="AK26" s="58"/>
      <c r="AL26" s="58"/>
      <c r="AM26" s="58"/>
      <c r="AN26" s="58"/>
      <c r="AO26" s="58"/>
      <c r="AP26" s="59"/>
      <c r="AQ26" s="59"/>
      <c r="AR26" s="59"/>
      <c r="AS26" s="59"/>
      <c r="AT26" s="59"/>
      <c r="AU26" s="59"/>
      <c r="AV26" s="59"/>
      <c r="AW26" s="59"/>
      <c r="AX26" s="59"/>
      <c r="AY26" s="59"/>
      <c r="AZ26" s="59"/>
      <c r="BA26" s="59"/>
      <c r="BB26" s="59"/>
      <c r="BC26" s="59"/>
      <c r="BD26" s="59"/>
      <c r="BE26" s="59"/>
      <c r="BF26" s="59"/>
      <c r="BG26" s="59"/>
      <c r="BH26" s="59"/>
      <c r="BI26" s="59"/>
      <c r="BJ26" s="59"/>
      <c r="BK26" s="59"/>
      <c r="BL26" s="59"/>
      <c r="BM26" s="59"/>
      <c r="BN26" s="59"/>
      <c r="BO26" s="59"/>
      <c r="BP26" s="59"/>
      <c r="BQ26" s="59"/>
      <c r="BR26" s="59"/>
      <c r="BS26" s="59"/>
      <c r="BT26" s="59"/>
      <c r="BU26" s="59"/>
      <c r="BV26" s="59"/>
      <c r="BW26" s="59"/>
      <c r="BX26" s="59"/>
      <c r="BY26" s="59"/>
      <c r="BZ26" s="59"/>
      <c r="CA26" s="59"/>
      <c r="CB26" s="59"/>
      <c r="CC26" s="59"/>
      <c r="CD26" s="59"/>
      <c r="CE26" s="59"/>
      <c r="CF26" s="59"/>
      <c r="CG26" s="59"/>
      <c r="CH26" s="59"/>
      <c r="CI26" s="59"/>
      <c r="CJ26" s="59"/>
      <c r="CK26" s="59"/>
      <c r="CL26" s="59"/>
      <c r="CM26" s="59"/>
      <c r="CN26" s="59"/>
      <c r="CO26" s="59"/>
      <c r="CP26" s="59"/>
      <c r="CQ26" s="59"/>
      <c r="CR26" s="59"/>
      <c r="CS26" s="59"/>
      <c r="CT26" s="59"/>
      <c r="CU26" s="59"/>
      <c r="CV26" s="59"/>
      <c r="CW26" s="59"/>
      <c r="CX26" s="59"/>
      <c r="CY26" s="59"/>
      <c r="CZ26" s="59"/>
      <c r="DA26" s="59"/>
      <c r="DB26" s="59"/>
      <c r="DC26" s="59"/>
      <c r="DD26" s="59"/>
      <c r="DE26" s="59"/>
      <c r="DF26" s="59"/>
      <c r="DG26" s="59"/>
      <c r="DH26" s="59"/>
      <c r="DI26" s="59"/>
      <c r="DJ26" s="59"/>
      <c r="DK26" s="59"/>
      <c r="DL26" s="59"/>
      <c r="DM26" s="59"/>
      <c r="DN26" s="59"/>
      <c r="DO26" s="59"/>
      <c r="DP26" s="59"/>
      <c r="DQ26" s="59"/>
      <c r="DR26" s="59"/>
      <c r="DS26" s="59"/>
      <c r="DT26" s="59"/>
      <c r="DU26" s="59"/>
      <c r="DV26" s="59"/>
      <c r="DW26" s="59"/>
      <c r="DX26" s="59"/>
      <c r="DY26" s="59"/>
      <c r="DZ26" s="59"/>
      <c r="EA26" s="59"/>
      <c r="EB26" s="59"/>
      <c r="EC26" s="59"/>
      <c r="ED26" s="59"/>
      <c r="EE26" s="59"/>
      <c r="EF26" s="59"/>
      <c r="EG26" s="59"/>
      <c r="EH26" s="59"/>
      <c r="EI26" s="59"/>
      <c r="EJ26" s="59"/>
      <c r="EK26" s="59"/>
      <c r="EL26" s="59"/>
      <c r="EM26" s="59"/>
      <c r="EN26" s="59"/>
      <c r="EO26" s="59"/>
      <c r="EP26" s="59"/>
      <c r="EQ26" s="59"/>
      <c r="ER26" s="59"/>
      <c r="ES26" s="59"/>
      <c r="ET26" s="59"/>
      <c r="EU26" s="59"/>
      <c r="EV26" s="59"/>
      <c r="EW26" s="59"/>
      <c r="EX26" s="59"/>
      <c r="EY26" s="59"/>
      <c r="EZ26" s="59"/>
      <c r="FA26" s="59"/>
      <c r="FB26" s="59"/>
      <c r="FC26" s="59"/>
      <c r="FD26" s="59"/>
      <c r="FE26" s="59"/>
      <c r="FF26" s="59"/>
      <c r="FG26" s="59"/>
      <c r="FH26" s="59"/>
      <c r="FI26" s="59"/>
      <c r="FJ26" s="59"/>
      <c r="FK26" s="59"/>
      <c r="FL26" s="59"/>
      <c r="FM26" s="59"/>
      <c r="FN26" s="59"/>
      <c r="FO26" s="59"/>
      <c r="FP26" s="59"/>
      <c r="FQ26" s="59"/>
      <c r="FR26" s="59"/>
      <c r="FS26" s="59"/>
      <c r="FT26" s="59"/>
      <c r="FU26" s="59"/>
      <c r="FV26" s="59"/>
      <c r="FW26" s="59"/>
      <c r="FX26" s="59"/>
      <c r="FY26" s="59"/>
      <c r="FZ26" s="59"/>
      <c r="GA26" s="59"/>
      <c r="GB26" s="59"/>
      <c r="GC26" s="59"/>
      <c r="GD26" s="59"/>
      <c r="GE26" s="59"/>
      <c r="GF26" s="59"/>
      <c r="GG26" s="59"/>
      <c r="GH26" s="59"/>
      <c r="GI26" s="60"/>
    </row>
    <row r="27" spans="1:191" x14ac:dyDescent="0.15">
      <c r="A27" s="23">
        <v>8</v>
      </c>
      <c r="B27" s="24" t="s">
        <v>120</v>
      </c>
      <c r="C27" s="45" t="s">
        <v>124</v>
      </c>
      <c r="D27" s="26" t="s">
        <v>115</v>
      </c>
      <c r="E27" s="27" t="s">
        <v>13</v>
      </c>
      <c r="F27" s="28">
        <v>42849</v>
      </c>
      <c r="G27" s="28">
        <v>42861</v>
      </c>
      <c r="H27" s="29">
        <f t="shared" si="7"/>
        <v>0</v>
      </c>
      <c r="I27" s="30"/>
      <c r="J27" s="31"/>
      <c r="K27" s="32"/>
      <c r="L27" s="32"/>
      <c r="M27" s="32"/>
      <c r="N27" s="32"/>
      <c r="O27" s="32"/>
      <c r="P27" s="32"/>
      <c r="Q27" s="32"/>
      <c r="R27" s="32"/>
      <c r="S27" s="32"/>
      <c r="T27" s="32"/>
      <c r="U27" s="32"/>
      <c r="V27" s="32"/>
      <c r="W27" s="32"/>
      <c r="X27" s="32"/>
      <c r="Y27" s="32"/>
      <c r="Z27" s="32"/>
      <c r="AA27" s="32"/>
      <c r="AB27" s="32"/>
      <c r="AC27" s="32"/>
      <c r="AD27" s="32"/>
      <c r="AE27" s="32"/>
      <c r="AF27" s="32"/>
      <c r="AG27" s="32"/>
      <c r="AH27" s="32"/>
      <c r="AI27" s="32"/>
      <c r="AJ27" s="32"/>
      <c r="AK27" s="32"/>
      <c r="AL27" s="32"/>
      <c r="AM27" s="32"/>
      <c r="AN27" s="32"/>
      <c r="AO27" s="32"/>
      <c r="AP27" s="33"/>
      <c r="AQ27" s="33"/>
      <c r="AR27" s="33"/>
      <c r="AS27" s="33"/>
      <c r="AT27" s="33"/>
      <c r="AU27" s="33"/>
      <c r="AV27" s="33"/>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33"/>
      <c r="CG27" s="33"/>
      <c r="CH27" s="33"/>
      <c r="CI27" s="33"/>
      <c r="CJ27" s="33"/>
      <c r="CK27" s="33"/>
      <c r="CL27" s="33"/>
      <c r="CM27" s="33"/>
      <c r="CN27" s="33"/>
      <c r="CO27" s="33"/>
      <c r="CP27" s="33"/>
      <c r="CQ27" s="33"/>
      <c r="CR27" s="33"/>
      <c r="CS27" s="33"/>
      <c r="CT27" s="33"/>
      <c r="CU27" s="33"/>
      <c r="CV27" s="33"/>
      <c r="CW27" s="33"/>
      <c r="CX27" s="33"/>
      <c r="CY27" s="33"/>
      <c r="CZ27" s="33"/>
      <c r="DA27" s="33"/>
      <c r="DB27" s="33"/>
      <c r="DC27" s="33"/>
      <c r="DD27" s="33"/>
      <c r="DE27" s="33"/>
      <c r="DF27" s="33"/>
      <c r="DG27" s="33"/>
      <c r="DH27" s="33"/>
      <c r="DI27" s="33"/>
      <c r="DJ27" s="33"/>
      <c r="DK27" s="33"/>
      <c r="DL27" s="33"/>
      <c r="DM27" s="33"/>
      <c r="DN27" s="33"/>
      <c r="DO27" s="33"/>
      <c r="DP27" s="33"/>
      <c r="DQ27" s="33"/>
      <c r="DR27" s="33"/>
      <c r="DS27" s="33"/>
      <c r="DT27" s="33"/>
      <c r="DU27" s="33"/>
      <c r="DV27" s="33"/>
      <c r="DW27" s="33"/>
      <c r="DX27" s="33"/>
      <c r="DY27" s="33"/>
      <c r="DZ27" s="33"/>
      <c r="EA27" s="33"/>
      <c r="EB27" s="33"/>
      <c r="EC27" s="33"/>
      <c r="ED27" s="33"/>
      <c r="EE27" s="33"/>
      <c r="EF27" s="33"/>
      <c r="EG27" s="33"/>
      <c r="EH27" s="33"/>
      <c r="EI27" s="33"/>
      <c r="EJ27" s="33"/>
      <c r="EK27" s="33"/>
      <c r="EL27" s="33"/>
      <c r="EM27" s="33"/>
      <c r="EN27" s="33"/>
      <c r="EO27" s="33"/>
      <c r="EP27" s="33"/>
      <c r="EQ27" s="33"/>
      <c r="ER27" s="33"/>
      <c r="ES27" s="33"/>
      <c r="ET27" s="33"/>
      <c r="EU27" s="33"/>
      <c r="EV27" s="33"/>
      <c r="EW27" s="33"/>
      <c r="EX27" s="33"/>
      <c r="EY27" s="33"/>
      <c r="EZ27" s="33"/>
      <c r="FA27" s="33"/>
      <c r="FB27" s="33"/>
      <c r="FC27" s="33"/>
      <c r="FD27" s="33"/>
      <c r="FE27" s="33"/>
      <c r="FF27" s="33"/>
      <c r="FG27" s="33"/>
      <c r="FH27" s="33"/>
      <c r="FI27" s="33"/>
      <c r="FJ27" s="33"/>
      <c r="FK27" s="33"/>
      <c r="FL27" s="33"/>
      <c r="FM27" s="33"/>
      <c r="FN27" s="33"/>
      <c r="FO27" s="33"/>
      <c r="FP27" s="33"/>
      <c r="FQ27" s="33"/>
      <c r="FR27" s="33"/>
      <c r="FS27" s="33"/>
      <c r="FT27" s="33"/>
      <c r="FU27" s="33"/>
      <c r="FV27" s="33"/>
      <c r="FW27" s="33"/>
      <c r="FX27" s="33"/>
      <c r="FY27" s="33"/>
      <c r="FZ27" s="33"/>
      <c r="GA27" s="33"/>
      <c r="GB27" s="33"/>
      <c r="GC27" s="33"/>
      <c r="GD27" s="33"/>
      <c r="GE27" s="33"/>
      <c r="GF27" s="33"/>
      <c r="GG27" s="33"/>
      <c r="GH27" s="33"/>
      <c r="GI27" s="34"/>
    </row>
    <row r="28" spans="1:191" x14ac:dyDescent="0.15">
      <c r="A28" s="35">
        <f>A27</f>
        <v>8</v>
      </c>
      <c r="B28" s="36" t="str">
        <f>B27</f>
        <v>FD</v>
      </c>
      <c r="C28" s="36" t="str">
        <f>C27</f>
        <v>監視端末機能設計書作成</v>
      </c>
      <c r="D28" s="37" t="str">
        <f>D27</f>
        <v>若山</v>
      </c>
      <c r="E28" s="38" t="s">
        <v>0</v>
      </c>
      <c r="F28" s="39"/>
      <c r="G28" s="39"/>
      <c r="H28" s="55">
        <f t="shared" si="7"/>
        <v>0</v>
      </c>
      <c r="I28" s="40">
        <f>IF(OR(H27="",H28=""),"",H28-H27)</f>
        <v>0</v>
      </c>
      <c r="J28" s="41"/>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42"/>
      <c r="AK28" s="42"/>
      <c r="AL28" s="42"/>
      <c r="AM28" s="42"/>
      <c r="AN28" s="42"/>
      <c r="AO28" s="42"/>
      <c r="AP28" s="43"/>
      <c r="AQ28" s="43"/>
      <c r="AR28" s="43"/>
      <c r="AS28" s="43"/>
      <c r="AT28" s="43"/>
      <c r="AU28" s="43"/>
      <c r="AV28" s="43"/>
      <c r="AW28" s="43"/>
      <c r="AX28" s="43"/>
      <c r="AY28" s="43"/>
      <c r="AZ28" s="43"/>
      <c r="BA28" s="43"/>
      <c r="BB28" s="43"/>
      <c r="BC28" s="43"/>
      <c r="BD28" s="43"/>
      <c r="BE28" s="43"/>
      <c r="BF28" s="43"/>
      <c r="BG28" s="43"/>
      <c r="BH28" s="43"/>
      <c r="BI28" s="43"/>
      <c r="BJ28" s="43"/>
      <c r="BK28" s="43"/>
      <c r="BL28" s="43"/>
      <c r="BM28" s="43"/>
      <c r="BN28" s="43"/>
      <c r="BO28" s="43"/>
      <c r="BP28" s="43"/>
      <c r="BQ28" s="43"/>
      <c r="BR28" s="43"/>
      <c r="BS28" s="43"/>
      <c r="BT28" s="43"/>
      <c r="BU28" s="43"/>
      <c r="BV28" s="43"/>
      <c r="BW28" s="43"/>
      <c r="BX28" s="43"/>
      <c r="BY28" s="43"/>
      <c r="BZ28" s="43"/>
      <c r="CA28" s="43"/>
      <c r="CB28" s="43"/>
      <c r="CC28" s="43"/>
      <c r="CD28" s="43"/>
      <c r="CE28" s="43"/>
      <c r="CF28" s="43"/>
      <c r="CG28" s="43"/>
      <c r="CH28" s="43"/>
      <c r="CI28" s="43"/>
      <c r="CJ28" s="43"/>
      <c r="CK28" s="43"/>
      <c r="CL28" s="43"/>
      <c r="CM28" s="43"/>
      <c r="CN28" s="43"/>
      <c r="CO28" s="43"/>
      <c r="CP28" s="43"/>
      <c r="CQ28" s="43"/>
      <c r="CR28" s="43"/>
      <c r="CS28" s="43"/>
      <c r="CT28" s="43"/>
      <c r="CU28" s="43"/>
      <c r="CV28" s="43"/>
      <c r="CW28" s="43"/>
      <c r="CX28" s="43"/>
      <c r="CY28" s="43"/>
      <c r="CZ28" s="43"/>
      <c r="DA28" s="43"/>
      <c r="DB28" s="43"/>
      <c r="DC28" s="43"/>
      <c r="DD28" s="43"/>
      <c r="DE28" s="43"/>
      <c r="DF28" s="43"/>
      <c r="DG28" s="43"/>
      <c r="DH28" s="43"/>
      <c r="DI28" s="43"/>
      <c r="DJ28" s="43"/>
      <c r="DK28" s="43"/>
      <c r="DL28" s="43"/>
      <c r="DM28" s="43"/>
      <c r="DN28" s="43"/>
      <c r="DO28" s="43"/>
      <c r="DP28" s="43"/>
      <c r="DQ28" s="43"/>
      <c r="DR28" s="43"/>
      <c r="DS28" s="43"/>
      <c r="DT28" s="43"/>
      <c r="DU28" s="43"/>
      <c r="DV28" s="43"/>
      <c r="DW28" s="43"/>
      <c r="DX28" s="43"/>
      <c r="DY28" s="43"/>
      <c r="DZ28" s="43"/>
      <c r="EA28" s="43"/>
      <c r="EB28" s="43"/>
      <c r="EC28" s="43"/>
      <c r="ED28" s="43"/>
      <c r="EE28" s="43"/>
      <c r="EF28" s="43"/>
      <c r="EG28" s="43"/>
      <c r="EH28" s="43"/>
      <c r="EI28" s="43"/>
      <c r="EJ28" s="43"/>
      <c r="EK28" s="43"/>
      <c r="EL28" s="43"/>
      <c r="EM28" s="43"/>
      <c r="EN28" s="43"/>
      <c r="EO28" s="43"/>
      <c r="EP28" s="43"/>
      <c r="EQ28" s="43"/>
      <c r="ER28" s="43"/>
      <c r="ES28" s="43"/>
      <c r="ET28" s="43"/>
      <c r="EU28" s="43"/>
      <c r="EV28" s="43"/>
      <c r="EW28" s="43"/>
      <c r="EX28" s="43"/>
      <c r="EY28" s="43"/>
      <c r="EZ28" s="43"/>
      <c r="FA28" s="43"/>
      <c r="FB28" s="43"/>
      <c r="FC28" s="43"/>
      <c r="FD28" s="43"/>
      <c r="FE28" s="43"/>
      <c r="FF28" s="43"/>
      <c r="FG28" s="43"/>
      <c r="FH28" s="43"/>
      <c r="FI28" s="43"/>
      <c r="FJ28" s="43"/>
      <c r="FK28" s="43"/>
      <c r="FL28" s="43"/>
      <c r="FM28" s="43"/>
      <c r="FN28" s="43"/>
      <c r="FO28" s="43"/>
      <c r="FP28" s="43"/>
      <c r="FQ28" s="43"/>
      <c r="FR28" s="43"/>
      <c r="FS28" s="43"/>
      <c r="FT28" s="43"/>
      <c r="FU28" s="43"/>
      <c r="FV28" s="43"/>
      <c r="FW28" s="43"/>
      <c r="FX28" s="43"/>
      <c r="FY28" s="43"/>
      <c r="FZ28" s="43"/>
      <c r="GA28" s="43"/>
      <c r="GB28" s="43"/>
      <c r="GC28" s="43"/>
      <c r="GD28" s="43"/>
      <c r="GE28" s="43"/>
      <c r="GF28" s="43"/>
      <c r="GG28" s="43"/>
      <c r="GH28" s="43"/>
      <c r="GI28" s="44"/>
    </row>
    <row r="29" spans="1:191" x14ac:dyDescent="0.15">
      <c r="A29" s="23">
        <v>9</v>
      </c>
      <c r="B29" s="24" t="s">
        <v>120</v>
      </c>
      <c r="C29" s="45" t="s">
        <v>125</v>
      </c>
      <c r="D29" s="26" t="s">
        <v>170</v>
      </c>
      <c r="E29" s="46" t="s">
        <v>13</v>
      </c>
      <c r="F29" s="47">
        <v>42861</v>
      </c>
      <c r="G29" s="47">
        <v>42862</v>
      </c>
      <c r="H29" s="29">
        <f t="shared" si="7"/>
        <v>0</v>
      </c>
      <c r="I29" s="48"/>
      <c r="J29" s="49"/>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c r="AL29" s="50"/>
      <c r="AM29" s="50"/>
      <c r="AN29" s="50"/>
      <c r="AO29" s="50"/>
      <c r="AP29" s="51"/>
      <c r="AQ29" s="51"/>
      <c r="AR29" s="51"/>
      <c r="AS29" s="51"/>
      <c r="AT29" s="51"/>
      <c r="AU29" s="51"/>
      <c r="AV29" s="51"/>
      <c r="AW29" s="51"/>
      <c r="AX29" s="51"/>
      <c r="AY29" s="51"/>
      <c r="AZ29" s="51"/>
      <c r="BA29" s="51"/>
      <c r="BB29" s="51"/>
      <c r="BC29" s="51"/>
      <c r="BD29" s="51"/>
      <c r="BE29" s="51"/>
      <c r="BF29" s="51"/>
      <c r="BG29" s="51"/>
      <c r="BH29" s="51"/>
      <c r="BI29" s="51"/>
      <c r="BJ29" s="51"/>
      <c r="BK29" s="51"/>
      <c r="BL29" s="51"/>
      <c r="BM29" s="51"/>
      <c r="BN29" s="51"/>
      <c r="BO29" s="51"/>
      <c r="BP29" s="51"/>
      <c r="BQ29" s="51"/>
      <c r="BR29" s="51"/>
      <c r="BS29" s="51"/>
      <c r="BT29" s="51"/>
      <c r="BU29" s="51"/>
      <c r="BV29" s="51"/>
      <c r="BW29" s="51"/>
      <c r="BX29" s="51"/>
      <c r="BY29" s="51"/>
      <c r="BZ29" s="51"/>
      <c r="CA29" s="51"/>
      <c r="CB29" s="51"/>
      <c r="CC29" s="51"/>
      <c r="CD29" s="51"/>
      <c r="CE29" s="51"/>
      <c r="CF29" s="51"/>
      <c r="CG29" s="51"/>
      <c r="CH29" s="51"/>
      <c r="CI29" s="51"/>
      <c r="CJ29" s="51"/>
      <c r="CK29" s="51"/>
      <c r="CL29" s="51"/>
      <c r="CM29" s="51"/>
      <c r="CN29" s="51"/>
      <c r="CO29" s="51"/>
      <c r="CP29" s="51"/>
      <c r="CQ29" s="51"/>
      <c r="CR29" s="51"/>
      <c r="CS29" s="51"/>
      <c r="CT29" s="51"/>
      <c r="CU29" s="51"/>
      <c r="CV29" s="51"/>
      <c r="CW29" s="51"/>
      <c r="CX29" s="51"/>
      <c r="CY29" s="51"/>
      <c r="CZ29" s="51"/>
      <c r="DA29" s="51"/>
      <c r="DB29" s="51"/>
      <c r="DC29" s="51"/>
      <c r="DD29" s="51"/>
      <c r="DE29" s="51"/>
      <c r="DF29" s="51"/>
      <c r="DG29" s="51"/>
      <c r="DH29" s="51"/>
      <c r="DI29" s="51"/>
      <c r="DJ29" s="51"/>
      <c r="DK29" s="51"/>
      <c r="DL29" s="51"/>
      <c r="DM29" s="51"/>
      <c r="DN29" s="51"/>
      <c r="DO29" s="51"/>
      <c r="DP29" s="51"/>
      <c r="DQ29" s="51"/>
      <c r="DR29" s="51"/>
      <c r="DS29" s="51"/>
      <c r="DT29" s="51"/>
      <c r="DU29" s="51"/>
      <c r="DV29" s="51"/>
      <c r="DW29" s="51"/>
      <c r="DX29" s="51"/>
      <c r="DY29" s="51"/>
      <c r="DZ29" s="51"/>
      <c r="EA29" s="51"/>
      <c r="EB29" s="51"/>
      <c r="EC29" s="51"/>
      <c r="ED29" s="51"/>
      <c r="EE29" s="51"/>
      <c r="EF29" s="51"/>
      <c r="EG29" s="51"/>
      <c r="EH29" s="51"/>
      <c r="EI29" s="51"/>
      <c r="EJ29" s="51"/>
      <c r="EK29" s="51"/>
      <c r="EL29" s="51"/>
      <c r="EM29" s="51"/>
      <c r="EN29" s="51"/>
      <c r="EO29" s="51"/>
      <c r="EP29" s="51"/>
      <c r="EQ29" s="51"/>
      <c r="ER29" s="51"/>
      <c r="ES29" s="51"/>
      <c r="ET29" s="51"/>
      <c r="EU29" s="51"/>
      <c r="EV29" s="51"/>
      <c r="EW29" s="51"/>
      <c r="EX29" s="51"/>
      <c r="EY29" s="51"/>
      <c r="EZ29" s="51"/>
      <c r="FA29" s="51"/>
      <c r="FB29" s="51"/>
      <c r="FC29" s="51"/>
      <c r="FD29" s="51"/>
      <c r="FE29" s="51"/>
      <c r="FF29" s="51"/>
      <c r="FG29" s="51"/>
      <c r="FH29" s="51"/>
      <c r="FI29" s="51"/>
      <c r="FJ29" s="51"/>
      <c r="FK29" s="51"/>
      <c r="FL29" s="51"/>
      <c r="FM29" s="51"/>
      <c r="FN29" s="51"/>
      <c r="FO29" s="51"/>
      <c r="FP29" s="51"/>
      <c r="FQ29" s="51"/>
      <c r="FR29" s="51"/>
      <c r="FS29" s="51"/>
      <c r="FT29" s="51"/>
      <c r="FU29" s="51"/>
      <c r="FV29" s="51"/>
      <c r="FW29" s="51"/>
      <c r="FX29" s="51"/>
      <c r="FY29" s="51"/>
      <c r="FZ29" s="51"/>
      <c r="GA29" s="51"/>
      <c r="GB29" s="51"/>
      <c r="GC29" s="51"/>
      <c r="GD29" s="51"/>
      <c r="GE29" s="51"/>
      <c r="GF29" s="51"/>
      <c r="GG29" s="51"/>
      <c r="GH29" s="51"/>
      <c r="GI29" s="52"/>
    </row>
    <row r="30" spans="1:191" x14ac:dyDescent="0.15">
      <c r="A30" s="35">
        <f>A29</f>
        <v>9</v>
      </c>
      <c r="B30" s="36" t="str">
        <f>B29</f>
        <v>FD</v>
      </c>
      <c r="C30" s="36" t="str">
        <f>C29</f>
        <v>監視端末機能設計書レビュー</v>
      </c>
      <c r="D30" s="37" t="str">
        <f>D29</f>
        <v>伊藤</v>
      </c>
      <c r="E30" s="53" t="s">
        <v>0</v>
      </c>
      <c r="F30" s="54"/>
      <c r="G30" s="54"/>
      <c r="H30" s="55">
        <f t="shared" si="7"/>
        <v>0</v>
      </c>
      <c r="I30" s="56">
        <f>IF(OR(H29="",H30=""),"",H30-H29)</f>
        <v>0</v>
      </c>
      <c r="J30" s="57"/>
      <c r="K30" s="58"/>
      <c r="L30" s="58"/>
      <c r="M30" s="58"/>
      <c r="N30" s="58"/>
      <c r="O30" s="58"/>
      <c r="P30" s="58"/>
      <c r="Q30" s="58"/>
      <c r="R30" s="58"/>
      <c r="S30" s="58"/>
      <c r="T30" s="58"/>
      <c r="U30" s="58"/>
      <c r="V30" s="58"/>
      <c r="W30" s="58"/>
      <c r="X30" s="58"/>
      <c r="Y30" s="58"/>
      <c r="Z30" s="58"/>
      <c r="AA30" s="58"/>
      <c r="AB30" s="58"/>
      <c r="AC30" s="58"/>
      <c r="AD30" s="58"/>
      <c r="AE30" s="58"/>
      <c r="AF30" s="58"/>
      <c r="AG30" s="58"/>
      <c r="AH30" s="58"/>
      <c r="AI30" s="58"/>
      <c r="AJ30" s="58"/>
      <c r="AK30" s="58"/>
      <c r="AL30" s="58"/>
      <c r="AM30" s="58"/>
      <c r="AN30" s="58"/>
      <c r="AO30" s="58"/>
      <c r="AP30" s="59"/>
      <c r="AQ30" s="59"/>
      <c r="AR30" s="59"/>
      <c r="AS30" s="59"/>
      <c r="AT30" s="59"/>
      <c r="AU30" s="59"/>
      <c r="AV30" s="59"/>
      <c r="AW30" s="59"/>
      <c r="AX30" s="59"/>
      <c r="AY30" s="59"/>
      <c r="AZ30" s="59"/>
      <c r="BA30" s="59"/>
      <c r="BB30" s="59"/>
      <c r="BC30" s="59"/>
      <c r="BD30" s="59"/>
      <c r="BE30" s="59"/>
      <c r="BF30" s="59"/>
      <c r="BG30" s="59"/>
      <c r="BH30" s="59"/>
      <c r="BI30" s="59"/>
      <c r="BJ30" s="59"/>
      <c r="BK30" s="59"/>
      <c r="BL30" s="59"/>
      <c r="BM30" s="59"/>
      <c r="BN30" s="59"/>
      <c r="BO30" s="59"/>
      <c r="BP30" s="59"/>
      <c r="BQ30" s="59"/>
      <c r="BR30" s="59"/>
      <c r="BS30" s="59"/>
      <c r="BT30" s="59"/>
      <c r="BU30" s="59"/>
      <c r="BV30" s="59"/>
      <c r="BW30" s="59"/>
      <c r="BX30" s="59"/>
      <c r="BY30" s="59"/>
      <c r="BZ30" s="59"/>
      <c r="CA30" s="59"/>
      <c r="CB30" s="59"/>
      <c r="CC30" s="59"/>
      <c r="CD30" s="59"/>
      <c r="CE30" s="59"/>
      <c r="CF30" s="59"/>
      <c r="CG30" s="59"/>
      <c r="CH30" s="59"/>
      <c r="CI30" s="59"/>
      <c r="CJ30" s="59"/>
      <c r="CK30" s="59"/>
      <c r="CL30" s="59"/>
      <c r="CM30" s="59"/>
      <c r="CN30" s="59"/>
      <c r="CO30" s="59"/>
      <c r="CP30" s="59"/>
      <c r="CQ30" s="59"/>
      <c r="CR30" s="59"/>
      <c r="CS30" s="59"/>
      <c r="CT30" s="59"/>
      <c r="CU30" s="59"/>
      <c r="CV30" s="59"/>
      <c r="CW30" s="59"/>
      <c r="CX30" s="59"/>
      <c r="CY30" s="59"/>
      <c r="CZ30" s="59"/>
      <c r="DA30" s="59"/>
      <c r="DB30" s="59"/>
      <c r="DC30" s="59"/>
      <c r="DD30" s="59"/>
      <c r="DE30" s="59"/>
      <c r="DF30" s="59"/>
      <c r="DG30" s="59"/>
      <c r="DH30" s="59"/>
      <c r="DI30" s="59"/>
      <c r="DJ30" s="59"/>
      <c r="DK30" s="59"/>
      <c r="DL30" s="59"/>
      <c r="DM30" s="59"/>
      <c r="DN30" s="59"/>
      <c r="DO30" s="59"/>
      <c r="DP30" s="59"/>
      <c r="DQ30" s="59"/>
      <c r="DR30" s="59"/>
      <c r="DS30" s="59"/>
      <c r="DT30" s="59"/>
      <c r="DU30" s="59"/>
      <c r="DV30" s="59"/>
      <c r="DW30" s="59"/>
      <c r="DX30" s="59"/>
      <c r="DY30" s="59"/>
      <c r="DZ30" s="59"/>
      <c r="EA30" s="59"/>
      <c r="EB30" s="59"/>
      <c r="EC30" s="59"/>
      <c r="ED30" s="59"/>
      <c r="EE30" s="59"/>
      <c r="EF30" s="59"/>
      <c r="EG30" s="59"/>
      <c r="EH30" s="59"/>
      <c r="EI30" s="59"/>
      <c r="EJ30" s="59"/>
      <c r="EK30" s="59"/>
      <c r="EL30" s="59"/>
      <c r="EM30" s="59"/>
      <c r="EN30" s="59"/>
      <c r="EO30" s="59"/>
      <c r="EP30" s="59"/>
      <c r="EQ30" s="59"/>
      <c r="ER30" s="59"/>
      <c r="ES30" s="59"/>
      <c r="ET30" s="59"/>
      <c r="EU30" s="59"/>
      <c r="EV30" s="59"/>
      <c r="EW30" s="59"/>
      <c r="EX30" s="59"/>
      <c r="EY30" s="59"/>
      <c r="EZ30" s="59"/>
      <c r="FA30" s="59"/>
      <c r="FB30" s="59"/>
      <c r="FC30" s="59"/>
      <c r="FD30" s="59"/>
      <c r="FE30" s="59"/>
      <c r="FF30" s="59"/>
      <c r="FG30" s="59"/>
      <c r="FH30" s="59"/>
      <c r="FI30" s="59"/>
      <c r="FJ30" s="59"/>
      <c r="FK30" s="59"/>
      <c r="FL30" s="59"/>
      <c r="FM30" s="59"/>
      <c r="FN30" s="59"/>
      <c r="FO30" s="59"/>
      <c r="FP30" s="59"/>
      <c r="FQ30" s="59"/>
      <c r="FR30" s="59"/>
      <c r="FS30" s="59"/>
      <c r="FT30" s="59"/>
      <c r="FU30" s="59"/>
      <c r="FV30" s="59"/>
      <c r="FW30" s="59"/>
      <c r="FX30" s="59"/>
      <c r="FY30" s="59"/>
      <c r="FZ30" s="59"/>
      <c r="GA30" s="59"/>
      <c r="GB30" s="59"/>
      <c r="GC30" s="59"/>
      <c r="GD30" s="59"/>
      <c r="GE30" s="59"/>
      <c r="GF30" s="59"/>
      <c r="GG30" s="59"/>
      <c r="GH30" s="59"/>
      <c r="GI30" s="60"/>
    </row>
    <row r="31" spans="1:191" x14ac:dyDescent="0.15">
      <c r="A31" s="23">
        <v>10</v>
      </c>
      <c r="B31" s="24" t="s">
        <v>120</v>
      </c>
      <c r="C31" s="45" t="s">
        <v>126</v>
      </c>
      <c r="D31" s="26" t="s">
        <v>115</v>
      </c>
      <c r="E31" s="27" t="s">
        <v>13</v>
      </c>
      <c r="F31" s="28">
        <v>42863</v>
      </c>
      <c r="G31" s="28">
        <v>42869</v>
      </c>
      <c r="H31" s="29">
        <f t="shared" si="7"/>
        <v>0</v>
      </c>
      <c r="I31" s="30"/>
      <c r="J31" s="31"/>
      <c r="K31" s="32"/>
      <c r="L31" s="32"/>
      <c r="M31" s="32"/>
      <c r="N31" s="32"/>
      <c r="O31" s="32"/>
      <c r="P31" s="32"/>
      <c r="Q31" s="32"/>
      <c r="R31" s="32"/>
      <c r="S31" s="32"/>
      <c r="T31" s="32"/>
      <c r="U31" s="32"/>
      <c r="V31" s="32"/>
      <c r="W31" s="32"/>
      <c r="X31" s="32"/>
      <c r="Y31" s="32"/>
      <c r="Z31" s="32"/>
      <c r="AA31" s="32"/>
      <c r="AB31" s="32"/>
      <c r="AC31" s="32"/>
      <c r="AD31" s="32"/>
      <c r="AE31" s="32"/>
      <c r="AF31" s="32"/>
      <c r="AG31" s="32"/>
      <c r="AH31" s="32"/>
      <c r="AI31" s="32"/>
      <c r="AJ31" s="32"/>
      <c r="AK31" s="32"/>
      <c r="AL31" s="32"/>
      <c r="AM31" s="32"/>
      <c r="AN31" s="32"/>
      <c r="AO31" s="32"/>
      <c r="AP31" s="33"/>
      <c r="AQ31" s="33"/>
      <c r="AR31" s="33"/>
      <c r="AS31" s="33"/>
      <c r="AT31" s="33"/>
      <c r="AU31" s="33"/>
      <c r="AV31" s="33"/>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33"/>
      <c r="CG31" s="33"/>
      <c r="CH31" s="33"/>
      <c r="CI31" s="33"/>
      <c r="CJ31" s="33"/>
      <c r="CK31" s="33"/>
      <c r="CL31" s="33"/>
      <c r="CM31" s="33"/>
      <c r="CN31" s="33"/>
      <c r="CO31" s="33"/>
      <c r="CP31" s="33"/>
      <c r="CQ31" s="33"/>
      <c r="CR31" s="33"/>
      <c r="CS31" s="33"/>
      <c r="CT31" s="33"/>
      <c r="CU31" s="33"/>
      <c r="CV31" s="33"/>
      <c r="CW31" s="33"/>
      <c r="CX31" s="33"/>
      <c r="CY31" s="33"/>
      <c r="CZ31" s="33"/>
      <c r="DA31" s="33"/>
      <c r="DB31" s="33"/>
      <c r="DC31" s="33"/>
      <c r="DD31" s="33"/>
      <c r="DE31" s="33"/>
      <c r="DF31" s="33"/>
      <c r="DG31" s="33"/>
      <c r="DH31" s="33"/>
      <c r="DI31" s="33"/>
      <c r="DJ31" s="33"/>
      <c r="DK31" s="33"/>
      <c r="DL31" s="33"/>
      <c r="DM31" s="33"/>
      <c r="DN31" s="33"/>
      <c r="DO31" s="33"/>
      <c r="DP31" s="33"/>
      <c r="DQ31" s="33"/>
      <c r="DR31" s="33"/>
      <c r="DS31" s="33"/>
      <c r="DT31" s="33"/>
      <c r="DU31" s="33"/>
      <c r="DV31" s="33"/>
      <c r="DW31" s="33"/>
      <c r="DX31" s="33"/>
      <c r="DY31" s="33"/>
      <c r="DZ31" s="33"/>
      <c r="EA31" s="33"/>
      <c r="EB31" s="33"/>
      <c r="EC31" s="33"/>
      <c r="ED31" s="33"/>
      <c r="EE31" s="33"/>
      <c r="EF31" s="33"/>
      <c r="EG31" s="33"/>
      <c r="EH31" s="33"/>
      <c r="EI31" s="33"/>
      <c r="EJ31" s="33"/>
      <c r="EK31" s="33"/>
      <c r="EL31" s="33"/>
      <c r="EM31" s="33"/>
      <c r="EN31" s="33"/>
      <c r="EO31" s="33"/>
      <c r="EP31" s="33"/>
      <c r="EQ31" s="33"/>
      <c r="ER31" s="33"/>
      <c r="ES31" s="33"/>
      <c r="ET31" s="33"/>
      <c r="EU31" s="33"/>
      <c r="EV31" s="33"/>
      <c r="EW31" s="33"/>
      <c r="EX31" s="33"/>
      <c r="EY31" s="33"/>
      <c r="EZ31" s="33"/>
      <c r="FA31" s="33"/>
      <c r="FB31" s="33"/>
      <c r="FC31" s="33"/>
      <c r="FD31" s="33"/>
      <c r="FE31" s="33"/>
      <c r="FF31" s="33"/>
      <c r="FG31" s="33"/>
      <c r="FH31" s="33"/>
      <c r="FI31" s="33"/>
      <c r="FJ31" s="33"/>
      <c r="FK31" s="33"/>
      <c r="FL31" s="33"/>
      <c r="FM31" s="33"/>
      <c r="FN31" s="33"/>
      <c r="FO31" s="33"/>
      <c r="FP31" s="33"/>
      <c r="FQ31" s="33"/>
      <c r="FR31" s="33"/>
      <c r="FS31" s="33"/>
      <c r="FT31" s="33"/>
      <c r="FU31" s="33"/>
      <c r="FV31" s="33"/>
      <c r="FW31" s="33"/>
      <c r="FX31" s="33"/>
      <c r="FY31" s="33"/>
      <c r="FZ31" s="33"/>
      <c r="GA31" s="33"/>
      <c r="GB31" s="33"/>
      <c r="GC31" s="33"/>
      <c r="GD31" s="33"/>
      <c r="GE31" s="33"/>
      <c r="GF31" s="33"/>
      <c r="GG31" s="33"/>
      <c r="GH31" s="33"/>
      <c r="GI31" s="34"/>
    </row>
    <row r="32" spans="1:191" x14ac:dyDescent="0.15">
      <c r="A32" s="35">
        <f>A31</f>
        <v>10</v>
      </c>
      <c r="B32" s="36" t="str">
        <f>B31</f>
        <v>FD</v>
      </c>
      <c r="C32" s="36" t="str">
        <f>C31</f>
        <v>監視端末機能設計書レビュー指摘対応</v>
      </c>
      <c r="D32" s="37" t="str">
        <f>D31</f>
        <v>若山</v>
      </c>
      <c r="E32" s="38" t="s">
        <v>0</v>
      </c>
      <c r="F32" s="39"/>
      <c r="G32" s="39"/>
      <c r="H32" s="55">
        <f t="shared" si="7"/>
        <v>0</v>
      </c>
      <c r="I32" s="40">
        <f>IF(OR(H31="",H32=""),"",H32-H31)</f>
        <v>0</v>
      </c>
      <c r="J32" s="41"/>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3"/>
      <c r="AQ32" s="43"/>
      <c r="AR32" s="43"/>
      <c r="AS32" s="43"/>
      <c r="AT32" s="43"/>
      <c r="AU32" s="43"/>
      <c r="AV32" s="43"/>
      <c r="AW32" s="43"/>
      <c r="AX32" s="43"/>
      <c r="AY32" s="43"/>
      <c r="AZ32" s="43"/>
      <c r="BA32" s="43"/>
      <c r="BB32" s="43"/>
      <c r="BC32" s="43"/>
      <c r="BD32" s="43"/>
      <c r="BE32" s="43"/>
      <c r="BF32" s="43"/>
      <c r="BG32" s="43"/>
      <c r="BH32" s="43"/>
      <c r="BI32" s="43"/>
      <c r="BJ32" s="43"/>
      <c r="BK32" s="43"/>
      <c r="BL32" s="43"/>
      <c r="BM32" s="43"/>
      <c r="BN32" s="43"/>
      <c r="BO32" s="43"/>
      <c r="BP32" s="43"/>
      <c r="BQ32" s="43"/>
      <c r="BR32" s="43"/>
      <c r="BS32" s="43"/>
      <c r="BT32" s="43"/>
      <c r="BU32" s="43"/>
      <c r="BV32" s="43"/>
      <c r="BW32" s="43"/>
      <c r="BX32" s="43"/>
      <c r="BY32" s="43"/>
      <c r="BZ32" s="43"/>
      <c r="CA32" s="43"/>
      <c r="CB32" s="43"/>
      <c r="CC32" s="43"/>
      <c r="CD32" s="43"/>
      <c r="CE32" s="43"/>
      <c r="CF32" s="43"/>
      <c r="CG32" s="43"/>
      <c r="CH32" s="43"/>
      <c r="CI32" s="43"/>
      <c r="CJ32" s="43"/>
      <c r="CK32" s="43"/>
      <c r="CL32" s="43"/>
      <c r="CM32" s="43"/>
      <c r="CN32" s="43"/>
      <c r="CO32" s="43"/>
      <c r="CP32" s="43"/>
      <c r="CQ32" s="43"/>
      <c r="CR32" s="43"/>
      <c r="CS32" s="43"/>
      <c r="CT32" s="43"/>
      <c r="CU32" s="43"/>
      <c r="CV32" s="43"/>
      <c r="CW32" s="43"/>
      <c r="CX32" s="43"/>
      <c r="CY32" s="43"/>
      <c r="CZ32" s="43"/>
      <c r="DA32" s="43"/>
      <c r="DB32" s="43"/>
      <c r="DC32" s="43"/>
      <c r="DD32" s="43"/>
      <c r="DE32" s="43"/>
      <c r="DF32" s="43"/>
      <c r="DG32" s="43"/>
      <c r="DH32" s="43"/>
      <c r="DI32" s="43"/>
      <c r="DJ32" s="43"/>
      <c r="DK32" s="43"/>
      <c r="DL32" s="43"/>
      <c r="DM32" s="43"/>
      <c r="DN32" s="43"/>
      <c r="DO32" s="43"/>
      <c r="DP32" s="43"/>
      <c r="DQ32" s="43"/>
      <c r="DR32" s="43"/>
      <c r="DS32" s="43"/>
      <c r="DT32" s="43"/>
      <c r="DU32" s="43"/>
      <c r="DV32" s="43"/>
      <c r="DW32" s="43"/>
      <c r="DX32" s="43"/>
      <c r="DY32" s="43"/>
      <c r="DZ32" s="43"/>
      <c r="EA32" s="43"/>
      <c r="EB32" s="43"/>
      <c r="EC32" s="43"/>
      <c r="ED32" s="43"/>
      <c r="EE32" s="43"/>
      <c r="EF32" s="43"/>
      <c r="EG32" s="43"/>
      <c r="EH32" s="43"/>
      <c r="EI32" s="43"/>
      <c r="EJ32" s="43"/>
      <c r="EK32" s="43"/>
      <c r="EL32" s="43"/>
      <c r="EM32" s="43"/>
      <c r="EN32" s="43"/>
      <c r="EO32" s="43"/>
      <c r="EP32" s="43"/>
      <c r="EQ32" s="43"/>
      <c r="ER32" s="43"/>
      <c r="ES32" s="43"/>
      <c r="ET32" s="43"/>
      <c r="EU32" s="43"/>
      <c r="EV32" s="43"/>
      <c r="EW32" s="43"/>
      <c r="EX32" s="43"/>
      <c r="EY32" s="43"/>
      <c r="EZ32" s="43"/>
      <c r="FA32" s="43"/>
      <c r="FB32" s="43"/>
      <c r="FC32" s="43"/>
      <c r="FD32" s="43"/>
      <c r="FE32" s="43"/>
      <c r="FF32" s="43"/>
      <c r="FG32" s="43"/>
      <c r="FH32" s="43"/>
      <c r="FI32" s="43"/>
      <c r="FJ32" s="43"/>
      <c r="FK32" s="43"/>
      <c r="FL32" s="43"/>
      <c r="FM32" s="43"/>
      <c r="FN32" s="43"/>
      <c r="FO32" s="43"/>
      <c r="FP32" s="43"/>
      <c r="FQ32" s="43"/>
      <c r="FR32" s="43"/>
      <c r="FS32" s="43"/>
      <c r="FT32" s="43"/>
      <c r="FU32" s="43"/>
      <c r="FV32" s="43"/>
      <c r="FW32" s="43"/>
      <c r="FX32" s="43"/>
      <c r="FY32" s="43"/>
      <c r="FZ32" s="43"/>
      <c r="GA32" s="43"/>
      <c r="GB32" s="43"/>
      <c r="GC32" s="43"/>
      <c r="GD32" s="43"/>
      <c r="GE32" s="43"/>
      <c r="GF32" s="43"/>
      <c r="GG32" s="43"/>
      <c r="GH32" s="43"/>
      <c r="GI32" s="44"/>
    </row>
    <row r="33" spans="1:191" x14ac:dyDescent="0.15">
      <c r="A33" s="23">
        <v>11</v>
      </c>
      <c r="B33" s="24" t="s">
        <v>120</v>
      </c>
      <c r="C33" s="45" t="s">
        <v>127</v>
      </c>
      <c r="D33" s="26" t="s">
        <v>171</v>
      </c>
      <c r="E33" s="46" t="s">
        <v>13</v>
      </c>
      <c r="F33" s="47">
        <v>42849</v>
      </c>
      <c r="G33" s="47">
        <v>42861</v>
      </c>
      <c r="H33" s="29">
        <f t="shared" si="7"/>
        <v>0</v>
      </c>
      <c r="I33" s="48"/>
      <c r="J33" s="49"/>
      <c r="K33" s="50"/>
      <c r="L33" s="50"/>
      <c r="M33" s="50"/>
      <c r="N33" s="50"/>
      <c r="O33" s="50"/>
      <c r="P33" s="50"/>
      <c r="Q33" s="50"/>
      <c r="R33" s="50"/>
      <c r="S33" s="50"/>
      <c r="T33" s="50"/>
      <c r="U33" s="50"/>
      <c r="V33" s="50"/>
      <c r="W33" s="50"/>
      <c r="X33" s="50"/>
      <c r="Y33" s="50"/>
      <c r="Z33" s="50"/>
      <c r="AA33" s="50"/>
      <c r="AB33" s="50"/>
      <c r="AC33" s="50"/>
      <c r="AD33" s="50"/>
      <c r="AE33" s="50"/>
      <c r="AF33" s="50"/>
      <c r="AG33" s="50"/>
      <c r="AH33" s="50"/>
      <c r="AI33" s="50"/>
      <c r="AJ33" s="50"/>
      <c r="AK33" s="50"/>
      <c r="AL33" s="50"/>
      <c r="AM33" s="50"/>
      <c r="AN33" s="50"/>
      <c r="AO33" s="50"/>
      <c r="AP33" s="51"/>
      <c r="AQ33" s="51"/>
      <c r="AR33" s="51"/>
      <c r="AS33" s="51"/>
      <c r="AT33" s="51"/>
      <c r="AU33" s="51"/>
      <c r="AV33" s="51"/>
      <c r="AW33" s="51"/>
      <c r="AX33" s="51"/>
      <c r="AY33" s="51"/>
      <c r="AZ33" s="51"/>
      <c r="BA33" s="51"/>
      <c r="BB33" s="51"/>
      <c r="BC33" s="51"/>
      <c r="BD33" s="51"/>
      <c r="BE33" s="51"/>
      <c r="BF33" s="51"/>
      <c r="BG33" s="51"/>
      <c r="BH33" s="51"/>
      <c r="BI33" s="51"/>
      <c r="BJ33" s="51"/>
      <c r="BK33" s="51"/>
      <c r="BL33" s="51"/>
      <c r="BM33" s="51"/>
      <c r="BN33" s="51"/>
      <c r="BO33" s="51"/>
      <c r="BP33" s="51"/>
      <c r="BQ33" s="51"/>
      <c r="BR33" s="51"/>
      <c r="BS33" s="51"/>
      <c r="BT33" s="51"/>
      <c r="BU33" s="51"/>
      <c r="BV33" s="51"/>
      <c r="BW33" s="51"/>
      <c r="BX33" s="51"/>
      <c r="BY33" s="51"/>
      <c r="BZ33" s="51"/>
      <c r="CA33" s="51"/>
      <c r="CB33" s="51"/>
      <c r="CC33" s="51"/>
      <c r="CD33" s="51"/>
      <c r="CE33" s="51"/>
      <c r="CF33" s="51"/>
      <c r="CG33" s="51"/>
      <c r="CH33" s="51"/>
      <c r="CI33" s="51"/>
      <c r="CJ33" s="51"/>
      <c r="CK33" s="51"/>
      <c r="CL33" s="51"/>
      <c r="CM33" s="51"/>
      <c r="CN33" s="51"/>
      <c r="CO33" s="51"/>
      <c r="CP33" s="51"/>
      <c r="CQ33" s="51"/>
      <c r="CR33" s="51"/>
      <c r="CS33" s="51"/>
      <c r="CT33" s="51"/>
      <c r="CU33" s="51"/>
      <c r="CV33" s="51"/>
      <c r="CW33" s="51"/>
      <c r="CX33" s="51"/>
      <c r="CY33" s="51"/>
      <c r="CZ33" s="51"/>
      <c r="DA33" s="51"/>
      <c r="DB33" s="51"/>
      <c r="DC33" s="51"/>
      <c r="DD33" s="51"/>
      <c r="DE33" s="51"/>
      <c r="DF33" s="51"/>
      <c r="DG33" s="51"/>
      <c r="DH33" s="51"/>
      <c r="DI33" s="51"/>
      <c r="DJ33" s="51"/>
      <c r="DK33" s="51"/>
      <c r="DL33" s="51"/>
      <c r="DM33" s="51"/>
      <c r="DN33" s="51"/>
      <c r="DO33" s="51"/>
      <c r="DP33" s="51"/>
      <c r="DQ33" s="51"/>
      <c r="DR33" s="51"/>
      <c r="DS33" s="51"/>
      <c r="DT33" s="51"/>
      <c r="DU33" s="51"/>
      <c r="DV33" s="51"/>
      <c r="DW33" s="51"/>
      <c r="DX33" s="51"/>
      <c r="DY33" s="51"/>
      <c r="DZ33" s="51"/>
      <c r="EA33" s="51"/>
      <c r="EB33" s="51"/>
      <c r="EC33" s="51"/>
      <c r="ED33" s="51"/>
      <c r="EE33" s="51"/>
      <c r="EF33" s="51"/>
      <c r="EG33" s="51"/>
      <c r="EH33" s="51"/>
      <c r="EI33" s="51"/>
      <c r="EJ33" s="51"/>
      <c r="EK33" s="51"/>
      <c r="EL33" s="51"/>
      <c r="EM33" s="51"/>
      <c r="EN33" s="51"/>
      <c r="EO33" s="51"/>
      <c r="EP33" s="51"/>
      <c r="EQ33" s="51"/>
      <c r="ER33" s="51"/>
      <c r="ES33" s="51"/>
      <c r="ET33" s="51"/>
      <c r="EU33" s="51"/>
      <c r="EV33" s="51"/>
      <c r="EW33" s="51"/>
      <c r="EX33" s="51"/>
      <c r="EY33" s="51"/>
      <c r="EZ33" s="51"/>
      <c r="FA33" s="51"/>
      <c r="FB33" s="51"/>
      <c r="FC33" s="51"/>
      <c r="FD33" s="51"/>
      <c r="FE33" s="51"/>
      <c r="FF33" s="51"/>
      <c r="FG33" s="51"/>
      <c r="FH33" s="51"/>
      <c r="FI33" s="51"/>
      <c r="FJ33" s="51"/>
      <c r="FK33" s="51"/>
      <c r="FL33" s="51"/>
      <c r="FM33" s="51"/>
      <c r="FN33" s="51"/>
      <c r="FO33" s="51"/>
      <c r="FP33" s="51"/>
      <c r="FQ33" s="51"/>
      <c r="FR33" s="51"/>
      <c r="FS33" s="51"/>
      <c r="FT33" s="51"/>
      <c r="FU33" s="51"/>
      <c r="FV33" s="51"/>
      <c r="FW33" s="51"/>
      <c r="FX33" s="51"/>
      <c r="FY33" s="51"/>
      <c r="FZ33" s="51"/>
      <c r="GA33" s="51"/>
      <c r="GB33" s="51"/>
      <c r="GC33" s="51"/>
      <c r="GD33" s="51"/>
      <c r="GE33" s="51"/>
      <c r="GF33" s="51"/>
      <c r="GG33" s="51"/>
      <c r="GH33" s="51"/>
      <c r="GI33" s="52"/>
    </row>
    <row r="34" spans="1:191" x14ac:dyDescent="0.15">
      <c r="A34" s="35">
        <f>A33</f>
        <v>11</v>
      </c>
      <c r="B34" s="36" t="str">
        <f>B33</f>
        <v>FD</v>
      </c>
      <c r="C34" s="36" t="str">
        <f>C33</f>
        <v>Webアプリ機能評価仕様書作成</v>
      </c>
      <c r="D34" s="37" t="str">
        <f>D33</f>
        <v>高澤</v>
      </c>
      <c r="E34" s="53" t="s">
        <v>0</v>
      </c>
      <c r="F34" s="54"/>
      <c r="G34" s="54"/>
      <c r="H34" s="55">
        <f t="shared" si="7"/>
        <v>0</v>
      </c>
      <c r="I34" s="56">
        <f>IF(OR(H33="",H34=""),"",H34-H33)</f>
        <v>0</v>
      </c>
      <c r="J34" s="57"/>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c r="AK34" s="58"/>
      <c r="AL34" s="58"/>
      <c r="AM34" s="58"/>
      <c r="AN34" s="58"/>
      <c r="AO34" s="58"/>
      <c r="AP34" s="59"/>
      <c r="AQ34" s="59"/>
      <c r="AR34" s="59"/>
      <c r="AS34" s="59"/>
      <c r="AT34" s="59"/>
      <c r="AU34" s="59"/>
      <c r="AV34" s="59"/>
      <c r="AW34" s="59"/>
      <c r="AX34" s="59"/>
      <c r="AY34" s="59"/>
      <c r="AZ34" s="59"/>
      <c r="BA34" s="59"/>
      <c r="BB34" s="59"/>
      <c r="BC34" s="59"/>
      <c r="BD34" s="59"/>
      <c r="BE34" s="59"/>
      <c r="BF34" s="59"/>
      <c r="BG34" s="59"/>
      <c r="BH34" s="59"/>
      <c r="BI34" s="59"/>
      <c r="BJ34" s="59"/>
      <c r="BK34" s="59"/>
      <c r="BL34" s="59"/>
      <c r="BM34" s="59"/>
      <c r="BN34" s="59"/>
      <c r="BO34" s="59"/>
      <c r="BP34" s="59"/>
      <c r="BQ34" s="59"/>
      <c r="BR34" s="59"/>
      <c r="BS34" s="59"/>
      <c r="BT34" s="59"/>
      <c r="BU34" s="59"/>
      <c r="BV34" s="59"/>
      <c r="BW34" s="59"/>
      <c r="BX34" s="59"/>
      <c r="BY34" s="59"/>
      <c r="BZ34" s="59"/>
      <c r="CA34" s="59"/>
      <c r="CB34" s="59"/>
      <c r="CC34" s="59"/>
      <c r="CD34" s="59"/>
      <c r="CE34" s="59"/>
      <c r="CF34" s="59"/>
      <c r="CG34" s="59"/>
      <c r="CH34" s="59"/>
      <c r="CI34" s="59"/>
      <c r="CJ34" s="59"/>
      <c r="CK34" s="59"/>
      <c r="CL34" s="59"/>
      <c r="CM34" s="59"/>
      <c r="CN34" s="59"/>
      <c r="CO34" s="59"/>
      <c r="CP34" s="59"/>
      <c r="CQ34" s="59"/>
      <c r="CR34" s="59"/>
      <c r="CS34" s="59"/>
      <c r="CT34" s="59"/>
      <c r="CU34" s="59"/>
      <c r="CV34" s="59"/>
      <c r="CW34" s="59"/>
      <c r="CX34" s="59"/>
      <c r="CY34" s="59"/>
      <c r="CZ34" s="59"/>
      <c r="DA34" s="59"/>
      <c r="DB34" s="59"/>
      <c r="DC34" s="59"/>
      <c r="DD34" s="59"/>
      <c r="DE34" s="59"/>
      <c r="DF34" s="59"/>
      <c r="DG34" s="59"/>
      <c r="DH34" s="59"/>
      <c r="DI34" s="59"/>
      <c r="DJ34" s="59"/>
      <c r="DK34" s="59"/>
      <c r="DL34" s="59"/>
      <c r="DM34" s="59"/>
      <c r="DN34" s="59"/>
      <c r="DO34" s="59"/>
      <c r="DP34" s="59"/>
      <c r="DQ34" s="59"/>
      <c r="DR34" s="59"/>
      <c r="DS34" s="59"/>
      <c r="DT34" s="59"/>
      <c r="DU34" s="59"/>
      <c r="DV34" s="59"/>
      <c r="DW34" s="59"/>
      <c r="DX34" s="59"/>
      <c r="DY34" s="59"/>
      <c r="DZ34" s="59"/>
      <c r="EA34" s="59"/>
      <c r="EB34" s="59"/>
      <c r="EC34" s="59"/>
      <c r="ED34" s="59"/>
      <c r="EE34" s="59"/>
      <c r="EF34" s="59"/>
      <c r="EG34" s="59"/>
      <c r="EH34" s="59"/>
      <c r="EI34" s="59"/>
      <c r="EJ34" s="59"/>
      <c r="EK34" s="59"/>
      <c r="EL34" s="59"/>
      <c r="EM34" s="59"/>
      <c r="EN34" s="59"/>
      <c r="EO34" s="59"/>
      <c r="EP34" s="59"/>
      <c r="EQ34" s="59"/>
      <c r="ER34" s="59"/>
      <c r="ES34" s="59"/>
      <c r="ET34" s="59"/>
      <c r="EU34" s="59"/>
      <c r="EV34" s="59"/>
      <c r="EW34" s="59"/>
      <c r="EX34" s="59"/>
      <c r="EY34" s="59"/>
      <c r="EZ34" s="59"/>
      <c r="FA34" s="59"/>
      <c r="FB34" s="59"/>
      <c r="FC34" s="59"/>
      <c r="FD34" s="59"/>
      <c r="FE34" s="59"/>
      <c r="FF34" s="59"/>
      <c r="FG34" s="59"/>
      <c r="FH34" s="59"/>
      <c r="FI34" s="59"/>
      <c r="FJ34" s="59"/>
      <c r="FK34" s="59"/>
      <c r="FL34" s="59"/>
      <c r="FM34" s="59"/>
      <c r="FN34" s="59"/>
      <c r="FO34" s="59"/>
      <c r="FP34" s="59"/>
      <c r="FQ34" s="59"/>
      <c r="FR34" s="59"/>
      <c r="FS34" s="59"/>
      <c r="FT34" s="59"/>
      <c r="FU34" s="59"/>
      <c r="FV34" s="59"/>
      <c r="FW34" s="59"/>
      <c r="FX34" s="59"/>
      <c r="FY34" s="59"/>
      <c r="FZ34" s="59"/>
      <c r="GA34" s="59"/>
      <c r="GB34" s="59"/>
      <c r="GC34" s="59"/>
      <c r="GD34" s="59"/>
      <c r="GE34" s="59"/>
      <c r="GF34" s="59"/>
      <c r="GG34" s="59"/>
      <c r="GH34" s="59"/>
      <c r="GI34" s="60"/>
    </row>
    <row r="35" spans="1:191" x14ac:dyDescent="0.15">
      <c r="A35" s="23">
        <v>12</v>
      </c>
      <c r="B35" s="24" t="s">
        <v>120</v>
      </c>
      <c r="C35" s="45" t="s">
        <v>128</v>
      </c>
      <c r="D35" s="26" t="s">
        <v>170</v>
      </c>
      <c r="E35" s="27" t="s">
        <v>13</v>
      </c>
      <c r="F35" s="28">
        <v>42861</v>
      </c>
      <c r="G35" s="28">
        <v>42862</v>
      </c>
      <c r="H35" s="29">
        <f t="shared" si="7"/>
        <v>0</v>
      </c>
      <c r="I35" s="30"/>
      <c r="J35" s="31"/>
      <c r="K35" s="32"/>
      <c r="L35" s="32"/>
      <c r="M35" s="32"/>
      <c r="N35" s="32"/>
      <c r="O35" s="32"/>
      <c r="P35" s="32"/>
      <c r="Q35" s="32"/>
      <c r="R35" s="32"/>
      <c r="S35" s="32"/>
      <c r="T35" s="32"/>
      <c r="U35" s="32"/>
      <c r="V35" s="32"/>
      <c r="W35" s="32"/>
      <c r="X35" s="32"/>
      <c r="Y35" s="32"/>
      <c r="Z35" s="32"/>
      <c r="AA35" s="32"/>
      <c r="AB35" s="32"/>
      <c r="AC35" s="32"/>
      <c r="AD35" s="32"/>
      <c r="AE35" s="32"/>
      <c r="AF35" s="32"/>
      <c r="AG35" s="32"/>
      <c r="AH35" s="32"/>
      <c r="AI35" s="32"/>
      <c r="AJ35" s="32"/>
      <c r="AK35" s="32"/>
      <c r="AL35" s="32"/>
      <c r="AM35" s="32"/>
      <c r="AN35" s="32"/>
      <c r="AO35" s="32"/>
      <c r="AP35" s="33"/>
      <c r="AQ35" s="33"/>
      <c r="AR35" s="33"/>
      <c r="AS35" s="33"/>
      <c r="AT35" s="33"/>
      <c r="AU35" s="33"/>
      <c r="AV35" s="33"/>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33"/>
      <c r="CG35" s="33"/>
      <c r="CH35" s="33"/>
      <c r="CI35" s="33"/>
      <c r="CJ35" s="33"/>
      <c r="CK35" s="33"/>
      <c r="CL35" s="33"/>
      <c r="CM35" s="33"/>
      <c r="CN35" s="33"/>
      <c r="CO35" s="33"/>
      <c r="CP35" s="33"/>
      <c r="CQ35" s="33"/>
      <c r="CR35" s="33"/>
      <c r="CS35" s="33"/>
      <c r="CT35" s="33"/>
      <c r="CU35" s="33"/>
      <c r="CV35" s="33"/>
      <c r="CW35" s="33"/>
      <c r="CX35" s="33"/>
      <c r="CY35" s="33"/>
      <c r="CZ35" s="33"/>
      <c r="DA35" s="33"/>
      <c r="DB35" s="33"/>
      <c r="DC35" s="33"/>
      <c r="DD35" s="33"/>
      <c r="DE35" s="33"/>
      <c r="DF35" s="33"/>
      <c r="DG35" s="33"/>
      <c r="DH35" s="33"/>
      <c r="DI35" s="33"/>
      <c r="DJ35" s="33"/>
      <c r="DK35" s="33"/>
      <c r="DL35" s="33"/>
      <c r="DM35" s="33"/>
      <c r="DN35" s="33"/>
      <c r="DO35" s="33"/>
      <c r="DP35" s="33"/>
      <c r="DQ35" s="33"/>
      <c r="DR35" s="33"/>
      <c r="DS35" s="33"/>
      <c r="DT35" s="33"/>
      <c r="DU35" s="33"/>
      <c r="DV35" s="33"/>
      <c r="DW35" s="33"/>
      <c r="DX35" s="33"/>
      <c r="DY35" s="33"/>
      <c r="DZ35" s="33"/>
      <c r="EA35" s="33"/>
      <c r="EB35" s="33"/>
      <c r="EC35" s="33"/>
      <c r="ED35" s="33"/>
      <c r="EE35" s="33"/>
      <c r="EF35" s="33"/>
      <c r="EG35" s="33"/>
      <c r="EH35" s="33"/>
      <c r="EI35" s="33"/>
      <c r="EJ35" s="33"/>
      <c r="EK35" s="33"/>
      <c r="EL35" s="33"/>
      <c r="EM35" s="33"/>
      <c r="EN35" s="33"/>
      <c r="EO35" s="33"/>
      <c r="EP35" s="33"/>
      <c r="EQ35" s="33"/>
      <c r="ER35" s="33"/>
      <c r="ES35" s="33"/>
      <c r="ET35" s="33"/>
      <c r="EU35" s="33"/>
      <c r="EV35" s="33"/>
      <c r="EW35" s="33"/>
      <c r="EX35" s="33"/>
      <c r="EY35" s="33"/>
      <c r="EZ35" s="33"/>
      <c r="FA35" s="33"/>
      <c r="FB35" s="33"/>
      <c r="FC35" s="33"/>
      <c r="FD35" s="33"/>
      <c r="FE35" s="33"/>
      <c r="FF35" s="33"/>
      <c r="FG35" s="33"/>
      <c r="FH35" s="33"/>
      <c r="FI35" s="33"/>
      <c r="FJ35" s="33"/>
      <c r="FK35" s="33"/>
      <c r="FL35" s="33"/>
      <c r="FM35" s="33"/>
      <c r="FN35" s="33"/>
      <c r="FO35" s="33"/>
      <c r="FP35" s="33"/>
      <c r="FQ35" s="33"/>
      <c r="FR35" s="33"/>
      <c r="FS35" s="33"/>
      <c r="FT35" s="33"/>
      <c r="FU35" s="33"/>
      <c r="FV35" s="33"/>
      <c r="FW35" s="33"/>
      <c r="FX35" s="33"/>
      <c r="FY35" s="33"/>
      <c r="FZ35" s="33"/>
      <c r="GA35" s="33"/>
      <c r="GB35" s="33"/>
      <c r="GC35" s="33"/>
      <c r="GD35" s="33"/>
      <c r="GE35" s="33"/>
      <c r="GF35" s="33"/>
      <c r="GG35" s="33"/>
      <c r="GH35" s="33"/>
      <c r="GI35" s="34"/>
    </row>
    <row r="36" spans="1:191" x14ac:dyDescent="0.15">
      <c r="A36" s="35">
        <f>A35</f>
        <v>12</v>
      </c>
      <c r="B36" s="36" t="str">
        <f>B35</f>
        <v>FD</v>
      </c>
      <c r="C36" s="36" t="str">
        <f>C35</f>
        <v>Webアプリ機能評価仕様書レビュー</v>
      </c>
      <c r="D36" s="37" t="str">
        <f>D35</f>
        <v>伊藤</v>
      </c>
      <c r="E36" s="38" t="s">
        <v>0</v>
      </c>
      <c r="F36" s="39"/>
      <c r="G36" s="39"/>
      <c r="H36" s="55">
        <f t="shared" si="7"/>
        <v>0</v>
      </c>
      <c r="I36" s="40">
        <f>IF(OR(H35="",H36=""),"",H36-H35)</f>
        <v>0</v>
      </c>
      <c r="J36" s="41"/>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42"/>
      <c r="AK36" s="42"/>
      <c r="AL36" s="42"/>
      <c r="AM36" s="42"/>
      <c r="AN36" s="42"/>
      <c r="AO36" s="42"/>
      <c r="AP36" s="43"/>
      <c r="AQ36" s="43"/>
      <c r="AR36" s="43"/>
      <c r="AS36" s="43"/>
      <c r="AT36" s="43"/>
      <c r="AU36" s="43"/>
      <c r="AV36" s="43"/>
      <c r="AW36" s="43"/>
      <c r="AX36" s="43"/>
      <c r="AY36" s="43"/>
      <c r="AZ36" s="43"/>
      <c r="BA36" s="43"/>
      <c r="BB36" s="43"/>
      <c r="BC36" s="43"/>
      <c r="BD36" s="43"/>
      <c r="BE36" s="43"/>
      <c r="BF36" s="43"/>
      <c r="BG36" s="43"/>
      <c r="BH36" s="43"/>
      <c r="BI36" s="43"/>
      <c r="BJ36" s="43"/>
      <c r="BK36" s="43"/>
      <c r="BL36" s="43"/>
      <c r="BM36" s="43"/>
      <c r="BN36" s="43"/>
      <c r="BO36" s="43"/>
      <c r="BP36" s="43"/>
      <c r="BQ36" s="43"/>
      <c r="BR36" s="43"/>
      <c r="BS36" s="43"/>
      <c r="BT36" s="43"/>
      <c r="BU36" s="43"/>
      <c r="BV36" s="43"/>
      <c r="BW36" s="43"/>
      <c r="BX36" s="43"/>
      <c r="BY36" s="43"/>
      <c r="BZ36" s="43"/>
      <c r="CA36" s="43"/>
      <c r="CB36" s="43"/>
      <c r="CC36" s="43"/>
      <c r="CD36" s="43"/>
      <c r="CE36" s="43"/>
      <c r="CF36" s="43"/>
      <c r="CG36" s="43"/>
      <c r="CH36" s="43"/>
      <c r="CI36" s="43"/>
      <c r="CJ36" s="43"/>
      <c r="CK36" s="43"/>
      <c r="CL36" s="43"/>
      <c r="CM36" s="43"/>
      <c r="CN36" s="43"/>
      <c r="CO36" s="43"/>
      <c r="CP36" s="43"/>
      <c r="CQ36" s="43"/>
      <c r="CR36" s="43"/>
      <c r="CS36" s="43"/>
      <c r="CT36" s="43"/>
      <c r="CU36" s="43"/>
      <c r="CV36" s="43"/>
      <c r="CW36" s="43"/>
      <c r="CX36" s="43"/>
      <c r="CY36" s="43"/>
      <c r="CZ36" s="43"/>
      <c r="DA36" s="43"/>
      <c r="DB36" s="43"/>
      <c r="DC36" s="43"/>
      <c r="DD36" s="43"/>
      <c r="DE36" s="43"/>
      <c r="DF36" s="43"/>
      <c r="DG36" s="43"/>
      <c r="DH36" s="43"/>
      <c r="DI36" s="43"/>
      <c r="DJ36" s="43"/>
      <c r="DK36" s="43"/>
      <c r="DL36" s="43"/>
      <c r="DM36" s="43"/>
      <c r="DN36" s="43"/>
      <c r="DO36" s="43"/>
      <c r="DP36" s="43"/>
      <c r="DQ36" s="43"/>
      <c r="DR36" s="43"/>
      <c r="DS36" s="43"/>
      <c r="DT36" s="43"/>
      <c r="DU36" s="43"/>
      <c r="DV36" s="43"/>
      <c r="DW36" s="43"/>
      <c r="DX36" s="43"/>
      <c r="DY36" s="43"/>
      <c r="DZ36" s="43"/>
      <c r="EA36" s="43"/>
      <c r="EB36" s="43"/>
      <c r="EC36" s="43"/>
      <c r="ED36" s="43"/>
      <c r="EE36" s="43"/>
      <c r="EF36" s="43"/>
      <c r="EG36" s="43"/>
      <c r="EH36" s="43"/>
      <c r="EI36" s="43"/>
      <c r="EJ36" s="43"/>
      <c r="EK36" s="43"/>
      <c r="EL36" s="43"/>
      <c r="EM36" s="43"/>
      <c r="EN36" s="43"/>
      <c r="EO36" s="43"/>
      <c r="EP36" s="43"/>
      <c r="EQ36" s="43"/>
      <c r="ER36" s="43"/>
      <c r="ES36" s="43"/>
      <c r="ET36" s="43"/>
      <c r="EU36" s="43"/>
      <c r="EV36" s="43"/>
      <c r="EW36" s="43"/>
      <c r="EX36" s="43"/>
      <c r="EY36" s="43"/>
      <c r="EZ36" s="43"/>
      <c r="FA36" s="43"/>
      <c r="FB36" s="43"/>
      <c r="FC36" s="43"/>
      <c r="FD36" s="43"/>
      <c r="FE36" s="43"/>
      <c r="FF36" s="43"/>
      <c r="FG36" s="43"/>
      <c r="FH36" s="43"/>
      <c r="FI36" s="43"/>
      <c r="FJ36" s="43"/>
      <c r="FK36" s="43"/>
      <c r="FL36" s="43"/>
      <c r="FM36" s="43"/>
      <c r="FN36" s="43"/>
      <c r="FO36" s="43"/>
      <c r="FP36" s="43"/>
      <c r="FQ36" s="43"/>
      <c r="FR36" s="43"/>
      <c r="FS36" s="43"/>
      <c r="FT36" s="43"/>
      <c r="FU36" s="43"/>
      <c r="FV36" s="43"/>
      <c r="FW36" s="43"/>
      <c r="FX36" s="43"/>
      <c r="FY36" s="43"/>
      <c r="FZ36" s="43"/>
      <c r="GA36" s="43"/>
      <c r="GB36" s="43"/>
      <c r="GC36" s="43"/>
      <c r="GD36" s="43"/>
      <c r="GE36" s="43"/>
      <c r="GF36" s="43"/>
      <c r="GG36" s="43"/>
      <c r="GH36" s="43"/>
      <c r="GI36" s="44"/>
    </row>
    <row r="37" spans="1:191" x14ac:dyDescent="0.15">
      <c r="A37" s="23">
        <v>13</v>
      </c>
      <c r="B37" s="24" t="s">
        <v>120</v>
      </c>
      <c r="C37" s="45" t="s">
        <v>129</v>
      </c>
      <c r="D37" s="26" t="s">
        <v>171</v>
      </c>
      <c r="E37" s="46" t="s">
        <v>13</v>
      </c>
      <c r="F37" s="47">
        <v>42863</v>
      </c>
      <c r="G37" s="47">
        <v>42869</v>
      </c>
      <c r="H37" s="29">
        <f t="shared" si="7"/>
        <v>0</v>
      </c>
      <c r="I37" s="48"/>
      <c r="J37" s="49"/>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1"/>
      <c r="AQ37" s="51"/>
      <c r="AR37" s="51"/>
      <c r="AS37" s="51"/>
      <c r="AT37" s="51"/>
      <c r="AU37" s="51"/>
      <c r="AV37" s="51"/>
      <c r="AW37" s="51"/>
      <c r="AX37" s="51"/>
      <c r="AY37" s="51"/>
      <c r="AZ37" s="51"/>
      <c r="BA37" s="51"/>
      <c r="BB37" s="51"/>
      <c r="BC37" s="51"/>
      <c r="BD37" s="51"/>
      <c r="BE37" s="51"/>
      <c r="BF37" s="51"/>
      <c r="BG37" s="51"/>
      <c r="BH37" s="51"/>
      <c r="BI37" s="51"/>
      <c r="BJ37" s="51"/>
      <c r="BK37" s="51"/>
      <c r="BL37" s="51"/>
      <c r="BM37" s="51"/>
      <c r="BN37" s="51"/>
      <c r="BO37" s="51"/>
      <c r="BP37" s="51"/>
      <c r="BQ37" s="51"/>
      <c r="BR37" s="51"/>
      <c r="BS37" s="51"/>
      <c r="BT37" s="51"/>
      <c r="BU37" s="51"/>
      <c r="BV37" s="51"/>
      <c r="BW37" s="51"/>
      <c r="BX37" s="51"/>
      <c r="BY37" s="51"/>
      <c r="BZ37" s="51"/>
      <c r="CA37" s="51"/>
      <c r="CB37" s="51"/>
      <c r="CC37" s="51"/>
      <c r="CD37" s="51"/>
      <c r="CE37" s="51"/>
      <c r="CF37" s="51"/>
      <c r="CG37" s="51"/>
      <c r="CH37" s="51"/>
      <c r="CI37" s="51"/>
      <c r="CJ37" s="51"/>
      <c r="CK37" s="51"/>
      <c r="CL37" s="51"/>
      <c r="CM37" s="51"/>
      <c r="CN37" s="51"/>
      <c r="CO37" s="51"/>
      <c r="CP37" s="51"/>
      <c r="CQ37" s="51"/>
      <c r="CR37" s="51"/>
      <c r="CS37" s="51"/>
      <c r="CT37" s="51"/>
      <c r="CU37" s="51"/>
      <c r="CV37" s="51"/>
      <c r="CW37" s="51"/>
      <c r="CX37" s="51"/>
      <c r="CY37" s="51"/>
      <c r="CZ37" s="51"/>
      <c r="DA37" s="51"/>
      <c r="DB37" s="51"/>
      <c r="DC37" s="51"/>
      <c r="DD37" s="51"/>
      <c r="DE37" s="51"/>
      <c r="DF37" s="51"/>
      <c r="DG37" s="51"/>
      <c r="DH37" s="51"/>
      <c r="DI37" s="51"/>
      <c r="DJ37" s="51"/>
      <c r="DK37" s="51"/>
      <c r="DL37" s="51"/>
      <c r="DM37" s="51"/>
      <c r="DN37" s="51"/>
      <c r="DO37" s="51"/>
      <c r="DP37" s="51"/>
      <c r="DQ37" s="51"/>
      <c r="DR37" s="51"/>
      <c r="DS37" s="51"/>
      <c r="DT37" s="51"/>
      <c r="DU37" s="51"/>
      <c r="DV37" s="51"/>
      <c r="DW37" s="51"/>
      <c r="DX37" s="51"/>
      <c r="DY37" s="51"/>
      <c r="DZ37" s="51"/>
      <c r="EA37" s="51"/>
      <c r="EB37" s="51"/>
      <c r="EC37" s="51"/>
      <c r="ED37" s="51"/>
      <c r="EE37" s="51"/>
      <c r="EF37" s="51"/>
      <c r="EG37" s="51"/>
      <c r="EH37" s="51"/>
      <c r="EI37" s="51"/>
      <c r="EJ37" s="51"/>
      <c r="EK37" s="51"/>
      <c r="EL37" s="51"/>
      <c r="EM37" s="51"/>
      <c r="EN37" s="51"/>
      <c r="EO37" s="51"/>
      <c r="EP37" s="51"/>
      <c r="EQ37" s="51"/>
      <c r="ER37" s="51"/>
      <c r="ES37" s="51"/>
      <c r="ET37" s="51"/>
      <c r="EU37" s="51"/>
      <c r="EV37" s="51"/>
      <c r="EW37" s="51"/>
      <c r="EX37" s="51"/>
      <c r="EY37" s="51"/>
      <c r="EZ37" s="51"/>
      <c r="FA37" s="51"/>
      <c r="FB37" s="51"/>
      <c r="FC37" s="51"/>
      <c r="FD37" s="51"/>
      <c r="FE37" s="51"/>
      <c r="FF37" s="51"/>
      <c r="FG37" s="51"/>
      <c r="FH37" s="51"/>
      <c r="FI37" s="51"/>
      <c r="FJ37" s="51"/>
      <c r="FK37" s="51"/>
      <c r="FL37" s="51"/>
      <c r="FM37" s="51"/>
      <c r="FN37" s="51"/>
      <c r="FO37" s="51"/>
      <c r="FP37" s="51"/>
      <c r="FQ37" s="51"/>
      <c r="FR37" s="51"/>
      <c r="FS37" s="51"/>
      <c r="FT37" s="51"/>
      <c r="FU37" s="51"/>
      <c r="FV37" s="51"/>
      <c r="FW37" s="51"/>
      <c r="FX37" s="51"/>
      <c r="FY37" s="51"/>
      <c r="FZ37" s="51"/>
      <c r="GA37" s="51"/>
      <c r="GB37" s="51"/>
      <c r="GC37" s="51"/>
      <c r="GD37" s="51"/>
      <c r="GE37" s="51"/>
      <c r="GF37" s="51"/>
      <c r="GG37" s="51"/>
      <c r="GH37" s="51"/>
      <c r="GI37" s="52"/>
    </row>
    <row r="38" spans="1:191" x14ac:dyDescent="0.15">
      <c r="A38" s="35">
        <f>A37</f>
        <v>13</v>
      </c>
      <c r="B38" s="36" t="str">
        <f>B37</f>
        <v>FD</v>
      </c>
      <c r="C38" s="36" t="str">
        <f>C37</f>
        <v>Webアプリ機能評価仕様書レビュー指摘対応</v>
      </c>
      <c r="D38" s="37" t="str">
        <f>D37</f>
        <v>高澤</v>
      </c>
      <c r="E38" s="53" t="s">
        <v>0</v>
      </c>
      <c r="F38" s="54"/>
      <c r="G38" s="54"/>
      <c r="H38" s="55">
        <f t="shared" si="7"/>
        <v>0</v>
      </c>
      <c r="I38" s="56">
        <f>IF(OR(H37="",H38=""),"",H38-H37)</f>
        <v>0</v>
      </c>
      <c r="J38" s="57"/>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c r="AK38" s="58"/>
      <c r="AL38" s="58"/>
      <c r="AM38" s="58"/>
      <c r="AN38" s="58"/>
      <c r="AO38" s="58"/>
      <c r="AP38" s="59"/>
      <c r="AQ38" s="59"/>
      <c r="AR38" s="59"/>
      <c r="AS38" s="59"/>
      <c r="AT38" s="59"/>
      <c r="AU38" s="59"/>
      <c r="AV38" s="59"/>
      <c r="AW38" s="59"/>
      <c r="AX38" s="59"/>
      <c r="AY38" s="59"/>
      <c r="AZ38" s="59"/>
      <c r="BA38" s="59"/>
      <c r="BB38" s="59"/>
      <c r="BC38" s="59"/>
      <c r="BD38" s="59"/>
      <c r="BE38" s="59"/>
      <c r="BF38" s="59"/>
      <c r="BG38" s="59"/>
      <c r="BH38" s="59"/>
      <c r="BI38" s="59"/>
      <c r="BJ38" s="59"/>
      <c r="BK38" s="59"/>
      <c r="BL38" s="59"/>
      <c r="BM38" s="59"/>
      <c r="BN38" s="59"/>
      <c r="BO38" s="59"/>
      <c r="BP38" s="59"/>
      <c r="BQ38" s="59"/>
      <c r="BR38" s="59"/>
      <c r="BS38" s="59"/>
      <c r="BT38" s="59"/>
      <c r="BU38" s="59"/>
      <c r="BV38" s="59"/>
      <c r="BW38" s="59"/>
      <c r="BX38" s="59"/>
      <c r="BY38" s="59"/>
      <c r="BZ38" s="59"/>
      <c r="CA38" s="59"/>
      <c r="CB38" s="59"/>
      <c r="CC38" s="59"/>
      <c r="CD38" s="59"/>
      <c r="CE38" s="59"/>
      <c r="CF38" s="59"/>
      <c r="CG38" s="59"/>
      <c r="CH38" s="59"/>
      <c r="CI38" s="59"/>
      <c r="CJ38" s="59"/>
      <c r="CK38" s="59"/>
      <c r="CL38" s="59"/>
      <c r="CM38" s="59"/>
      <c r="CN38" s="59"/>
      <c r="CO38" s="59"/>
      <c r="CP38" s="59"/>
      <c r="CQ38" s="59"/>
      <c r="CR38" s="59"/>
      <c r="CS38" s="59"/>
      <c r="CT38" s="59"/>
      <c r="CU38" s="59"/>
      <c r="CV38" s="59"/>
      <c r="CW38" s="59"/>
      <c r="CX38" s="59"/>
      <c r="CY38" s="59"/>
      <c r="CZ38" s="59"/>
      <c r="DA38" s="59"/>
      <c r="DB38" s="59"/>
      <c r="DC38" s="59"/>
      <c r="DD38" s="59"/>
      <c r="DE38" s="59"/>
      <c r="DF38" s="59"/>
      <c r="DG38" s="59"/>
      <c r="DH38" s="59"/>
      <c r="DI38" s="59"/>
      <c r="DJ38" s="59"/>
      <c r="DK38" s="59"/>
      <c r="DL38" s="59"/>
      <c r="DM38" s="59"/>
      <c r="DN38" s="59"/>
      <c r="DO38" s="59"/>
      <c r="DP38" s="59"/>
      <c r="DQ38" s="59"/>
      <c r="DR38" s="59"/>
      <c r="DS38" s="59"/>
      <c r="DT38" s="59"/>
      <c r="DU38" s="59"/>
      <c r="DV38" s="59"/>
      <c r="DW38" s="59"/>
      <c r="DX38" s="59"/>
      <c r="DY38" s="59"/>
      <c r="DZ38" s="59"/>
      <c r="EA38" s="59"/>
      <c r="EB38" s="59"/>
      <c r="EC38" s="59"/>
      <c r="ED38" s="59"/>
      <c r="EE38" s="59"/>
      <c r="EF38" s="59"/>
      <c r="EG38" s="59"/>
      <c r="EH38" s="59"/>
      <c r="EI38" s="59"/>
      <c r="EJ38" s="59"/>
      <c r="EK38" s="59"/>
      <c r="EL38" s="59"/>
      <c r="EM38" s="59"/>
      <c r="EN38" s="59"/>
      <c r="EO38" s="59"/>
      <c r="EP38" s="59"/>
      <c r="EQ38" s="59"/>
      <c r="ER38" s="59"/>
      <c r="ES38" s="59"/>
      <c r="ET38" s="59"/>
      <c r="EU38" s="59"/>
      <c r="EV38" s="59"/>
      <c r="EW38" s="59"/>
      <c r="EX38" s="59"/>
      <c r="EY38" s="59"/>
      <c r="EZ38" s="59"/>
      <c r="FA38" s="59"/>
      <c r="FB38" s="59"/>
      <c r="FC38" s="59"/>
      <c r="FD38" s="59"/>
      <c r="FE38" s="59"/>
      <c r="FF38" s="59"/>
      <c r="FG38" s="59"/>
      <c r="FH38" s="59"/>
      <c r="FI38" s="59"/>
      <c r="FJ38" s="59"/>
      <c r="FK38" s="59"/>
      <c r="FL38" s="59"/>
      <c r="FM38" s="59"/>
      <c r="FN38" s="59"/>
      <c r="FO38" s="59"/>
      <c r="FP38" s="59"/>
      <c r="FQ38" s="59"/>
      <c r="FR38" s="59"/>
      <c r="FS38" s="59"/>
      <c r="FT38" s="59"/>
      <c r="FU38" s="59"/>
      <c r="FV38" s="59"/>
      <c r="FW38" s="59"/>
      <c r="FX38" s="59"/>
      <c r="FY38" s="59"/>
      <c r="FZ38" s="59"/>
      <c r="GA38" s="59"/>
      <c r="GB38" s="59"/>
      <c r="GC38" s="59"/>
      <c r="GD38" s="59"/>
      <c r="GE38" s="59"/>
      <c r="GF38" s="59"/>
      <c r="GG38" s="59"/>
      <c r="GH38" s="59"/>
      <c r="GI38" s="60"/>
    </row>
    <row r="39" spans="1:191" x14ac:dyDescent="0.15">
      <c r="A39" s="23">
        <v>14</v>
      </c>
      <c r="B39" s="24" t="s">
        <v>120</v>
      </c>
      <c r="C39" s="45" t="s">
        <v>130</v>
      </c>
      <c r="D39" s="26" t="s">
        <v>172</v>
      </c>
      <c r="E39" s="46" t="s">
        <v>13</v>
      </c>
      <c r="F39" s="47">
        <v>42849</v>
      </c>
      <c r="G39" s="47">
        <v>42861</v>
      </c>
      <c r="H39" s="29">
        <f t="shared" si="7"/>
        <v>0</v>
      </c>
      <c r="I39" s="48"/>
      <c r="J39" s="49"/>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c r="AL39" s="50"/>
      <c r="AM39" s="50"/>
      <c r="AN39" s="50"/>
      <c r="AO39" s="50"/>
      <c r="AP39" s="51"/>
      <c r="AQ39" s="51"/>
      <c r="AR39" s="51"/>
      <c r="AS39" s="51"/>
      <c r="AT39" s="51"/>
      <c r="AU39" s="51"/>
      <c r="AV39" s="51"/>
      <c r="AW39" s="51"/>
      <c r="AX39" s="51"/>
      <c r="AY39" s="51"/>
      <c r="AZ39" s="51"/>
      <c r="BA39" s="51"/>
      <c r="BB39" s="51"/>
      <c r="BC39" s="51"/>
      <c r="BD39" s="51"/>
      <c r="BE39" s="51"/>
      <c r="BF39" s="51"/>
      <c r="BG39" s="51"/>
      <c r="BH39" s="51"/>
      <c r="BI39" s="51"/>
      <c r="BJ39" s="51"/>
      <c r="BK39" s="51"/>
      <c r="BL39" s="51"/>
      <c r="BM39" s="51"/>
      <c r="BN39" s="51"/>
      <c r="BO39" s="51"/>
      <c r="BP39" s="51"/>
      <c r="BQ39" s="51"/>
      <c r="BR39" s="51"/>
      <c r="BS39" s="51"/>
      <c r="BT39" s="51"/>
      <c r="BU39" s="51"/>
      <c r="BV39" s="51"/>
      <c r="BW39" s="51"/>
      <c r="BX39" s="51"/>
      <c r="BY39" s="51"/>
      <c r="BZ39" s="51"/>
      <c r="CA39" s="51"/>
      <c r="CB39" s="51"/>
      <c r="CC39" s="51"/>
      <c r="CD39" s="51"/>
      <c r="CE39" s="51"/>
      <c r="CF39" s="51"/>
      <c r="CG39" s="51"/>
      <c r="CH39" s="51"/>
      <c r="CI39" s="51"/>
      <c r="CJ39" s="51"/>
      <c r="CK39" s="51"/>
      <c r="CL39" s="51"/>
      <c r="CM39" s="51"/>
      <c r="CN39" s="51"/>
      <c r="CO39" s="51"/>
      <c r="CP39" s="51"/>
      <c r="CQ39" s="51"/>
      <c r="CR39" s="51"/>
      <c r="CS39" s="51"/>
      <c r="CT39" s="51"/>
      <c r="CU39" s="51"/>
      <c r="CV39" s="51"/>
      <c r="CW39" s="51"/>
      <c r="CX39" s="51"/>
      <c r="CY39" s="51"/>
      <c r="CZ39" s="51"/>
      <c r="DA39" s="51"/>
      <c r="DB39" s="51"/>
      <c r="DC39" s="51"/>
      <c r="DD39" s="51"/>
      <c r="DE39" s="51"/>
      <c r="DF39" s="51"/>
      <c r="DG39" s="51"/>
      <c r="DH39" s="51"/>
      <c r="DI39" s="51"/>
      <c r="DJ39" s="51"/>
      <c r="DK39" s="51"/>
      <c r="DL39" s="51"/>
      <c r="DM39" s="51"/>
      <c r="DN39" s="51"/>
      <c r="DO39" s="51"/>
      <c r="DP39" s="51"/>
      <c r="DQ39" s="51"/>
      <c r="DR39" s="51"/>
      <c r="DS39" s="51"/>
      <c r="DT39" s="51"/>
      <c r="DU39" s="51"/>
      <c r="DV39" s="51"/>
      <c r="DW39" s="51"/>
      <c r="DX39" s="51"/>
      <c r="DY39" s="51"/>
      <c r="DZ39" s="51"/>
      <c r="EA39" s="51"/>
      <c r="EB39" s="51"/>
      <c r="EC39" s="51"/>
      <c r="ED39" s="51"/>
      <c r="EE39" s="51"/>
      <c r="EF39" s="51"/>
      <c r="EG39" s="51"/>
      <c r="EH39" s="51"/>
      <c r="EI39" s="51"/>
      <c r="EJ39" s="51"/>
      <c r="EK39" s="51"/>
      <c r="EL39" s="51"/>
      <c r="EM39" s="51"/>
      <c r="EN39" s="51"/>
      <c r="EO39" s="51"/>
      <c r="EP39" s="51"/>
      <c r="EQ39" s="51"/>
      <c r="ER39" s="51"/>
      <c r="ES39" s="51"/>
      <c r="ET39" s="51"/>
      <c r="EU39" s="51"/>
      <c r="EV39" s="51"/>
      <c r="EW39" s="51"/>
      <c r="EX39" s="51"/>
      <c r="EY39" s="51"/>
      <c r="EZ39" s="51"/>
      <c r="FA39" s="51"/>
      <c r="FB39" s="51"/>
      <c r="FC39" s="51"/>
      <c r="FD39" s="51"/>
      <c r="FE39" s="51"/>
      <c r="FF39" s="51"/>
      <c r="FG39" s="51"/>
      <c r="FH39" s="51"/>
      <c r="FI39" s="51"/>
      <c r="FJ39" s="51"/>
      <c r="FK39" s="51"/>
      <c r="FL39" s="51"/>
      <c r="FM39" s="51"/>
      <c r="FN39" s="51"/>
      <c r="FO39" s="51"/>
      <c r="FP39" s="51"/>
      <c r="FQ39" s="51"/>
      <c r="FR39" s="51"/>
      <c r="FS39" s="51"/>
      <c r="FT39" s="51"/>
      <c r="FU39" s="51"/>
      <c r="FV39" s="51"/>
      <c r="FW39" s="51"/>
      <c r="FX39" s="51"/>
      <c r="FY39" s="51"/>
      <c r="FZ39" s="51"/>
      <c r="GA39" s="51"/>
      <c r="GB39" s="51"/>
      <c r="GC39" s="51"/>
      <c r="GD39" s="51"/>
      <c r="GE39" s="51"/>
      <c r="GF39" s="51"/>
      <c r="GG39" s="51"/>
      <c r="GH39" s="51"/>
      <c r="GI39" s="52"/>
    </row>
    <row r="40" spans="1:191" x14ac:dyDescent="0.15">
      <c r="A40" s="35">
        <f>A39</f>
        <v>14</v>
      </c>
      <c r="B40" s="36" t="str">
        <f>B39</f>
        <v>FD</v>
      </c>
      <c r="C40" s="36" t="str">
        <f>C39</f>
        <v>監視端末機能評価仕様書作成</v>
      </c>
      <c r="D40" s="37" t="str">
        <f>D39</f>
        <v>長田</v>
      </c>
      <c r="E40" s="53" t="s">
        <v>0</v>
      </c>
      <c r="F40" s="54"/>
      <c r="G40" s="54"/>
      <c r="H40" s="55">
        <f t="shared" si="7"/>
        <v>0</v>
      </c>
      <c r="I40" s="56">
        <f>IF(OR(H39="",H40=""),"",H40-H39)</f>
        <v>0</v>
      </c>
      <c r="J40" s="57"/>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9"/>
      <c r="AQ40" s="59"/>
      <c r="AR40" s="59"/>
      <c r="AS40" s="59"/>
      <c r="AT40" s="59"/>
      <c r="AU40" s="59"/>
      <c r="AV40" s="59"/>
      <c r="AW40" s="59"/>
      <c r="AX40" s="59"/>
      <c r="AY40" s="59"/>
      <c r="AZ40" s="59"/>
      <c r="BA40" s="59"/>
      <c r="BB40" s="59"/>
      <c r="BC40" s="59"/>
      <c r="BD40" s="59"/>
      <c r="BE40" s="59"/>
      <c r="BF40" s="59"/>
      <c r="BG40" s="59"/>
      <c r="BH40" s="59"/>
      <c r="BI40" s="59"/>
      <c r="BJ40" s="59"/>
      <c r="BK40" s="59"/>
      <c r="BL40" s="59"/>
      <c r="BM40" s="59"/>
      <c r="BN40" s="59"/>
      <c r="BO40" s="59"/>
      <c r="BP40" s="59"/>
      <c r="BQ40" s="59"/>
      <c r="BR40" s="59"/>
      <c r="BS40" s="59"/>
      <c r="BT40" s="59"/>
      <c r="BU40" s="59"/>
      <c r="BV40" s="59"/>
      <c r="BW40" s="59"/>
      <c r="BX40" s="59"/>
      <c r="BY40" s="59"/>
      <c r="BZ40" s="59"/>
      <c r="CA40" s="59"/>
      <c r="CB40" s="59"/>
      <c r="CC40" s="59"/>
      <c r="CD40" s="59"/>
      <c r="CE40" s="59"/>
      <c r="CF40" s="59"/>
      <c r="CG40" s="59"/>
      <c r="CH40" s="59"/>
      <c r="CI40" s="59"/>
      <c r="CJ40" s="59"/>
      <c r="CK40" s="59"/>
      <c r="CL40" s="59"/>
      <c r="CM40" s="59"/>
      <c r="CN40" s="59"/>
      <c r="CO40" s="59"/>
      <c r="CP40" s="59"/>
      <c r="CQ40" s="59"/>
      <c r="CR40" s="59"/>
      <c r="CS40" s="59"/>
      <c r="CT40" s="59"/>
      <c r="CU40" s="59"/>
      <c r="CV40" s="59"/>
      <c r="CW40" s="59"/>
      <c r="CX40" s="59"/>
      <c r="CY40" s="59"/>
      <c r="CZ40" s="59"/>
      <c r="DA40" s="59"/>
      <c r="DB40" s="59"/>
      <c r="DC40" s="59"/>
      <c r="DD40" s="59"/>
      <c r="DE40" s="59"/>
      <c r="DF40" s="59"/>
      <c r="DG40" s="59"/>
      <c r="DH40" s="59"/>
      <c r="DI40" s="59"/>
      <c r="DJ40" s="59"/>
      <c r="DK40" s="59"/>
      <c r="DL40" s="59"/>
      <c r="DM40" s="59"/>
      <c r="DN40" s="59"/>
      <c r="DO40" s="59"/>
      <c r="DP40" s="59"/>
      <c r="DQ40" s="59"/>
      <c r="DR40" s="59"/>
      <c r="DS40" s="59"/>
      <c r="DT40" s="59"/>
      <c r="DU40" s="59"/>
      <c r="DV40" s="59"/>
      <c r="DW40" s="59"/>
      <c r="DX40" s="59"/>
      <c r="DY40" s="59"/>
      <c r="DZ40" s="59"/>
      <c r="EA40" s="59"/>
      <c r="EB40" s="59"/>
      <c r="EC40" s="59"/>
      <c r="ED40" s="59"/>
      <c r="EE40" s="59"/>
      <c r="EF40" s="59"/>
      <c r="EG40" s="59"/>
      <c r="EH40" s="59"/>
      <c r="EI40" s="59"/>
      <c r="EJ40" s="59"/>
      <c r="EK40" s="59"/>
      <c r="EL40" s="59"/>
      <c r="EM40" s="59"/>
      <c r="EN40" s="59"/>
      <c r="EO40" s="59"/>
      <c r="EP40" s="59"/>
      <c r="EQ40" s="59"/>
      <c r="ER40" s="59"/>
      <c r="ES40" s="59"/>
      <c r="ET40" s="59"/>
      <c r="EU40" s="59"/>
      <c r="EV40" s="59"/>
      <c r="EW40" s="59"/>
      <c r="EX40" s="59"/>
      <c r="EY40" s="59"/>
      <c r="EZ40" s="59"/>
      <c r="FA40" s="59"/>
      <c r="FB40" s="59"/>
      <c r="FC40" s="59"/>
      <c r="FD40" s="59"/>
      <c r="FE40" s="59"/>
      <c r="FF40" s="59"/>
      <c r="FG40" s="59"/>
      <c r="FH40" s="59"/>
      <c r="FI40" s="59"/>
      <c r="FJ40" s="59"/>
      <c r="FK40" s="59"/>
      <c r="FL40" s="59"/>
      <c r="FM40" s="59"/>
      <c r="FN40" s="59"/>
      <c r="FO40" s="59"/>
      <c r="FP40" s="59"/>
      <c r="FQ40" s="59"/>
      <c r="FR40" s="59"/>
      <c r="FS40" s="59"/>
      <c r="FT40" s="59"/>
      <c r="FU40" s="59"/>
      <c r="FV40" s="59"/>
      <c r="FW40" s="59"/>
      <c r="FX40" s="59"/>
      <c r="FY40" s="59"/>
      <c r="FZ40" s="59"/>
      <c r="GA40" s="59"/>
      <c r="GB40" s="59"/>
      <c r="GC40" s="59"/>
      <c r="GD40" s="59"/>
      <c r="GE40" s="59"/>
      <c r="GF40" s="59"/>
      <c r="GG40" s="59"/>
      <c r="GH40" s="59"/>
      <c r="GI40" s="60"/>
    </row>
    <row r="41" spans="1:191" x14ac:dyDescent="0.15">
      <c r="A41" s="23">
        <v>15</v>
      </c>
      <c r="B41" s="24" t="s">
        <v>120</v>
      </c>
      <c r="C41" s="45" t="s">
        <v>132</v>
      </c>
      <c r="D41" s="26" t="s">
        <v>170</v>
      </c>
      <c r="E41" s="27" t="s">
        <v>13</v>
      </c>
      <c r="F41" s="28">
        <v>42861</v>
      </c>
      <c r="G41" s="28">
        <v>42862</v>
      </c>
      <c r="H41" s="29">
        <f t="shared" si="7"/>
        <v>0</v>
      </c>
      <c r="I41" s="30"/>
      <c r="J41" s="31"/>
      <c r="K41" s="32"/>
      <c r="L41" s="32"/>
      <c r="M41" s="32"/>
      <c r="N41" s="32"/>
      <c r="O41" s="32"/>
      <c r="P41" s="32"/>
      <c r="Q41" s="32"/>
      <c r="R41" s="32"/>
      <c r="S41" s="32"/>
      <c r="T41" s="32"/>
      <c r="U41" s="32"/>
      <c r="V41" s="32"/>
      <c r="W41" s="32"/>
      <c r="X41" s="32"/>
      <c r="Y41" s="32"/>
      <c r="Z41" s="32"/>
      <c r="AA41" s="32"/>
      <c r="AB41" s="32"/>
      <c r="AC41" s="32"/>
      <c r="AD41" s="32"/>
      <c r="AE41" s="32"/>
      <c r="AF41" s="32"/>
      <c r="AG41" s="32"/>
      <c r="AH41" s="32"/>
      <c r="AI41" s="32"/>
      <c r="AJ41" s="32"/>
      <c r="AK41" s="32"/>
      <c r="AL41" s="32"/>
      <c r="AM41" s="32"/>
      <c r="AN41" s="32"/>
      <c r="AO41" s="32"/>
      <c r="AP41" s="33"/>
      <c r="AQ41" s="33"/>
      <c r="AR41" s="33"/>
      <c r="AS41" s="33"/>
      <c r="AT41" s="33"/>
      <c r="AU41" s="33"/>
      <c r="AV41" s="33"/>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33"/>
      <c r="CG41" s="33"/>
      <c r="CH41" s="33"/>
      <c r="CI41" s="33"/>
      <c r="CJ41" s="33"/>
      <c r="CK41" s="33"/>
      <c r="CL41" s="33"/>
      <c r="CM41" s="33"/>
      <c r="CN41" s="33"/>
      <c r="CO41" s="33"/>
      <c r="CP41" s="33"/>
      <c r="CQ41" s="33"/>
      <c r="CR41" s="33"/>
      <c r="CS41" s="33"/>
      <c r="CT41" s="33"/>
      <c r="CU41" s="33"/>
      <c r="CV41" s="33"/>
      <c r="CW41" s="33"/>
      <c r="CX41" s="33"/>
      <c r="CY41" s="33"/>
      <c r="CZ41" s="33"/>
      <c r="DA41" s="33"/>
      <c r="DB41" s="33"/>
      <c r="DC41" s="33"/>
      <c r="DD41" s="33"/>
      <c r="DE41" s="33"/>
      <c r="DF41" s="33"/>
      <c r="DG41" s="33"/>
      <c r="DH41" s="33"/>
      <c r="DI41" s="33"/>
      <c r="DJ41" s="33"/>
      <c r="DK41" s="33"/>
      <c r="DL41" s="33"/>
      <c r="DM41" s="33"/>
      <c r="DN41" s="33"/>
      <c r="DO41" s="33"/>
      <c r="DP41" s="33"/>
      <c r="DQ41" s="33"/>
      <c r="DR41" s="33"/>
      <c r="DS41" s="33"/>
      <c r="DT41" s="33"/>
      <c r="DU41" s="33"/>
      <c r="DV41" s="33"/>
      <c r="DW41" s="33"/>
      <c r="DX41" s="33"/>
      <c r="DY41" s="33"/>
      <c r="DZ41" s="33"/>
      <c r="EA41" s="33"/>
      <c r="EB41" s="33"/>
      <c r="EC41" s="33"/>
      <c r="ED41" s="33"/>
      <c r="EE41" s="33"/>
      <c r="EF41" s="33"/>
      <c r="EG41" s="33"/>
      <c r="EH41" s="33"/>
      <c r="EI41" s="33"/>
      <c r="EJ41" s="33"/>
      <c r="EK41" s="33"/>
      <c r="EL41" s="33"/>
      <c r="EM41" s="33"/>
      <c r="EN41" s="33"/>
      <c r="EO41" s="33"/>
      <c r="EP41" s="33"/>
      <c r="EQ41" s="33"/>
      <c r="ER41" s="33"/>
      <c r="ES41" s="33"/>
      <c r="ET41" s="33"/>
      <c r="EU41" s="33"/>
      <c r="EV41" s="33"/>
      <c r="EW41" s="33"/>
      <c r="EX41" s="33"/>
      <c r="EY41" s="33"/>
      <c r="EZ41" s="33"/>
      <c r="FA41" s="33"/>
      <c r="FB41" s="33"/>
      <c r="FC41" s="33"/>
      <c r="FD41" s="33"/>
      <c r="FE41" s="33"/>
      <c r="FF41" s="33"/>
      <c r="FG41" s="33"/>
      <c r="FH41" s="33"/>
      <c r="FI41" s="33"/>
      <c r="FJ41" s="33"/>
      <c r="FK41" s="33"/>
      <c r="FL41" s="33"/>
      <c r="FM41" s="33"/>
      <c r="FN41" s="33"/>
      <c r="FO41" s="33"/>
      <c r="FP41" s="33"/>
      <c r="FQ41" s="33"/>
      <c r="FR41" s="33"/>
      <c r="FS41" s="33"/>
      <c r="FT41" s="33"/>
      <c r="FU41" s="33"/>
      <c r="FV41" s="33"/>
      <c r="FW41" s="33"/>
      <c r="FX41" s="33"/>
      <c r="FY41" s="33"/>
      <c r="FZ41" s="33"/>
      <c r="GA41" s="33"/>
      <c r="GB41" s="33"/>
      <c r="GC41" s="33"/>
      <c r="GD41" s="33"/>
      <c r="GE41" s="33"/>
      <c r="GF41" s="33"/>
      <c r="GG41" s="33"/>
      <c r="GH41" s="33"/>
      <c r="GI41" s="34"/>
    </row>
    <row r="42" spans="1:191" x14ac:dyDescent="0.15">
      <c r="A42" s="35">
        <f>A41</f>
        <v>15</v>
      </c>
      <c r="B42" s="36" t="str">
        <f>B41</f>
        <v>FD</v>
      </c>
      <c r="C42" s="36" t="str">
        <f>C41</f>
        <v>監視端末機能評価仕様書レビュー</v>
      </c>
      <c r="D42" s="37" t="str">
        <f>D41</f>
        <v>伊藤</v>
      </c>
      <c r="E42" s="53" t="s">
        <v>0</v>
      </c>
      <c r="F42" s="39"/>
      <c r="G42" s="39"/>
      <c r="H42" s="55">
        <f t="shared" si="7"/>
        <v>0</v>
      </c>
      <c r="I42" s="56">
        <f>IF(OR(H41="",H42=""),"",H42-H41)</f>
        <v>0</v>
      </c>
      <c r="J42" s="57"/>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c r="AK42" s="58"/>
      <c r="AL42" s="58"/>
      <c r="AM42" s="58"/>
      <c r="AN42" s="58"/>
      <c r="AO42" s="58"/>
      <c r="AP42" s="59"/>
      <c r="AQ42" s="59"/>
      <c r="AR42" s="59"/>
      <c r="AS42" s="59"/>
      <c r="AT42" s="59"/>
      <c r="AU42" s="59"/>
      <c r="AV42" s="59"/>
      <c r="AW42" s="59"/>
      <c r="AX42" s="59"/>
      <c r="AY42" s="59"/>
      <c r="AZ42" s="59"/>
      <c r="BA42" s="59"/>
      <c r="BB42" s="59"/>
      <c r="BC42" s="59"/>
      <c r="BD42" s="59"/>
      <c r="BE42" s="59"/>
      <c r="BF42" s="59"/>
      <c r="BG42" s="59"/>
      <c r="BH42" s="59"/>
      <c r="BI42" s="59"/>
      <c r="BJ42" s="59"/>
      <c r="BK42" s="59"/>
      <c r="BL42" s="59"/>
      <c r="BM42" s="59"/>
      <c r="BN42" s="59"/>
      <c r="BO42" s="59"/>
      <c r="BP42" s="59"/>
      <c r="BQ42" s="59"/>
      <c r="BR42" s="59"/>
      <c r="BS42" s="59"/>
      <c r="BT42" s="59"/>
      <c r="BU42" s="59"/>
      <c r="BV42" s="59"/>
      <c r="BW42" s="59"/>
      <c r="BX42" s="59"/>
      <c r="BY42" s="59"/>
      <c r="BZ42" s="59"/>
      <c r="CA42" s="59"/>
      <c r="CB42" s="59"/>
      <c r="CC42" s="59"/>
      <c r="CD42" s="59"/>
      <c r="CE42" s="59"/>
      <c r="CF42" s="59"/>
      <c r="CG42" s="59"/>
      <c r="CH42" s="59"/>
      <c r="CI42" s="59"/>
      <c r="CJ42" s="59"/>
      <c r="CK42" s="59"/>
      <c r="CL42" s="59"/>
      <c r="CM42" s="59"/>
      <c r="CN42" s="59"/>
      <c r="CO42" s="59"/>
      <c r="CP42" s="59"/>
      <c r="CQ42" s="59"/>
      <c r="CR42" s="59"/>
      <c r="CS42" s="59"/>
      <c r="CT42" s="59"/>
      <c r="CU42" s="59"/>
      <c r="CV42" s="59"/>
      <c r="CW42" s="59"/>
      <c r="CX42" s="59"/>
      <c r="CY42" s="59"/>
      <c r="CZ42" s="59"/>
      <c r="DA42" s="59"/>
      <c r="DB42" s="59"/>
      <c r="DC42" s="59"/>
      <c r="DD42" s="59"/>
      <c r="DE42" s="59"/>
      <c r="DF42" s="59"/>
      <c r="DG42" s="59"/>
      <c r="DH42" s="59"/>
      <c r="DI42" s="59"/>
      <c r="DJ42" s="59"/>
      <c r="DK42" s="59"/>
      <c r="DL42" s="59"/>
      <c r="DM42" s="59"/>
      <c r="DN42" s="59"/>
      <c r="DO42" s="59"/>
      <c r="DP42" s="59"/>
      <c r="DQ42" s="59"/>
      <c r="DR42" s="59"/>
      <c r="DS42" s="59"/>
      <c r="DT42" s="59"/>
      <c r="DU42" s="59"/>
      <c r="DV42" s="59"/>
      <c r="DW42" s="59"/>
      <c r="DX42" s="59"/>
      <c r="DY42" s="59"/>
      <c r="DZ42" s="59"/>
      <c r="EA42" s="59"/>
      <c r="EB42" s="59"/>
      <c r="EC42" s="59"/>
      <c r="ED42" s="59"/>
      <c r="EE42" s="59"/>
      <c r="EF42" s="59"/>
      <c r="EG42" s="59"/>
      <c r="EH42" s="59"/>
      <c r="EI42" s="59"/>
      <c r="EJ42" s="59"/>
      <c r="EK42" s="59"/>
      <c r="EL42" s="59"/>
      <c r="EM42" s="59"/>
      <c r="EN42" s="59"/>
      <c r="EO42" s="59"/>
      <c r="EP42" s="59"/>
      <c r="EQ42" s="59"/>
      <c r="ER42" s="59"/>
      <c r="ES42" s="59"/>
      <c r="ET42" s="59"/>
      <c r="EU42" s="59"/>
      <c r="EV42" s="59"/>
      <c r="EW42" s="59"/>
      <c r="EX42" s="59"/>
      <c r="EY42" s="59"/>
      <c r="EZ42" s="59"/>
      <c r="FA42" s="59"/>
      <c r="FB42" s="59"/>
      <c r="FC42" s="59"/>
      <c r="FD42" s="59"/>
      <c r="FE42" s="59"/>
      <c r="FF42" s="59"/>
      <c r="FG42" s="59"/>
      <c r="FH42" s="59"/>
      <c r="FI42" s="59"/>
      <c r="FJ42" s="59"/>
      <c r="FK42" s="59"/>
      <c r="FL42" s="59"/>
      <c r="FM42" s="59"/>
      <c r="FN42" s="59"/>
      <c r="FO42" s="59"/>
      <c r="FP42" s="59"/>
      <c r="FQ42" s="59"/>
      <c r="FR42" s="59"/>
      <c r="FS42" s="59"/>
      <c r="FT42" s="59"/>
      <c r="FU42" s="59"/>
      <c r="FV42" s="59"/>
      <c r="FW42" s="59"/>
      <c r="FX42" s="59"/>
      <c r="FY42" s="59"/>
      <c r="FZ42" s="59"/>
      <c r="GA42" s="59"/>
      <c r="GB42" s="59"/>
      <c r="GC42" s="59"/>
      <c r="GD42" s="59"/>
      <c r="GE42" s="59"/>
      <c r="GF42" s="59"/>
      <c r="GG42" s="59"/>
      <c r="GH42" s="59"/>
      <c r="GI42" s="60"/>
    </row>
    <row r="43" spans="1:191" x14ac:dyDescent="0.15">
      <c r="A43" s="23">
        <v>16</v>
      </c>
      <c r="B43" s="24" t="s">
        <v>120</v>
      </c>
      <c r="C43" s="45" t="s">
        <v>133</v>
      </c>
      <c r="D43" s="26" t="s">
        <v>172</v>
      </c>
      <c r="E43" s="27" t="s">
        <v>13</v>
      </c>
      <c r="F43" s="47">
        <v>42863</v>
      </c>
      <c r="G43" s="47">
        <v>42869</v>
      </c>
      <c r="H43" s="29">
        <f t="shared" si="7"/>
        <v>0</v>
      </c>
      <c r="I43" s="30"/>
      <c r="J43" s="31"/>
      <c r="K43" s="32"/>
      <c r="L43" s="32"/>
      <c r="M43" s="32"/>
      <c r="N43" s="32"/>
      <c r="O43" s="32"/>
      <c r="P43" s="32"/>
      <c r="Q43" s="32"/>
      <c r="R43" s="32"/>
      <c r="S43" s="32"/>
      <c r="T43" s="32"/>
      <c r="U43" s="32"/>
      <c r="V43" s="32"/>
      <c r="W43" s="32"/>
      <c r="X43" s="32"/>
      <c r="Y43" s="32"/>
      <c r="Z43" s="32"/>
      <c r="AA43" s="32"/>
      <c r="AB43" s="32"/>
      <c r="AC43" s="32"/>
      <c r="AD43" s="32"/>
      <c r="AE43" s="32"/>
      <c r="AF43" s="32"/>
      <c r="AG43" s="32"/>
      <c r="AH43" s="32"/>
      <c r="AI43" s="32"/>
      <c r="AJ43" s="32"/>
      <c r="AK43" s="32"/>
      <c r="AL43" s="32"/>
      <c r="AM43" s="32"/>
      <c r="AN43" s="32"/>
      <c r="AO43" s="32"/>
      <c r="AP43" s="33"/>
      <c r="AQ43" s="33"/>
      <c r="AR43" s="33"/>
      <c r="AS43" s="33"/>
      <c r="AT43" s="33"/>
      <c r="AU43" s="33"/>
      <c r="AV43" s="33"/>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33"/>
      <c r="CG43" s="33"/>
      <c r="CH43" s="33"/>
      <c r="CI43" s="33"/>
      <c r="CJ43" s="33"/>
      <c r="CK43" s="33"/>
      <c r="CL43" s="33"/>
      <c r="CM43" s="33"/>
      <c r="CN43" s="33"/>
      <c r="CO43" s="33"/>
      <c r="CP43" s="33"/>
      <c r="CQ43" s="33"/>
      <c r="CR43" s="33"/>
      <c r="CS43" s="33"/>
      <c r="CT43" s="33"/>
      <c r="CU43" s="33"/>
      <c r="CV43" s="33"/>
      <c r="CW43" s="33"/>
      <c r="CX43" s="33"/>
      <c r="CY43" s="33"/>
      <c r="CZ43" s="33"/>
      <c r="DA43" s="33"/>
      <c r="DB43" s="33"/>
      <c r="DC43" s="33"/>
      <c r="DD43" s="33"/>
      <c r="DE43" s="33"/>
      <c r="DF43" s="33"/>
      <c r="DG43" s="33"/>
      <c r="DH43" s="33"/>
      <c r="DI43" s="33"/>
      <c r="DJ43" s="33"/>
      <c r="DK43" s="33"/>
      <c r="DL43" s="33"/>
      <c r="DM43" s="33"/>
      <c r="DN43" s="33"/>
      <c r="DO43" s="33"/>
      <c r="DP43" s="33"/>
      <c r="DQ43" s="33"/>
      <c r="DR43" s="33"/>
      <c r="DS43" s="33"/>
      <c r="DT43" s="33"/>
      <c r="DU43" s="33"/>
      <c r="DV43" s="33"/>
      <c r="DW43" s="33"/>
      <c r="DX43" s="33"/>
      <c r="DY43" s="33"/>
      <c r="DZ43" s="33"/>
      <c r="EA43" s="33"/>
      <c r="EB43" s="33"/>
      <c r="EC43" s="33"/>
      <c r="ED43" s="33"/>
      <c r="EE43" s="33"/>
      <c r="EF43" s="33"/>
      <c r="EG43" s="33"/>
      <c r="EH43" s="33"/>
      <c r="EI43" s="33"/>
      <c r="EJ43" s="33"/>
      <c r="EK43" s="33"/>
      <c r="EL43" s="33"/>
      <c r="EM43" s="33"/>
      <c r="EN43" s="33"/>
      <c r="EO43" s="33"/>
      <c r="EP43" s="33"/>
      <c r="EQ43" s="33"/>
      <c r="ER43" s="33"/>
      <c r="ES43" s="33"/>
      <c r="ET43" s="33"/>
      <c r="EU43" s="33"/>
      <c r="EV43" s="33"/>
      <c r="EW43" s="33"/>
      <c r="EX43" s="33"/>
      <c r="EY43" s="33"/>
      <c r="EZ43" s="33"/>
      <c r="FA43" s="33"/>
      <c r="FB43" s="33"/>
      <c r="FC43" s="33"/>
      <c r="FD43" s="33"/>
      <c r="FE43" s="33"/>
      <c r="FF43" s="33"/>
      <c r="FG43" s="33"/>
      <c r="FH43" s="33"/>
      <c r="FI43" s="33"/>
      <c r="FJ43" s="33"/>
      <c r="FK43" s="33"/>
      <c r="FL43" s="33"/>
      <c r="FM43" s="33"/>
      <c r="FN43" s="33"/>
      <c r="FO43" s="33"/>
      <c r="FP43" s="33"/>
      <c r="FQ43" s="33"/>
      <c r="FR43" s="33"/>
      <c r="FS43" s="33"/>
      <c r="FT43" s="33"/>
      <c r="FU43" s="33"/>
      <c r="FV43" s="33"/>
      <c r="FW43" s="33"/>
      <c r="FX43" s="33"/>
      <c r="FY43" s="33"/>
      <c r="FZ43" s="33"/>
      <c r="GA43" s="33"/>
      <c r="GB43" s="33"/>
      <c r="GC43" s="33"/>
      <c r="GD43" s="33"/>
      <c r="GE43" s="33"/>
      <c r="GF43" s="33"/>
      <c r="GG43" s="33"/>
      <c r="GH43" s="33"/>
      <c r="GI43" s="34"/>
    </row>
    <row r="44" spans="1:191" x14ac:dyDescent="0.15">
      <c r="A44" s="35">
        <f>A43</f>
        <v>16</v>
      </c>
      <c r="B44" s="36" t="str">
        <f>B43</f>
        <v>FD</v>
      </c>
      <c r="C44" s="36" t="str">
        <f>C43</f>
        <v>監視端末機能評価仕様書レビュー指摘対応</v>
      </c>
      <c r="D44" s="37" t="str">
        <f>D43</f>
        <v>長田</v>
      </c>
      <c r="E44" s="53" t="s">
        <v>0</v>
      </c>
      <c r="F44" s="54"/>
      <c r="G44" s="54"/>
      <c r="H44" s="55">
        <f t="shared" si="7"/>
        <v>0</v>
      </c>
      <c r="I44" s="56">
        <f>IF(OR(H43="",H44=""),"",H44-H43)</f>
        <v>0</v>
      </c>
      <c r="J44" s="57"/>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c r="AK44" s="58"/>
      <c r="AL44" s="58"/>
      <c r="AM44" s="58"/>
      <c r="AN44" s="58"/>
      <c r="AO44" s="58"/>
      <c r="AP44" s="59"/>
      <c r="AQ44" s="59"/>
      <c r="AR44" s="59"/>
      <c r="AS44" s="59"/>
      <c r="AT44" s="59"/>
      <c r="AU44" s="59"/>
      <c r="AV44" s="59"/>
      <c r="AW44" s="59"/>
      <c r="AX44" s="59"/>
      <c r="AY44" s="59"/>
      <c r="AZ44" s="59"/>
      <c r="BA44" s="59"/>
      <c r="BB44" s="59"/>
      <c r="BC44" s="59"/>
      <c r="BD44" s="59"/>
      <c r="BE44" s="59"/>
      <c r="BF44" s="59"/>
      <c r="BG44" s="59"/>
      <c r="BH44" s="59"/>
      <c r="BI44" s="59"/>
      <c r="BJ44" s="59"/>
      <c r="BK44" s="59"/>
      <c r="BL44" s="59"/>
      <c r="BM44" s="59"/>
      <c r="BN44" s="59"/>
      <c r="BO44" s="59"/>
      <c r="BP44" s="59"/>
      <c r="BQ44" s="59"/>
      <c r="BR44" s="59"/>
      <c r="BS44" s="59"/>
      <c r="BT44" s="59"/>
      <c r="BU44" s="59"/>
      <c r="BV44" s="59"/>
      <c r="BW44" s="59"/>
      <c r="BX44" s="59"/>
      <c r="BY44" s="59"/>
      <c r="BZ44" s="59"/>
      <c r="CA44" s="59"/>
      <c r="CB44" s="59"/>
      <c r="CC44" s="59"/>
      <c r="CD44" s="59"/>
      <c r="CE44" s="59"/>
      <c r="CF44" s="59"/>
      <c r="CG44" s="59"/>
      <c r="CH44" s="59"/>
      <c r="CI44" s="59"/>
      <c r="CJ44" s="59"/>
      <c r="CK44" s="59"/>
      <c r="CL44" s="59"/>
      <c r="CM44" s="59"/>
      <c r="CN44" s="59"/>
      <c r="CO44" s="59"/>
      <c r="CP44" s="59"/>
      <c r="CQ44" s="59"/>
      <c r="CR44" s="59"/>
      <c r="CS44" s="59"/>
      <c r="CT44" s="59"/>
      <c r="CU44" s="59"/>
      <c r="CV44" s="59"/>
      <c r="CW44" s="59"/>
      <c r="CX44" s="59"/>
      <c r="CY44" s="59"/>
      <c r="CZ44" s="59"/>
      <c r="DA44" s="59"/>
      <c r="DB44" s="59"/>
      <c r="DC44" s="59"/>
      <c r="DD44" s="59"/>
      <c r="DE44" s="59"/>
      <c r="DF44" s="59"/>
      <c r="DG44" s="59"/>
      <c r="DH44" s="59"/>
      <c r="DI44" s="59"/>
      <c r="DJ44" s="59"/>
      <c r="DK44" s="59"/>
      <c r="DL44" s="59"/>
      <c r="DM44" s="59"/>
      <c r="DN44" s="59"/>
      <c r="DO44" s="59"/>
      <c r="DP44" s="59"/>
      <c r="DQ44" s="59"/>
      <c r="DR44" s="59"/>
      <c r="DS44" s="59"/>
      <c r="DT44" s="59"/>
      <c r="DU44" s="59"/>
      <c r="DV44" s="59"/>
      <c r="DW44" s="59"/>
      <c r="DX44" s="59"/>
      <c r="DY44" s="59"/>
      <c r="DZ44" s="59"/>
      <c r="EA44" s="59"/>
      <c r="EB44" s="59"/>
      <c r="EC44" s="59"/>
      <c r="ED44" s="59"/>
      <c r="EE44" s="59"/>
      <c r="EF44" s="59"/>
      <c r="EG44" s="59"/>
      <c r="EH44" s="59"/>
      <c r="EI44" s="59"/>
      <c r="EJ44" s="59"/>
      <c r="EK44" s="59"/>
      <c r="EL44" s="59"/>
      <c r="EM44" s="59"/>
      <c r="EN44" s="59"/>
      <c r="EO44" s="59"/>
      <c r="EP44" s="59"/>
      <c r="EQ44" s="59"/>
      <c r="ER44" s="59"/>
      <c r="ES44" s="59"/>
      <c r="ET44" s="59"/>
      <c r="EU44" s="59"/>
      <c r="EV44" s="59"/>
      <c r="EW44" s="59"/>
      <c r="EX44" s="59"/>
      <c r="EY44" s="59"/>
      <c r="EZ44" s="59"/>
      <c r="FA44" s="59"/>
      <c r="FB44" s="59"/>
      <c r="FC44" s="59"/>
      <c r="FD44" s="59"/>
      <c r="FE44" s="59"/>
      <c r="FF44" s="59"/>
      <c r="FG44" s="59"/>
      <c r="FH44" s="59"/>
      <c r="FI44" s="59"/>
      <c r="FJ44" s="59"/>
      <c r="FK44" s="59"/>
      <c r="FL44" s="59"/>
      <c r="FM44" s="59"/>
      <c r="FN44" s="59"/>
      <c r="FO44" s="59"/>
      <c r="FP44" s="59"/>
      <c r="FQ44" s="59"/>
      <c r="FR44" s="59"/>
      <c r="FS44" s="59"/>
      <c r="FT44" s="59"/>
      <c r="FU44" s="59"/>
      <c r="FV44" s="59"/>
      <c r="FW44" s="59"/>
      <c r="FX44" s="59"/>
      <c r="FY44" s="59"/>
      <c r="FZ44" s="59"/>
      <c r="GA44" s="59"/>
      <c r="GB44" s="59"/>
      <c r="GC44" s="59"/>
      <c r="GD44" s="59"/>
      <c r="GE44" s="59"/>
      <c r="GF44" s="59"/>
      <c r="GG44" s="59"/>
      <c r="GH44" s="59"/>
      <c r="GI44" s="60"/>
    </row>
    <row r="45" spans="1:191" x14ac:dyDescent="0.15">
      <c r="A45" s="23">
        <v>17</v>
      </c>
      <c r="B45" s="24" t="s">
        <v>131</v>
      </c>
      <c r="C45" s="45" t="s">
        <v>173</v>
      </c>
      <c r="D45" s="26" t="s">
        <v>114</v>
      </c>
      <c r="E45" s="27" t="s">
        <v>13</v>
      </c>
      <c r="F45" s="28">
        <v>42870</v>
      </c>
      <c r="G45" s="28">
        <v>42882</v>
      </c>
      <c r="H45" s="29">
        <f t="shared" si="7"/>
        <v>0</v>
      </c>
      <c r="I45" s="30"/>
      <c r="J45" s="31"/>
      <c r="K45" s="32"/>
      <c r="L45" s="32"/>
      <c r="M45" s="32"/>
      <c r="N45" s="32"/>
      <c r="O45" s="32"/>
      <c r="P45" s="32"/>
      <c r="Q45" s="32"/>
      <c r="R45" s="32"/>
      <c r="S45" s="32"/>
      <c r="T45" s="32"/>
      <c r="U45" s="32"/>
      <c r="V45" s="32"/>
      <c r="W45" s="32"/>
      <c r="X45" s="32"/>
      <c r="Y45" s="32"/>
      <c r="Z45" s="32"/>
      <c r="AA45" s="32"/>
      <c r="AB45" s="32"/>
      <c r="AC45" s="32"/>
      <c r="AD45" s="32"/>
      <c r="AE45" s="32"/>
      <c r="AF45" s="32"/>
      <c r="AG45" s="32"/>
      <c r="AH45" s="32"/>
      <c r="AI45" s="32"/>
      <c r="AJ45" s="32"/>
      <c r="AK45" s="32"/>
      <c r="AL45" s="32"/>
      <c r="AM45" s="32"/>
      <c r="AN45" s="32"/>
      <c r="AO45" s="32"/>
      <c r="AP45" s="33"/>
      <c r="AQ45" s="33"/>
      <c r="AR45" s="33"/>
      <c r="AS45" s="33"/>
      <c r="AT45" s="33"/>
      <c r="AU45" s="33"/>
      <c r="AV45" s="33"/>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c r="CF45" s="33"/>
      <c r="CG45" s="33"/>
      <c r="CH45" s="33"/>
      <c r="CI45" s="33"/>
      <c r="CJ45" s="33"/>
      <c r="CK45" s="33"/>
      <c r="CL45" s="33"/>
      <c r="CM45" s="33"/>
      <c r="CN45" s="33"/>
      <c r="CO45" s="33"/>
      <c r="CP45" s="33"/>
      <c r="CQ45" s="33"/>
      <c r="CR45" s="33"/>
      <c r="CS45" s="33"/>
      <c r="CT45" s="33"/>
      <c r="CU45" s="33"/>
      <c r="CV45" s="33"/>
      <c r="CW45" s="33"/>
      <c r="CX45" s="33"/>
      <c r="CY45" s="33"/>
      <c r="CZ45" s="33"/>
      <c r="DA45" s="33"/>
      <c r="DB45" s="33"/>
      <c r="DC45" s="33"/>
      <c r="DD45" s="33"/>
      <c r="DE45" s="33"/>
      <c r="DF45" s="33"/>
      <c r="DG45" s="33"/>
      <c r="DH45" s="33"/>
      <c r="DI45" s="33"/>
      <c r="DJ45" s="33"/>
      <c r="DK45" s="33"/>
      <c r="DL45" s="33"/>
      <c r="DM45" s="33"/>
      <c r="DN45" s="33"/>
      <c r="DO45" s="33"/>
      <c r="DP45" s="33"/>
      <c r="DQ45" s="33"/>
      <c r="DR45" s="33"/>
      <c r="DS45" s="33"/>
      <c r="DT45" s="33"/>
      <c r="DU45" s="33"/>
      <c r="DV45" s="33"/>
      <c r="DW45" s="33"/>
      <c r="DX45" s="33"/>
      <c r="DY45" s="33"/>
      <c r="DZ45" s="33"/>
      <c r="EA45" s="33"/>
      <c r="EB45" s="33"/>
      <c r="EC45" s="33"/>
      <c r="ED45" s="33"/>
      <c r="EE45" s="33"/>
      <c r="EF45" s="33"/>
      <c r="EG45" s="33"/>
      <c r="EH45" s="33"/>
      <c r="EI45" s="33"/>
      <c r="EJ45" s="33"/>
      <c r="EK45" s="33"/>
      <c r="EL45" s="33"/>
      <c r="EM45" s="33"/>
      <c r="EN45" s="33"/>
      <c r="EO45" s="33"/>
      <c r="EP45" s="33"/>
      <c r="EQ45" s="33"/>
      <c r="ER45" s="33"/>
      <c r="ES45" s="33"/>
      <c r="ET45" s="33"/>
      <c r="EU45" s="33"/>
      <c r="EV45" s="33"/>
      <c r="EW45" s="33"/>
      <c r="EX45" s="33"/>
      <c r="EY45" s="33"/>
      <c r="EZ45" s="33"/>
      <c r="FA45" s="33"/>
      <c r="FB45" s="33"/>
      <c r="FC45" s="33"/>
      <c r="FD45" s="33"/>
      <c r="FE45" s="33"/>
      <c r="FF45" s="33"/>
      <c r="FG45" s="33"/>
      <c r="FH45" s="33"/>
      <c r="FI45" s="33"/>
      <c r="FJ45" s="33"/>
      <c r="FK45" s="33"/>
      <c r="FL45" s="33"/>
      <c r="FM45" s="33"/>
      <c r="FN45" s="33"/>
      <c r="FO45" s="33"/>
      <c r="FP45" s="33"/>
      <c r="FQ45" s="33"/>
      <c r="FR45" s="33"/>
      <c r="FS45" s="33"/>
      <c r="FT45" s="33"/>
      <c r="FU45" s="33"/>
      <c r="FV45" s="33"/>
      <c r="FW45" s="33"/>
      <c r="FX45" s="33"/>
      <c r="FY45" s="33"/>
      <c r="FZ45" s="33"/>
      <c r="GA45" s="33"/>
      <c r="GB45" s="33"/>
      <c r="GC45" s="33"/>
      <c r="GD45" s="33"/>
      <c r="GE45" s="33"/>
      <c r="GF45" s="33"/>
      <c r="GG45" s="33"/>
      <c r="GH45" s="33"/>
      <c r="GI45" s="34"/>
    </row>
    <row r="46" spans="1:191" x14ac:dyDescent="0.15">
      <c r="A46" s="35">
        <f>A45</f>
        <v>17</v>
      </c>
      <c r="B46" s="36" t="str">
        <f>B45</f>
        <v>SD</v>
      </c>
      <c r="C46" s="36" t="str">
        <f>C45</f>
        <v>Webアプリ構造設計書作成</v>
      </c>
      <c r="D46" s="37" t="str">
        <f>D45</f>
        <v>那須</v>
      </c>
      <c r="E46" s="53" t="s">
        <v>0</v>
      </c>
      <c r="F46" s="54"/>
      <c r="G46" s="54"/>
      <c r="H46" s="55">
        <f t="shared" si="7"/>
        <v>0</v>
      </c>
      <c r="I46" s="56">
        <f>IF(OR(H45="",H46=""),"",H46-H45)</f>
        <v>0</v>
      </c>
      <c r="J46" s="57"/>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c r="AK46" s="58"/>
      <c r="AL46" s="58"/>
      <c r="AM46" s="58"/>
      <c r="AN46" s="58"/>
      <c r="AO46" s="58"/>
      <c r="AP46" s="59"/>
      <c r="AQ46" s="59"/>
      <c r="AR46" s="59"/>
      <c r="AS46" s="59"/>
      <c r="AT46" s="59"/>
      <c r="AU46" s="59"/>
      <c r="AV46" s="59"/>
      <c r="AW46" s="59"/>
      <c r="AX46" s="59"/>
      <c r="AY46" s="59"/>
      <c r="AZ46" s="59"/>
      <c r="BA46" s="59"/>
      <c r="BB46" s="59"/>
      <c r="BC46" s="59"/>
      <c r="BD46" s="59"/>
      <c r="BE46" s="59"/>
      <c r="BF46" s="59"/>
      <c r="BG46" s="59"/>
      <c r="BH46" s="59"/>
      <c r="BI46" s="59"/>
      <c r="BJ46" s="59"/>
      <c r="BK46" s="59"/>
      <c r="BL46" s="59"/>
      <c r="BM46" s="59"/>
      <c r="BN46" s="59"/>
      <c r="BO46" s="59"/>
      <c r="BP46" s="59"/>
      <c r="BQ46" s="59"/>
      <c r="BR46" s="59"/>
      <c r="BS46" s="59"/>
      <c r="BT46" s="59"/>
      <c r="BU46" s="59"/>
      <c r="BV46" s="59"/>
      <c r="BW46" s="59"/>
      <c r="BX46" s="59"/>
      <c r="BY46" s="59"/>
      <c r="BZ46" s="59"/>
      <c r="CA46" s="59"/>
      <c r="CB46" s="59"/>
      <c r="CC46" s="59"/>
      <c r="CD46" s="59"/>
      <c r="CE46" s="59"/>
      <c r="CF46" s="59"/>
      <c r="CG46" s="59"/>
      <c r="CH46" s="59"/>
      <c r="CI46" s="59"/>
      <c r="CJ46" s="59"/>
      <c r="CK46" s="59"/>
      <c r="CL46" s="59"/>
      <c r="CM46" s="59"/>
      <c r="CN46" s="59"/>
      <c r="CO46" s="59"/>
      <c r="CP46" s="59"/>
      <c r="CQ46" s="59"/>
      <c r="CR46" s="59"/>
      <c r="CS46" s="59"/>
      <c r="CT46" s="59"/>
      <c r="CU46" s="59"/>
      <c r="CV46" s="59"/>
      <c r="CW46" s="59"/>
      <c r="CX46" s="59"/>
      <c r="CY46" s="59"/>
      <c r="CZ46" s="59"/>
      <c r="DA46" s="59"/>
      <c r="DB46" s="59"/>
      <c r="DC46" s="59"/>
      <c r="DD46" s="59"/>
      <c r="DE46" s="59"/>
      <c r="DF46" s="59"/>
      <c r="DG46" s="59"/>
      <c r="DH46" s="59"/>
      <c r="DI46" s="59"/>
      <c r="DJ46" s="59"/>
      <c r="DK46" s="59"/>
      <c r="DL46" s="59"/>
      <c r="DM46" s="59"/>
      <c r="DN46" s="59"/>
      <c r="DO46" s="59"/>
      <c r="DP46" s="59"/>
      <c r="DQ46" s="59"/>
      <c r="DR46" s="59"/>
      <c r="DS46" s="59"/>
      <c r="DT46" s="59"/>
      <c r="DU46" s="59"/>
      <c r="DV46" s="59"/>
      <c r="DW46" s="59"/>
      <c r="DX46" s="59"/>
      <c r="DY46" s="59"/>
      <c r="DZ46" s="59"/>
      <c r="EA46" s="59"/>
      <c r="EB46" s="59"/>
      <c r="EC46" s="59"/>
      <c r="ED46" s="59"/>
      <c r="EE46" s="59"/>
      <c r="EF46" s="59"/>
      <c r="EG46" s="59"/>
      <c r="EH46" s="59"/>
      <c r="EI46" s="59"/>
      <c r="EJ46" s="59"/>
      <c r="EK46" s="59"/>
      <c r="EL46" s="59"/>
      <c r="EM46" s="59"/>
      <c r="EN46" s="59"/>
      <c r="EO46" s="59"/>
      <c r="EP46" s="59"/>
      <c r="EQ46" s="59"/>
      <c r="ER46" s="59"/>
      <c r="ES46" s="59"/>
      <c r="ET46" s="59"/>
      <c r="EU46" s="59"/>
      <c r="EV46" s="59"/>
      <c r="EW46" s="59"/>
      <c r="EX46" s="59"/>
      <c r="EY46" s="59"/>
      <c r="EZ46" s="59"/>
      <c r="FA46" s="59"/>
      <c r="FB46" s="59"/>
      <c r="FC46" s="59"/>
      <c r="FD46" s="59"/>
      <c r="FE46" s="59"/>
      <c r="FF46" s="59"/>
      <c r="FG46" s="59"/>
      <c r="FH46" s="59"/>
      <c r="FI46" s="59"/>
      <c r="FJ46" s="59"/>
      <c r="FK46" s="59"/>
      <c r="FL46" s="59"/>
      <c r="FM46" s="59"/>
      <c r="FN46" s="59"/>
      <c r="FO46" s="59"/>
      <c r="FP46" s="59"/>
      <c r="FQ46" s="59"/>
      <c r="FR46" s="59"/>
      <c r="FS46" s="59"/>
      <c r="FT46" s="59"/>
      <c r="FU46" s="59"/>
      <c r="FV46" s="59"/>
      <c r="FW46" s="59"/>
      <c r="FX46" s="59"/>
      <c r="FY46" s="59"/>
      <c r="FZ46" s="59"/>
      <c r="GA46" s="59"/>
      <c r="GB46" s="59"/>
      <c r="GC46" s="59"/>
      <c r="GD46" s="59"/>
      <c r="GE46" s="59"/>
      <c r="GF46" s="59"/>
      <c r="GG46" s="59"/>
      <c r="GH46" s="59"/>
      <c r="GI46" s="60"/>
    </row>
    <row r="47" spans="1:191" x14ac:dyDescent="0.15">
      <c r="A47" s="23">
        <v>18</v>
      </c>
      <c r="B47" s="24" t="s">
        <v>131</v>
      </c>
      <c r="C47" s="45" t="s">
        <v>174</v>
      </c>
      <c r="D47" s="26" t="s">
        <v>170</v>
      </c>
      <c r="E47" s="27" t="s">
        <v>13</v>
      </c>
      <c r="F47" s="28">
        <v>42882</v>
      </c>
      <c r="G47" s="28">
        <v>42883</v>
      </c>
      <c r="H47" s="29">
        <f t="shared" si="7"/>
        <v>0</v>
      </c>
      <c r="I47" s="30"/>
      <c r="J47" s="31"/>
      <c r="K47" s="32"/>
      <c r="L47" s="32"/>
      <c r="M47" s="32"/>
      <c r="N47" s="32"/>
      <c r="O47" s="32"/>
      <c r="P47" s="32"/>
      <c r="Q47" s="32"/>
      <c r="R47" s="32"/>
      <c r="S47" s="32"/>
      <c r="T47" s="32"/>
      <c r="U47" s="32"/>
      <c r="V47" s="32"/>
      <c r="W47" s="32"/>
      <c r="X47" s="32"/>
      <c r="Y47" s="32"/>
      <c r="Z47" s="32"/>
      <c r="AA47" s="32"/>
      <c r="AB47" s="32"/>
      <c r="AC47" s="32"/>
      <c r="AD47" s="32"/>
      <c r="AE47" s="32"/>
      <c r="AF47" s="32"/>
      <c r="AG47" s="32"/>
      <c r="AH47" s="32"/>
      <c r="AI47" s="32"/>
      <c r="AJ47" s="32"/>
      <c r="AK47" s="32"/>
      <c r="AL47" s="32"/>
      <c r="AM47" s="32"/>
      <c r="AN47" s="32"/>
      <c r="AO47" s="32"/>
      <c r="AP47" s="33"/>
      <c r="AQ47" s="33"/>
      <c r="AR47" s="33"/>
      <c r="AS47" s="33"/>
      <c r="AT47" s="33"/>
      <c r="AU47" s="33"/>
      <c r="AV47" s="33"/>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33"/>
      <c r="CG47" s="33"/>
      <c r="CH47" s="33"/>
      <c r="CI47" s="33"/>
      <c r="CJ47" s="33"/>
      <c r="CK47" s="33"/>
      <c r="CL47" s="33"/>
      <c r="CM47" s="33"/>
      <c r="CN47" s="33"/>
      <c r="CO47" s="33"/>
      <c r="CP47" s="33"/>
      <c r="CQ47" s="33"/>
      <c r="CR47" s="33"/>
      <c r="CS47" s="33"/>
      <c r="CT47" s="33"/>
      <c r="CU47" s="33"/>
      <c r="CV47" s="33"/>
      <c r="CW47" s="33"/>
      <c r="CX47" s="33"/>
      <c r="CY47" s="33"/>
      <c r="CZ47" s="33"/>
      <c r="DA47" s="33"/>
      <c r="DB47" s="33"/>
      <c r="DC47" s="33"/>
      <c r="DD47" s="33"/>
      <c r="DE47" s="33"/>
      <c r="DF47" s="33"/>
      <c r="DG47" s="33"/>
      <c r="DH47" s="33"/>
      <c r="DI47" s="33"/>
      <c r="DJ47" s="33"/>
      <c r="DK47" s="33"/>
      <c r="DL47" s="33"/>
      <c r="DM47" s="33"/>
      <c r="DN47" s="33"/>
      <c r="DO47" s="33"/>
      <c r="DP47" s="33"/>
      <c r="DQ47" s="33"/>
      <c r="DR47" s="33"/>
      <c r="DS47" s="33"/>
      <c r="DT47" s="33"/>
      <c r="DU47" s="33"/>
      <c r="DV47" s="33"/>
      <c r="DW47" s="33"/>
      <c r="DX47" s="33"/>
      <c r="DY47" s="33"/>
      <c r="DZ47" s="33"/>
      <c r="EA47" s="33"/>
      <c r="EB47" s="33"/>
      <c r="EC47" s="33"/>
      <c r="ED47" s="33"/>
      <c r="EE47" s="33"/>
      <c r="EF47" s="33"/>
      <c r="EG47" s="33"/>
      <c r="EH47" s="33"/>
      <c r="EI47" s="33"/>
      <c r="EJ47" s="33"/>
      <c r="EK47" s="33"/>
      <c r="EL47" s="33"/>
      <c r="EM47" s="33"/>
      <c r="EN47" s="33"/>
      <c r="EO47" s="33"/>
      <c r="EP47" s="33"/>
      <c r="EQ47" s="33"/>
      <c r="ER47" s="33"/>
      <c r="ES47" s="33"/>
      <c r="ET47" s="33"/>
      <c r="EU47" s="33"/>
      <c r="EV47" s="33"/>
      <c r="EW47" s="33"/>
      <c r="EX47" s="33"/>
      <c r="EY47" s="33"/>
      <c r="EZ47" s="33"/>
      <c r="FA47" s="33"/>
      <c r="FB47" s="33"/>
      <c r="FC47" s="33"/>
      <c r="FD47" s="33"/>
      <c r="FE47" s="33"/>
      <c r="FF47" s="33"/>
      <c r="FG47" s="33"/>
      <c r="FH47" s="33"/>
      <c r="FI47" s="33"/>
      <c r="FJ47" s="33"/>
      <c r="FK47" s="33"/>
      <c r="FL47" s="33"/>
      <c r="FM47" s="33"/>
      <c r="FN47" s="33"/>
      <c r="FO47" s="33"/>
      <c r="FP47" s="33"/>
      <c r="FQ47" s="33"/>
      <c r="FR47" s="33"/>
      <c r="FS47" s="33"/>
      <c r="FT47" s="33"/>
      <c r="FU47" s="33"/>
      <c r="FV47" s="33"/>
      <c r="FW47" s="33"/>
      <c r="FX47" s="33"/>
      <c r="FY47" s="33"/>
      <c r="FZ47" s="33"/>
      <c r="GA47" s="33"/>
      <c r="GB47" s="33"/>
      <c r="GC47" s="33"/>
      <c r="GD47" s="33"/>
      <c r="GE47" s="33"/>
      <c r="GF47" s="33"/>
      <c r="GG47" s="33"/>
      <c r="GH47" s="33"/>
      <c r="GI47" s="34"/>
    </row>
    <row r="48" spans="1:191" x14ac:dyDescent="0.15">
      <c r="A48" s="35">
        <f>A47</f>
        <v>18</v>
      </c>
      <c r="B48" s="36" t="str">
        <f>B47</f>
        <v>SD</v>
      </c>
      <c r="C48" s="36" t="str">
        <f>C47</f>
        <v>Webアプリ構造設計書レビュー</v>
      </c>
      <c r="D48" s="37" t="str">
        <f>D47</f>
        <v>伊藤</v>
      </c>
      <c r="E48" s="53" t="s">
        <v>0</v>
      </c>
      <c r="F48" s="54"/>
      <c r="G48" s="54"/>
      <c r="H48" s="55">
        <f t="shared" si="7"/>
        <v>0</v>
      </c>
      <c r="I48" s="56">
        <f>IF(OR(H47="",H48=""),"",H48-H47)</f>
        <v>0</v>
      </c>
      <c r="J48" s="57"/>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c r="AK48" s="58"/>
      <c r="AL48" s="58"/>
      <c r="AM48" s="58"/>
      <c r="AN48" s="58"/>
      <c r="AO48" s="58"/>
      <c r="AP48" s="59"/>
      <c r="AQ48" s="59"/>
      <c r="AR48" s="59"/>
      <c r="AS48" s="59"/>
      <c r="AT48" s="59"/>
      <c r="AU48" s="59"/>
      <c r="AV48" s="59"/>
      <c r="AW48" s="59"/>
      <c r="AX48" s="59"/>
      <c r="AY48" s="59"/>
      <c r="AZ48" s="59"/>
      <c r="BA48" s="59"/>
      <c r="BB48" s="59"/>
      <c r="BC48" s="59"/>
      <c r="BD48" s="59"/>
      <c r="BE48" s="59"/>
      <c r="BF48" s="59"/>
      <c r="BG48" s="59"/>
      <c r="BH48" s="59"/>
      <c r="BI48" s="59"/>
      <c r="BJ48" s="59"/>
      <c r="BK48" s="59"/>
      <c r="BL48" s="59"/>
      <c r="BM48" s="59"/>
      <c r="BN48" s="59"/>
      <c r="BO48" s="59"/>
      <c r="BP48" s="59"/>
      <c r="BQ48" s="59"/>
      <c r="BR48" s="59"/>
      <c r="BS48" s="59"/>
      <c r="BT48" s="59"/>
      <c r="BU48" s="59"/>
      <c r="BV48" s="59"/>
      <c r="BW48" s="59"/>
      <c r="BX48" s="59"/>
      <c r="BY48" s="59"/>
      <c r="BZ48" s="59"/>
      <c r="CA48" s="59"/>
      <c r="CB48" s="59"/>
      <c r="CC48" s="59"/>
      <c r="CD48" s="59"/>
      <c r="CE48" s="59"/>
      <c r="CF48" s="59"/>
      <c r="CG48" s="59"/>
      <c r="CH48" s="59"/>
      <c r="CI48" s="59"/>
      <c r="CJ48" s="59"/>
      <c r="CK48" s="59"/>
      <c r="CL48" s="59"/>
      <c r="CM48" s="59"/>
      <c r="CN48" s="59"/>
      <c r="CO48" s="59"/>
      <c r="CP48" s="59"/>
      <c r="CQ48" s="59"/>
      <c r="CR48" s="59"/>
      <c r="CS48" s="59"/>
      <c r="CT48" s="59"/>
      <c r="CU48" s="59"/>
      <c r="CV48" s="59"/>
      <c r="CW48" s="59"/>
      <c r="CX48" s="59"/>
      <c r="CY48" s="59"/>
      <c r="CZ48" s="59"/>
      <c r="DA48" s="59"/>
      <c r="DB48" s="59"/>
      <c r="DC48" s="59"/>
      <c r="DD48" s="59"/>
      <c r="DE48" s="59"/>
      <c r="DF48" s="59"/>
      <c r="DG48" s="59"/>
      <c r="DH48" s="59"/>
      <c r="DI48" s="59"/>
      <c r="DJ48" s="59"/>
      <c r="DK48" s="59"/>
      <c r="DL48" s="59"/>
      <c r="DM48" s="59"/>
      <c r="DN48" s="59"/>
      <c r="DO48" s="59"/>
      <c r="DP48" s="59"/>
      <c r="DQ48" s="59"/>
      <c r="DR48" s="59"/>
      <c r="DS48" s="59"/>
      <c r="DT48" s="59"/>
      <c r="DU48" s="59"/>
      <c r="DV48" s="59"/>
      <c r="DW48" s="59"/>
      <c r="DX48" s="59"/>
      <c r="DY48" s="59"/>
      <c r="DZ48" s="59"/>
      <c r="EA48" s="59"/>
      <c r="EB48" s="59"/>
      <c r="EC48" s="59"/>
      <c r="ED48" s="59"/>
      <c r="EE48" s="59"/>
      <c r="EF48" s="59"/>
      <c r="EG48" s="59"/>
      <c r="EH48" s="59"/>
      <c r="EI48" s="59"/>
      <c r="EJ48" s="59"/>
      <c r="EK48" s="59"/>
      <c r="EL48" s="59"/>
      <c r="EM48" s="59"/>
      <c r="EN48" s="59"/>
      <c r="EO48" s="59"/>
      <c r="EP48" s="59"/>
      <c r="EQ48" s="59"/>
      <c r="ER48" s="59"/>
      <c r="ES48" s="59"/>
      <c r="ET48" s="59"/>
      <c r="EU48" s="59"/>
      <c r="EV48" s="59"/>
      <c r="EW48" s="59"/>
      <c r="EX48" s="59"/>
      <c r="EY48" s="59"/>
      <c r="EZ48" s="59"/>
      <c r="FA48" s="59"/>
      <c r="FB48" s="59"/>
      <c r="FC48" s="59"/>
      <c r="FD48" s="59"/>
      <c r="FE48" s="59"/>
      <c r="FF48" s="59"/>
      <c r="FG48" s="59"/>
      <c r="FH48" s="59"/>
      <c r="FI48" s="59"/>
      <c r="FJ48" s="59"/>
      <c r="FK48" s="59"/>
      <c r="FL48" s="59"/>
      <c r="FM48" s="59"/>
      <c r="FN48" s="59"/>
      <c r="FO48" s="59"/>
      <c r="FP48" s="59"/>
      <c r="FQ48" s="59"/>
      <c r="FR48" s="59"/>
      <c r="FS48" s="59"/>
      <c r="FT48" s="59"/>
      <c r="FU48" s="59"/>
      <c r="FV48" s="59"/>
      <c r="FW48" s="59"/>
      <c r="FX48" s="59"/>
      <c r="FY48" s="59"/>
      <c r="FZ48" s="59"/>
      <c r="GA48" s="59"/>
      <c r="GB48" s="59"/>
      <c r="GC48" s="59"/>
      <c r="GD48" s="59"/>
      <c r="GE48" s="59"/>
      <c r="GF48" s="59"/>
      <c r="GG48" s="59"/>
      <c r="GH48" s="59"/>
      <c r="GI48" s="60"/>
    </row>
    <row r="49" spans="1:191" x14ac:dyDescent="0.15">
      <c r="A49" s="23">
        <v>19</v>
      </c>
      <c r="B49" s="24" t="s">
        <v>131</v>
      </c>
      <c r="C49" s="45" t="s">
        <v>175</v>
      </c>
      <c r="D49" s="26" t="s">
        <v>114</v>
      </c>
      <c r="E49" s="27" t="s">
        <v>13</v>
      </c>
      <c r="F49" s="28">
        <v>42884</v>
      </c>
      <c r="G49" s="28">
        <v>42890</v>
      </c>
      <c r="H49" s="29">
        <f t="shared" si="7"/>
        <v>0</v>
      </c>
      <c r="I49" s="30"/>
      <c r="J49" s="31"/>
      <c r="K49" s="32"/>
      <c r="L49" s="32"/>
      <c r="M49" s="32"/>
      <c r="N49" s="32"/>
      <c r="O49" s="32"/>
      <c r="P49" s="32"/>
      <c r="Q49" s="32"/>
      <c r="R49" s="32"/>
      <c r="S49" s="32"/>
      <c r="T49" s="32"/>
      <c r="U49" s="32"/>
      <c r="V49" s="32"/>
      <c r="W49" s="32"/>
      <c r="X49" s="32"/>
      <c r="Y49" s="32"/>
      <c r="Z49" s="32"/>
      <c r="AA49" s="32"/>
      <c r="AB49" s="32"/>
      <c r="AC49" s="32"/>
      <c r="AD49" s="32"/>
      <c r="AE49" s="32"/>
      <c r="AF49" s="32"/>
      <c r="AG49" s="32"/>
      <c r="AH49" s="32"/>
      <c r="AI49" s="32"/>
      <c r="AJ49" s="32"/>
      <c r="AK49" s="32"/>
      <c r="AL49" s="32"/>
      <c r="AM49" s="32"/>
      <c r="AN49" s="32"/>
      <c r="AO49" s="32"/>
      <c r="AP49" s="33"/>
      <c r="AQ49" s="33"/>
      <c r="AR49" s="33"/>
      <c r="AS49" s="33"/>
      <c r="AT49" s="33"/>
      <c r="AU49" s="33"/>
      <c r="AV49" s="33"/>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33"/>
      <c r="CG49" s="33"/>
      <c r="CH49" s="33"/>
      <c r="CI49" s="33"/>
      <c r="CJ49" s="33"/>
      <c r="CK49" s="33"/>
      <c r="CL49" s="33"/>
      <c r="CM49" s="33"/>
      <c r="CN49" s="33"/>
      <c r="CO49" s="33"/>
      <c r="CP49" s="33"/>
      <c r="CQ49" s="33"/>
      <c r="CR49" s="33"/>
      <c r="CS49" s="33"/>
      <c r="CT49" s="33"/>
      <c r="CU49" s="33"/>
      <c r="CV49" s="33"/>
      <c r="CW49" s="33"/>
      <c r="CX49" s="33"/>
      <c r="CY49" s="33"/>
      <c r="CZ49" s="33"/>
      <c r="DA49" s="33"/>
      <c r="DB49" s="33"/>
      <c r="DC49" s="33"/>
      <c r="DD49" s="33"/>
      <c r="DE49" s="33"/>
      <c r="DF49" s="33"/>
      <c r="DG49" s="33"/>
      <c r="DH49" s="33"/>
      <c r="DI49" s="33"/>
      <c r="DJ49" s="33"/>
      <c r="DK49" s="33"/>
      <c r="DL49" s="33"/>
      <c r="DM49" s="33"/>
      <c r="DN49" s="33"/>
      <c r="DO49" s="33"/>
      <c r="DP49" s="33"/>
      <c r="DQ49" s="33"/>
      <c r="DR49" s="33"/>
      <c r="DS49" s="33"/>
      <c r="DT49" s="33"/>
      <c r="DU49" s="33"/>
      <c r="DV49" s="33"/>
      <c r="DW49" s="33"/>
      <c r="DX49" s="33"/>
      <c r="DY49" s="33"/>
      <c r="DZ49" s="33"/>
      <c r="EA49" s="33"/>
      <c r="EB49" s="33"/>
      <c r="EC49" s="33"/>
      <c r="ED49" s="33"/>
      <c r="EE49" s="33"/>
      <c r="EF49" s="33"/>
      <c r="EG49" s="33"/>
      <c r="EH49" s="33"/>
      <c r="EI49" s="33"/>
      <c r="EJ49" s="33"/>
      <c r="EK49" s="33"/>
      <c r="EL49" s="33"/>
      <c r="EM49" s="33"/>
      <c r="EN49" s="33"/>
      <c r="EO49" s="33"/>
      <c r="EP49" s="33"/>
      <c r="EQ49" s="33"/>
      <c r="ER49" s="33"/>
      <c r="ES49" s="33"/>
      <c r="ET49" s="33"/>
      <c r="EU49" s="33"/>
      <c r="EV49" s="33"/>
      <c r="EW49" s="33"/>
      <c r="EX49" s="33"/>
      <c r="EY49" s="33"/>
      <c r="EZ49" s="33"/>
      <c r="FA49" s="33"/>
      <c r="FB49" s="33"/>
      <c r="FC49" s="33"/>
      <c r="FD49" s="33"/>
      <c r="FE49" s="33"/>
      <c r="FF49" s="33"/>
      <c r="FG49" s="33"/>
      <c r="FH49" s="33"/>
      <c r="FI49" s="33"/>
      <c r="FJ49" s="33"/>
      <c r="FK49" s="33"/>
      <c r="FL49" s="33"/>
      <c r="FM49" s="33"/>
      <c r="FN49" s="33"/>
      <c r="FO49" s="33"/>
      <c r="FP49" s="33"/>
      <c r="FQ49" s="33"/>
      <c r="FR49" s="33"/>
      <c r="FS49" s="33"/>
      <c r="FT49" s="33"/>
      <c r="FU49" s="33"/>
      <c r="FV49" s="33"/>
      <c r="FW49" s="33"/>
      <c r="FX49" s="33"/>
      <c r="FY49" s="33"/>
      <c r="FZ49" s="33"/>
      <c r="GA49" s="33"/>
      <c r="GB49" s="33"/>
      <c r="GC49" s="33"/>
      <c r="GD49" s="33"/>
      <c r="GE49" s="33"/>
      <c r="GF49" s="33"/>
      <c r="GG49" s="33"/>
      <c r="GH49" s="33"/>
      <c r="GI49" s="34"/>
    </row>
    <row r="50" spans="1:191" x14ac:dyDescent="0.15">
      <c r="A50" s="35">
        <f>A49</f>
        <v>19</v>
      </c>
      <c r="B50" s="36" t="str">
        <f>B49</f>
        <v>SD</v>
      </c>
      <c r="C50" s="36" t="str">
        <f>C49</f>
        <v>Webアプリ構造設計書レビュー指摘対応</v>
      </c>
      <c r="D50" s="37" t="str">
        <f>D49</f>
        <v>那須</v>
      </c>
      <c r="E50" s="53" t="s">
        <v>0</v>
      </c>
      <c r="F50" s="54"/>
      <c r="G50" s="54"/>
      <c r="H50" s="55">
        <f t="shared" si="7"/>
        <v>0</v>
      </c>
      <c r="I50" s="56">
        <f>IF(OR(H49="",H50=""),"",H50-H49)</f>
        <v>0</v>
      </c>
      <c r="J50" s="57"/>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c r="AK50" s="58"/>
      <c r="AL50" s="58"/>
      <c r="AM50" s="58"/>
      <c r="AN50" s="58"/>
      <c r="AO50" s="58"/>
      <c r="AP50" s="59"/>
      <c r="AQ50" s="59"/>
      <c r="AR50" s="59"/>
      <c r="AS50" s="59"/>
      <c r="AT50" s="59"/>
      <c r="AU50" s="59"/>
      <c r="AV50" s="59"/>
      <c r="AW50" s="59"/>
      <c r="AX50" s="59"/>
      <c r="AY50" s="59"/>
      <c r="AZ50" s="59"/>
      <c r="BA50" s="59"/>
      <c r="BB50" s="59"/>
      <c r="BC50" s="59"/>
      <c r="BD50" s="59"/>
      <c r="BE50" s="59"/>
      <c r="BF50" s="59"/>
      <c r="BG50" s="59"/>
      <c r="BH50" s="59"/>
      <c r="BI50" s="59"/>
      <c r="BJ50" s="59"/>
      <c r="BK50" s="59"/>
      <c r="BL50" s="59"/>
      <c r="BM50" s="59"/>
      <c r="BN50" s="59"/>
      <c r="BO50" s="59"/>
      <c r="BP50" s="59"/>
      <c r="BQ50" s="59"/>
      <c r="BR50" s="59"/>
      <c r="BS50" s="59"/>
      <c r="BT50" s="59"/>
      <c r="BU50" s="59"/>
      <c r="BV50" s="59"/>
      <c r="BW50" s="59"/>
      <c r="BX50" s="59"/>
      <c r="BY50" s="59"/>
      <c r="BZ50" s="59"/>
      <c r="CA50" s="59"/>
      <c r="CB50" s="59"/>
      <c r="CC50" s="59"/>
      <c r="CD50" s="59"/>
      <c r="CE50" s="59"/>
      <c r="CF50" s="59"/>
      <c r="CG50" s="59"/>
      <c r="CH50" s="59"/>
      <c r="CI50" s="59"/>
      <c r="CJ50" s="59"/>
      <c r="CK50" s="59"/>
      <c r="CL50" s="59"/>
      <c r="CM50" s="59"/>
      <c r="CN50" s="59"/>
      <c r="CO50" s="59"/>
      <c r="CP50" s="59"/>
      <c r="CQ50" s="59"/>
      <c r="CR50" s="59"/>
      <c r="CS50" s="59"/>
      <c r="CT50" s="59"/>
      <c r="CU50" s="59"/>
      <c r="CV50" s="59"/>
      <c r="CW50" s="59"/>
      <c r="CX50" s="59"/>
      <c r="CY50" s="59"/>
      <c r="CZ50" s="59"/>
      <c r="DA50" s="59"/>
      <c r="DB50" s="59"/>
      <c r="DC50" s="59"/>
      <c r="DD50" s="59"/>
      <c r="DE50" s="59"/>
      <c r="DF50" s="59"/>
      <c r="DG50" s="59"/>
      <c r="DH50" s="59"/>
      <c r="DI50" s="59"/>
      <c r="DJ50" s="59"/>
      <c r="DK50" s="59"/>
      <c r="DL50" s="59"/>
      <c r="DM50" s="59"/>
      <c r="DN50" s="59"/>
      <c r="DO50" s="59"/>
      <c r="DP50" s="59"/>
      <c r="DQ50" s="59"/>
      <c r="DR50" s="59"/>
      <c r="DS50" s="59"/>
      <c r="DT50" s="59"/>
      <c r="DU50" s="59"/>
      <c r="DV50" s="59"/>
      <c r="DW50" s="59"/>
      <c r="DX50" s="59"/>
      <c r="DY50" s="59"/>
      <c r="DZ50" s="59"/>
      <c r="EA50" s="59"/>
      <c r="EB50" s="59"/>
      <c r="EC50" s="59"/>
      <c r="ED50" s="59"/>
      <c r="EE50" s="59"/>
      <c r="EF50" s="59"/>
      <c r="EG50" s="59"/>
      <c r="EH50" s="59"/>
      <c r="EI50" s="59"/>
      <c r="EJ50" s="59"/>
      <c r="EK50" s="59"/>
      <c r="EL50" s="59"/>
      <c r="EM50" s="59"/>
      <c r="EN50" s="59"/>
      <c r="EO50" s="59"/>
      <c r="EP50" s="59"/>
      <c r="EQ50" s="59"/>
      <c r="ER50" s="59"/>
      <c r="ES50" s="59"/>
      <c r="ET50" s="59"/>
      <c r="EU50" s="59"/>
      <c r="EV50" s="59"/>
      <c r="EW50" s="59"/>
      <c r="EX50" s="59"/>
      <c r="EY50" s="59"/>
      <c r="EZ50" s="59"/>
      <c r="FA50" s="59"/>
      <c r="FB50" s="59"/>
      <c r="FC50" s="59"/>
      <c r="FD50" s="59"/>
      <c r="FE50" s="59"/>
      <c r="FF50" s="59"/>
      <c r="FG50" s="59"/>
      <c r="FH50" s="59"/>
      <c r="FI50" s="59"/>
      <c r="FJ50" s="59"/>
      <c r="FK50" s="59"/>
      <c r="FL50" s="59"/>
      <c r="FM50" s="59"/>
      <c r="FN50" s="59"/>
      <c r="FO50" s="59"/>
      <c r="FP50" s="59"/>
      <c r="FQ50" s="59"/>
      <c r="FR50" s="59"/>
      <c r="FS50" s="59"/>
      <c r="FT50" s="59"/>
      <c r="FU50" s="59"/>
      <c r="FV50" s="59"/>
      <c r="FW50" s="59"/>
      <c r="FX50" s="59"/>
      <c r="FY50" s="59"/>
      <c r="FZ50" s="59"/>
      <c r="GA50" s="59"/>
      <c r="GB50" s="59"/>
      <c r="GC50" s="59"/>
      <c r="GD50" s="59"/>
      <c r="GE50" s="59"/>
      <c r="GF50" s="59"/>
      <c r="GG50" s="59"/>
      <c r="GH50" s="59"/>
      <c r="GI50" s="60"/>
    </row>
    <row r="51" spans="1:191" x14ac:dyDescent="0.15">
      <c r="A51" s="23">
        <v>20</v>
      </c>
      <c r="B51" s="24" t="s">
        <v>131</v>
      </c>
      <c r="C51" s="45" t="s">
        <v>176</v>
      </c>
      <c r="D51" s="26" t="s">
        <v>115</v>
      </c>
      <c r="E51" s="27" t="s">
        <v>13</v>
      </c>
      <c r="F51" s="28">
        <v>42870</v>
      </c>
      <c r="G51" s="28">
        <v>42882</v>
      </c>
      <c r="H51" s="29">
        <f t="shared" si="7"/>
        <v>0</v>
      </c>
      <c r="I51" s="30"/>
      <c r="J51" s="31"/>
      <c r="K51" s="32"/>
      <c r="L51" s="32"/>
      <c r="M51" s="32"/>
      <c r="N51" s="32"/>
      <c r="O51" s="32"/>
      <c r="P51" s="32"/>
      <c r="Q51" s="32"/>
      <c r="R51" s="32"/>
      <c r="S51" s="32"/>
      <c r="T51" s="32"/>
      <c r="U51" s="32"/>
      <c r="V51" s="32"/>
      <c r="W51" s="32"/>
      <c r="X51" s="32"/>
      <c r="Y51" s="32"/>
      <c r="Z51" s="32"/>
      <c r="AA51" s="32"/>
      <c r="AB51" s="32"/>
      <c r="AC51" s="32"/>
      <c r="AD51" s="32"/>
      <c r="AE51" s="32"/>
      <c r="AF51" s="32"/>
      <c r="AG51" s="32"/>
      <c r="AH51" s="32"/>
      <c r="AI51" s="32"/>
      <c r="AJ51" s="32"/>
      <c r="AK51" s="32"/>
      <c r="AL51" s="32"/>
      <c r="AM51" s="32"/>
      <c r="AN51" s="32"/>
      <c r="AO51" s="32"/>
      <c r="AP51" s="33"/>
      <c r="AQ51" s="33"/>
      <c r="AR51" s="33"/>
      <c r="AS51" s="33"/>
      <c r="AT51" s="33"/>
      <c r="AU51" s="33"/>
      <c r="AV51" s="33"/>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33"/>
      <c r="CG51" s="33"/>
      <c r="CH51" s="33"/>
      <c r="CI51" s="33"/>
      <c r="CJ51" s="33"/>
      <c r="CK51" s="33"/>
      <c r="CL51" s="33"/>
      <c r="CM51" s="33"/>
      <c r="CN51" s="33"/>
      <c r="CO51" s="33"/>
      <c r="CP51" s="33"/>
      <c r="CQ51" s="33"/>
      <c r="CR51" s="33"/>
      <c r="CS51" s="33"/>
      <c r="CT51" s="33"/>
      <c r="CU51" s="33"/>
      <c r="CV51" s="33"/>
      <c r="CW51" s="33"/>
      <c r="CX51" s="33"/>
      <c r="CY51" s="33"/>
      <c r="CZ51" s="33"/>
      <c r="DA51" s="33"/>
      <c r="DB51" s="33"/>
      <c r="DC51" s="33"/>
      <c r="DD51" s="33"/>
      <c r="DE51" s="33"/>
      <c r="DF51" s="33"/>
      <c r="DG51" s="33"/>
      <c r="DH51" s="33"/>
      <c r="DI51" s="33"/>
      <c r="DJ51" s="33"/>
      <c r="DK51" s="33"/>
      <c r="DL51" s="33"/>
      <c r="DM51" s="33"/>
      <c r="DN51" s="33"/>
      <c r="DO51" s="33"/>
      <c r="DP51" s="33"/>
      <c r="DQ51" s="33"/>
      <c r="DR51" s="33"/>
      <c r="DS51" s="33"/>
      <c r="DT51" s="33"/>
      <c r="DU51" s="33"/>
      <c r="DV51" s="33"/>
      <c r="DW51" s="33"/>
      <c r="DX51" s="33"/>
      <c r="DY51" s="33"/>
      <c r="DZ51" s="33"/>
      <c r="EA51" s="33"/>
      <c r="EB51" s="33"/>
      <c r="EC51" s="33"/>
      <c r="ED51" s="33"/>
      <c r="EE51" s="33"/>
      <c r="EF51" s="33"/>
      <c r="EG51" s="33"/>
      <c r="EH51" s="33"/>
      <c r="EI51" s="33"/>
      <c r="EJ51" s="33"/>
      <c r="EK51" s="33"/>
      <c r="EL51" s="33"/>
      <c r="EM51" s="33"/>
      <c r="EN51" s="33"/>
      <c r="EO51" s="33"/>
      <c r="EP51" s="33"/>
      <c r="EQ51" s="33"/>
      <c r="ER51" s="33"/>
      <c r="ES51" s="33"/>
      <c r="ET51" s="33"/>
      <c r="EU51" s="33"/>
      <c r="EV51" s="33"/>
      <c r="EW51" s="33"/>
      <c r="EX51" s="33"/>
      <c r="EY51" s="33"/>
      <c r="EZ51" s="33"/>
      <c r="FA51" s="33"/>
      <c r="FB51" s="33"/>
      <c r="FC51" s="33"/>
      <c r="FD51" s="33"/>
      <c r="FE51" s="33"/>
      <c r="FF51" s="33"/>
      <c r="FG51" s="33"/>
      <c r="FH51" s="33"/>
      <c r="FI51" s="33"/>
      <c r="FJ51" s="33"/>
      <c r="FK51" s="33"/>
      <c r="FL51" s="33"/>
      <c r="FM51" s="33"/>
      <c r="FN51" s="33"/>
      <c r="FO51" s="33"/>
      <c r="FP51" s="33"/>
      <c r="FQ51" s="33"/>
      <c r="FR51" s="33"/>
      <c r="FS51" s="33"/>
      <c r="FT51" s="33"/>
      <c r="FU51" s="33"/>
      <c r="FV51" s="33"/>
      <c r="FW51" s="33"/>
      <c r="FX51" s="33"/>
      <c r="FY51" s="33"/>
      <c r="FZ51" s="33"/>
      <c r="GA51" s="33"/>
      <c r="GB51" s="33"/>
      <c r="GC51" s="33"/>
      <c r="GD51" s="33"/>
      <c r="GE51" s="33"/>
      <c r="GF51" s="33"/>
      <c r="GG51" s="33"/>
      <c r="GH51" s="33"/>
      <c r="GI51" s="34"/>
    </row>
    <row r="52" spans="1:191" x14ac:dyDescent="0.15">
      <c r="A52" s="35">
        <f>A51</f>
        <v>20</v>
      </c>
      <c r="B52" s="36" t="str">
        <f>B51</f>
        <v>SD</v>
      </c>
      <c r="C52" s="36" t="str">
        <f>C51</f>
        <v>監視端末構造設計書作成</v>
      </c>
      <c r="D52" s="37" t="str">
        <f>D51</f>
        <v>若山</v>
      </c>
      <c r="E52" s="53" t="s">
        <v>0</v>
      </c>
      <c r="F52" s="54"/>
      <c r="G52" s="54"/>
      <c r="H52" s="55">
        <f t="shared" si="7"/>
        <v>0</v>
      </c>
      <c r="I52" s="56">
        <f>IF(OR(H51="",H52=""),"",H52-H51)</f>
        <v>0</v>
      </c>
      <c r="J52" s="57"/>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c r="AK52" s="58"/>
      <c r="AL52" s="58"/>
      <c r="AM52" s="58"/>
      <c r="AN52" s="58"/>
      <c r="AO52" s="58"/>
      <c r="AP52" s="59"/>
      <c r="AQ52" s="59"/>
      <c r="AR52" s="59"/>
      <c r="AS52" s="59"/>
      <c r="AT52" s="59"/>
      <c r="AU52" s="59"/>
      <c r="AV52" s="59"/>
      <c r="AW52" s="59"/>
      <c r="AX52" s="59"/>
      <c r="AY52" s="59"/>
      <c r="AZ52" s="59"/>
      <c r="BA52" s="59"/>
      <c r="BB52" s="59"/>
      <c r="BC52" s="59"/>
      <c r="BD52" s="59"/>
      <c r="BE52" s="59"/>
      <c r="BF52" s="59"/>
      <c r="BG52" s="59"/>
      <c r="BH52" s="59"/>
      <c r="BI52" s="59"/>
      <c r="BJ52" s="59"/>
      <c r="BK52" s="59"/>
      <c r="BL52" s="59"/>
      <c r="BM52" s="59"/>
      <c r="BN52" s="59"/>
      <c r="BO52" s="59"/>
      <c r="BP52" s="59"/>
      <c r="BQ52" s="59"/>
      <c r="BR52" s="59"/>
      <c r="BS52" s="59"/>
      <c r="BT52" s="59"/>
      <c r="BU52" s="59"/>
      <c r="BV52" s="59"/>
      <c r="BW52" s="59"/>
      <c r="BX52" s="59"/>
      <c r="BY52" s="59"/>
      <c r="BZ52" s="59"/>
      <c r="CA52" s="59"/>
      <c r="CB52" s="59"/>
      <c r="CC52" s="59"/>
      <c r="CD52" s="59"/>
      <c r="CE52" s="59"/>
      <c r="CF52" s="59"/>
      <c r="CG52" s="59"/>
      <c r="CH52" s="59"/>
      <c r="CI52" s="59"/>
      <c r="CJ52" s="59"/>
      <c r="CK52" s="59"/>
      <c r="CL52" s="59"/>
      <c r="CM52" s="59"/>
      <c r="CN52" s="59"/>
      <c r="CO52" s="59"/>
      <c r="CP52" s="59"/>
      <c r="CQ52" s="59"/>
      <c r="CR52" s="59"/>
      <c r="CS52" s="59"/>
      <c r="CT52" s="59"/>
      <c r="CU52" s="59"/>
      <c r="CV52" s="59"/>
      <c r="CW52" s="59"/>
      <c r="CX52" s="59"/>
      <c r="CY52" s="59"/>
      <c r="CZ52" s="59"/>
      <c r="DA52" s="59"/>
      <c r="DB52" s="59"/>
      <c r="DC52" s="59"/>
      <c r="DD52" s="59"/>
      <c r="DE52" s="59"/>
      <c r="DF52" s="59"/>
      <c r="DG52" s="59"/>
      <c r="DH52" s="59"/>
      <c r="DI52" s="59"/>
      <c r="DJ52" s="59"/>
      <c r="DK52" s="59"/>
      <c r="DL52" s="59"/>
      <c r="DM52" s="59"/>
      <c r="DN52" s="59"/>
      <c r="DO52" s="59"/>
      <c r="DP52" s="59"/>
      <c r="DQ52" s="59"/>
      <c r="DR52" s="59"/>
      <c r="DS52" s="59"/>
      <c r="DT52" s="59"/>
      <c r="DU52" s="59"/>
      <c r="DV52" s="59"/>
      <c r="DW52" s="59"/>
      <c r="DX52" s="59"/>
      <c r="DY52" s="59"/>
      <c r="DZ52" s="59"/>
      <c r="EA52" s="59"/>
      <c r="EB52" s="59"/>
      <c r="EC52" s="59"/>
      <c r="ED52" s="59"/>
      <c r="EE52" s="59"/>
      <c r="EF52" s="59"/>
      <c r="EG52" s="59"/>
      <c r="EH52" s="59"/>
      <c r="EI52" s="59"/>
      <c r="EJ52" s="59"/>
      <c r="EK52" s="59"/>
      <c r="EL52" s="59"/>
      <c r="EM52" s="59"/>
      <c r="EN52" s="59"/>
      <c r="EO52" s="59"/>
      <c r="EP52" s="59"/>
      <c r="EQ52" s="59"/>
      <c r="ER52" s="59"/>
      <c r="ES52" s="59"/>
      <c r="ET52" s="59"/>
      <c r="EU52" s="59"/>
      <c r="EV52" s="59"/>
      <c r="EW52" s="59"/>
      <c r="EX52" s="59"/>
      <c r="EY52" s="59"/>
      <c r="EZ52" s="59"/>
      <c r="FA52" s="59"/>
      <c r="FB52" s="59"/>
      <c r="FC52" s="59"/>
      <c r="FD52" s="59"/>
      <c r="FE52" s="59"/>
      <c r="FF52" s="59"/>
      <c r="FG52" s="59"/>
      <c r="FH52" s="59"/>
      <c r="FI52" s="59"/>
      <c r="FJ52" s="59"/>
      <c r="FK52" s="59"/>
      <c r="FL52" s="59"/>
      <c r="FM52" s="59"/>
      <c r="FN52" s="59"/>
      <c r="FO52" s="59"/>
      <c r="FP52" s="59"/>
      <c r="FQ52" s="59"/>
      <c r="FR52" s="59"/>
      <c r="FS52" s="59"/>
      <c r="FT52" s="59"/>
      <c r="FU52" s="59"/>
      <c r="FV52" s="59"/>
      <c r="FW52" s="59"/>
      <c r="FX52" s="59"/>
      <c r="FY52" s="59"/>
      <c r="FZ52" s="59"/>
      <c r="GA52" s="59"/>
      <c r="GB52" s="59"/>
      <c r="GC52" s="59"/>
      <c r="GD52" s="59"/>
      <c r="GE52" s="59"/>
      <c r="GF52" s="59"/>
      <c r="GG52" s="59"/>
      <c r="GH52" s="59"/>
      <c r="GI52" s="60"/>
    </row>
    <row r="53" spans="1:191" x14ac:dyDescent="0.15">
      <c r="A53" s="23">
        <v>21</v>
      </c>
      <c r="B53" s="24" t="s">
        <v>131</v>
      </c>
      <c r="C53" s="45" t="s">
        <v>177</v>
      </c>
      <c r="D53" s="26" t="s">
        <v>170</v>
      </c>
      <c r="E53" s="27" t="s">
        <v>13</v>
      </c>
      <c r="F53" s="28">
        <v>42882</v>
      </c>
      <c r="G53" s="28">
        <v>42883</v>
      </c>
      <c r="H53" s="29">
        <f t="shared" si="7"/>
        <v>0</v>
      </c>
      <c r="I53" s="30"/>
      <c r="J53" s="31"/>
      <c r="K53" s="32"/>
      <c r="L53" s="32"/>
      <c r="M53" s="32"/>
      <c r="N53" s="32"/>
      <c r="O53" s="32"/>
      <c r="P53" s="32"/>
      <c r="Q53" s="32"/>
      <c r="R53" s="32"/>
      <c r="S53" s="32"/>
      <c r="T53" s="32"/>
      <c r="U53" s="32"/>
      <c r="V53" s="32"/>
      <c r="W53" s="32"/>
      <c r="X53" s="32"/>
      <c r="Y53" s="32"/>
      <c r="Z53" s="32"/>
      <c r="AA53" s="32"/>
      <c r="AB53" s="32"/>
      <c r="AC53" s="32"/>
      <c r="AD53" s="32"/>
      <c r="AE53" s="32"/>
      <c r="AF53" s="32"/>
      <c r="AG53" s="32"/>
      <c r="AH53" s="32"/>
      <c r="AI53" s="32"/>
      <c r="AJ53" s="32"/>
      <c r="AK53" s="32"/>
      <c r="AL53" s="32"/>
      <c r="AM53" s="32"/>
      <c r="AN53" s="32"/>
      <c r="AO53" s="32"/>
      <c r="AP53" s="33"/>
      <c r="AQ53" s="33"/>
      <c r="AR53" s="33"/>
      <c r="AS53" s="33"/>
      <c r="AT53" s="33"/>
      <c r="AU53" s="33"/>
      <c r="AV53" s="33"/>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33"/>
      <c r="CG53" s="33"/>
      <c r="CH53" s="33"/>
      <c r="CI53" s="33"/>
      <c r="CJ53" s="33"/>
      <c r="CK53" s="33"/>
      <c r="CL53" s="33"/>
      <c r="CM53" s="33"/>
      <c r="CN53" s="33"/>
      <c r="CO53" s="33"/>
      <c r="CP53" s="33"/>
      <c r="CQ53" s="33"/>
      <c r="CR53" s="33"/>
      <c r="CS53" s="33"/>
      <c r="CT53" s="33"/>
      <c r="CU53" s="33"/>
      <c r="CV53" s="33"/>
      <c r="CW53" s="33"/>
      <c r="CX53" s="33"/>
      <c r="CY53" s="33"/>
      <c r="CZ53" s="33"/>
      <c r="DA53" s="33"/>
      <c r="DB53" s="33"/>
      <c r="DC53" s="33"/>
      <c r="DD53" s="33"/>
      <c r="DE53" s="33"/>
      <c r="DF53" s="33"/>
      <c r="DG53" s="33"/>
      <c r="DH53" s="33"/>
      <c r="DI53" s="33"/>
      <c r="DJ53" s="33"/>
      <c r="DK53" s="33"/>
      <c r="DL53" s="33"/>
      <c r="DM53" s="33"/>
      <c r="DN53" s="33"/>
      <c r="DO53" s="33"/>
      <c r="DP53" s="33"/>
      <c r="DQ53" s="33"/>
      <c r="DR53" s="33"/>
      <c r="DS53" s="33"/>
      <c r="DT53" s="33"/>
      <c r="DU53" s="33"/>
      <c r="DV53" s="33"/>
      <c r="DW53" s="33"/>
      <c r="DX53" s="33"/>
      <c r="DY53" s="33"/>
      <c r="DZ53" s="33"/>
      <c r="EA53" s="33"/>
      <c r="EB53" s="33"/>
      <c r="EC53" s="33"/>
      <c r="ED53" s="33"/>
      <c r="EE53" s="33"/>
      <c r="EF53" s="33"/>
      <c r="EG53" s="33"/>
      <c r="EH53" s="33"/>
      <c r="EI53" s="33"/>
      <c r="EJ53" s="33"/>
      <c r="EK53" s="33"/>
      <c r="EL53" s="33"/>
      <c r="EM53" s="33"/>
      <c r="EN53" s="33"/>
      <c r="EO53" s="33"/>
      <c r="EP53" s="33"/>
      <c r="EQ53" s="33"/>
      <c r="ER53" s="33"/>
      <c r="ES53" s="33"/>
      <c r="ET53" s="33"/>
      <c r="EU53" s="33"/>
      <c r="EV53" s="33"/>
      <c r="EW53" s="33"/>
      <c r="EX53" s="33"/>
      <c r="EY53" s="33"/>
      <c r="EZ53" s="33"/>
      <c r="FA53" s="33"/>
      <c r="FB53" s="33"/>
      <c r="FC53" s="33"/>
      <c r="FD53" s="33"/>
      <c r="FE53" s="33"/>
      <c r="FF53" s="33"/>
      <c r="FG53" s="33"/>
      <c r="FH53" s="33"/>
      <c r="FI53" s="33"/>
      <c r="FJ53" s="33"/>
      <c r="FK53" s="33"/>
      <c r="FL53" s="33"/>
      <c r="FM53" s="33"/>
      <c r="FN53" s="33"/>
      <c r="FO53" s="33"/>
      <c r="FP53" s="33"/>
      <c r="FQ53" s="33"/>
      <c r="FR53" s="33"/>
      <c r="FS53" s="33"/>
      <c r="FT53" s="33"/>
      <c r="FU53" s="33"/>
      <c r="FV53" s="33"/>
      <c r="FW53" s="33"/>
      <c r="FX53" s="33"/>
      <c r="FY53" s="33"/>
      <c r="FZ53" s="33"/>
      <c r="GA53" s="33"/>
      <c r="GB53" s="33"/>
      <c r="GC53" s="33"/>
      <c r="GD53" s="33"/>
      <c r="GE53" s="33"/>
      <c r="GF53" s="33"/>
      <c r="GG53" s="33"/>
      <c r="GH53" s="33"/>
      <c r="GI53" s="34"/>
    </row>
    <row r="54" spans="1:191" x14ac:dyDescent="0.15">
      <c r="A54" s="35">
        <f>A53</f>
        <v>21</v>
      </c>
      <c r="B54" s="36" t="str">
        <f>B53</f>
        <v>SD</v>
      </c>
      <c r="C54" s="36" t="str">
        <f>C53</f>
        <v>監視端末構造設計書レビュー</v>
      </c>
      <c r="D54" s="37" t="str">
        <f>D53</f>
        <v>伊藤</v>
      </c>
      <c r="E54" s="53" t="s">
        <v>0</v>
      </c>
      <c r="F54" s="54"/>
      <c r="G54" s="54"/>
      <c r="H54" s="55">
        <f t="shared" si="7"/>
        <v>0</v>
      </c>
      <c r="I54" s="56">
        <f>IF(OR(H53="",H54=""),"",H54-H53)</f>
        <v>0</v>
      </c>
      <c r="J54" s="57"/>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c r="AK54" s="58"/>
      <c r="AL54" s="58"/>
      <c r="AM54" s="58"/>
      <c r="AN54" s="58"/>
      <c r="AO54" s="58"/>
      <c r="AP54" s="59"/>
      <c r="AQ54" s="59"/>
      <c r="AR54" s="59"/>
      <c r="AS54" s="59"/>
      <c r="AT54" s="59"/>
      <c r="AU54" s="59"/>
      <c r="AV54" s="59"/>
      <c r="AW54" s="59"/>
      <c r="AX54" s="59"/>
      <c r="AY54" s="59"/>
      <c r="AZ54" s="59"/>
      <c r="BA54" s="59"/>
      <c r="BB54" s="59"/>
      <c r="BC54" s="59"/>
      <c r="BD54" s="59"/>
      <c r="BE54" s="59"/>
      <c r="BF54" s="59"/>
      <c r="BG54" s="59"/>
      <c r="BH54" s="59"/>
      <c r="BI54" s="59"/>
      <c r="BJ54" s="59"/>
      <c r="BK54" s="59"/>
      <c r="BL54" s="59"/>
      <c r="BM54" s="59"/>
      <c r="BN54" s="59"/>
      <c r="BO54" s="59"/>
      <c r="BP54" s="59"/>
      <c r="BQ54" s="59"/>
      <c r="BR54" s="59"/>
      <c r="BS54" s="59"/>
      <c r="BT54" s="59"/>
      <c r="BU54" s="59"/>
      <c r="BV54" s="59"/>
      <c r="BW54" s="59"/>
      <c r="BX54" s="59"/>
      <c r="BY54" s="59"/>
      <c r="BZ54" s="59"/>
      <c r="CA54" s="59"/>
      <c r="CB54" s="59"/>
      <c r="CC54" s="59"/>
      <c r="CD54" s="59"/>
      <c r="CE54" s="59"/>
      <c r="CF54" s="59"/>
      <c r="CG54" s="59"/>
      <c r="CH54" s="59"/>
      <c r="CI54" s="59"/>
      <c r="CJ54" s="59"/>
      <c r="CK54" s="59"/>
      <c r="CL54" s="59"/>
      <c r="CM54" s="59"/>
      <c r="CN54" s="59"/>
      <c r="CO54" s="59"/>
      <c r="CP54" s="59"/>
      <c r="CQ54" s="59"/>
      <c r="CR54" s="59"/>
      <c r="CS54" s="59"/>
      <c r="CT54" s="59"/>
      <c r="CU54" s="59"/>
      <c r="CV54" s="59"/>
      <c r="CW54" s="59"/>
      <c r="CX54" s="59"/>
      <c r="CY54" s="59"/>
      <c r="CZ54" s="59"/>
      <c r="DA54" s="59"/>
      <c r="DB54" s="59"/>
      <c r="DC54" s="59"/>
      <c r="DD54" s="59"/>
      <c r="DE54" s="59"/>
      <c r="DF54" s="59"/>
      <c r="DG54" s="59"/>
      <c r="DH54" s="59"/>
      <c r="DI54" s="59"/>
      <c r="DJ54" s="59"/>
      <c r="DK54" s="59"/>
      <c r="DL54" s="59"/>
      <c r="DM54" s="59"/>
      <c r="DN54" s="59"/>
      <c r="DO54" s="59"/>
      <c r="DP54" s="59"/>
      <c r="DQ54" s="59"/>
      <c r="DR54" s="59"/>
      <c r="DS54" s="59"/>
      <c r="DT54" s="59"/>
      <c r="DU54" s="59"/>
      <c r="DV54" s="59"/>
      <c r="DW54" s="59"/>
      <c r="DX54" s="59"/>
      <c r="DY54" s="59"/>
      <c r="DZ54" s="59"/>
      <c r="EA54" s="59"/>
      <c r="EB54" s="59"/>
      <c r="EC54" s="59"/>
      <c r="ED54" s="59"/>
      <c r="EE54" s="59"/>
      <c r="EF54" s="59"/>
      <c r="EG54" s="59"/>
      <c r="EH54" s="59"/>
      <c r="EI54" s="59"/>
      <c r="EJ54" s="59"/>
      <c r="EK54" s="59"/>
      <c r="EL54" s="59"/>
      <c r="EM54" s="59"/>
      <c r="EN54" s="59"/>
      <c r="EO54" s="59"/>
      <c r="EP54" s="59"/>
      <c r="EQ54" s="59"/>
      <c r="ER54" s="59"/>
      <c r="ES54" s="59"/>
      <c r="ET54" s="59"/>
      <c r="EU54" s="59"/>
      <c r="EV54" s="59"/>
      <c r="EW54" s="59"/>
      <c r="EX54" s="59"/>
      <c r="EY54" s="59"/>
      <c r="EZ54" s="59"/>
      <c r="FA54" s="59"/>
      <c r="FB54" s="59"/>
      <c r="FC54" s="59"/>
      <c r="FD54" s="59"/>
      <c r="FE54" s="59"/>
      <c r="FF54" s="59"/>
      <c r="FG54" s="59"/>
      <c r="FH54" s="59"/>
      <c r="FI54" s="59"/>
      <c r="FJ54" s="59"/>
      <c r="FK54" s="59"/>
      <c r="FL54" s="59"/>
      <c r="FM54" s="59"/>
      <c r="FN54" s="59"/>
      <c r="FO54" s="59"/>
      <c r="FP54" s="59"/>
      <c r="FQ54" s="59"/>
      <c r="FR54" s="59"/>
      <c r="FS54" s="59"/>
      <c r="FT54" s="59"/>
      <c r="FU54" s="59"/>
      <c r="FV54" s="59"/>
      <c r="FW54" s="59"/>
      <c r="FX54" s="59"/>
      <c r="FY54" s="59"/>
      <c r="FZ54" s="59"/>
      <c r="GA54" s="59"/>
      <c r="GB54" s="59"/>
      <c r="GC54" s="59"/>
      <c r="GD54" s="59"/>
      <c r="GE54" s="59"/>
      <c r="GF54" s="59"/>
      <c r="GG54" s="59"/>
      <c r="GH54" s="59"/>
      <c r="GI54" s="60"/>
    </row>
    <row r="55" spans="1:191" x14ac:dyDescent="0.15">
      <c r="A55" s="23">
        <v>22</v>
      </c>
      <c r="B55" s="24" t="s">
        <v>131</v>
      </c>
      <c r="C55" s="45" t="s">
        <v>178</v>
      </c>
      <c r="D55" s="26" t="s">
        <v>115</v>
      </c>
      <c r="E55" s="27" t="s">
        <v>13</v>
      </c>
      <c r="F55" s="28">
        <v>42884</v>
      </c>
      <c r="G55" s="28">
        <v>42890</v>
      </c>
      <c r="H55" s="29">
        <f t="shared" si="7"/>
        <v>0</v>
      </c>
      <c r="I55" s="30"/>
      <c r="J55" s="31"/>
      <c r="K55" s="32"/>
      <c r="L55" s="32"/>
      <c r="M55" s="32"/>
      <c r="N55" s="32"/>
      <c r="O55" s="32"/>
      <c r="P55" s="32"/>
      <c r="Q55" s="32"/>
      <c r="R55" s="32"/>
      <c r="S55" s="32"/>
      <c r="T55" s="32"/>
      <c r="U55" s="32"/>
      <c r="V55" s="32"/>
      <c r="W55" s="32"/>
      <c r="X55" s="32"/>
      <c r="Y55" s="32"/>
      <c r="Z55" s="32"/>
      <c r="AA55" s="32"/>
      <c r="AB55" s="32"/>
      <c r="AC55" s="32"/>
      <c r="AD55" s="32"/>
      <c r="AE55" s="32"/>
      <c r="AF55" s="32"/>
      <c r="AG55" s="32"/>
      <c r="AH55" s="32"/>
      <c r="AI55" s="32"/>
      <c r="AJ55" s="32"/>
      <c r="AK55" s="32"/>
      <c r="AL55" s="32"/>
      <c r="AM55" s="32"/>
      <c r="AN55" s="32"/>
      <c r="AO55" s="32"/>
      <c r="AP55" s="33"/>
      <c r="AQ55" s="33"/>
      <c r="AR55" s="33"/>
      <c r="AS55" s="33"/>
      <c r="AT55" s="33"/>
      <c r="AU55" s="33"/>
      <c r="AV55" s="33"/>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33"/>
      <c r="CG55" s="33"/>
      <c r="CH55" s="33"/>
      <c r="CI55" s="33"/>
      <c r="CJ55" s="33"/>
      <c r="CK55" s="33"/>
      <c r="CL55" s="33"/>
      <c r="CM55" s="33"/>
      <c r="CN55" s="33"/>
      <c r="CO55" s="33"/>
      <c r="CP55" s="33"/>
      <c r="CQ55" s="33"/>
      <c r="CR55" s="33"/>
      <c r="CS55" s="33"/>
      <c r="CT55" s="33"/>
      <c r="CU55" s="33"/>
      <c r="CV55" s="33"/>
      <c r="CW55" s="33"/>
      <c r="CX55" s="33"/>
      <c r="CY55" s="33"/>
      <c r="CZ55" s="33"/>
      <c r="DA55" s="33"/>
      <c r="DB55" s="33"/>
      <c r="DC55" s="33"/>
      <c r="DD55" s="33"/>
      <c r="DE55" s="33"/>
      <c r="DF55" s="33"/>
      <c r="DG55" s="33"/>
      <c r="DH55" s="33"/>
      <c r="DI55" s="33"/>
      <c r="DJ55" s="33"/>
      <c r="DK55" s="33"/>
      <c r="DL55" s="33"/>
      <c r="DM55" s="33"/>
      <c r="DN55" s="33"/>
      <c r="DO55" s="33"/>
      <c r="DP55" s="33"/>
      <c r="DQ55" s="33"/>
      <c r="DR55" s="33"/>
      <c r="DS55" s="33"/>
      <c r="DT55" s="33"/>
      <c r="DU55" s="33"/>
      <c r="DV55" s="33"/>
      <c r="DW55" s="33"/>
      <c r="DX55" s="33"/>
      <c r="DY55" s="33"/>
      <c r="DZ55" s="33"/>
      <c r="EA55" s="33"/>
      <c r="EB55" s="33"/>
      <c r="EC55" s="33"/>
      <c r="ED55" s="33"/>
      <c r="EE55" s="33"/>
      <c r="EF55" s="33"/>
      <c r="EG55" s="33"/>
      <c r="EH55" s="33"/>
      <c r="EI55" s="33"/>
      <c r="EJ55" s="33"/>
      <c r="EK55" s="33"/>
      <c r="EL55" s="33"/>
      <c r="EM55" s="33"/>
      <c r="EN55" s="33"/>
      <c r="EO55" s="33"/>
      <c r="EP55" s="33"/>
      <c r="EQ55" s="33"/>
      <c r="ER55" s="33"/>
      <c r="ES55" s="33"/>
      <c r="ET55" s="33"/>
      <c r="EU55" s="33"/>
      <c r="EV55" s="33"/>
      <c r="EW55" s="33"/>
      <c r="EX55" s="33"/>
      <c r="EY55" s="33"/>
      <c r="EZ55" s="33"/>
      <c r="FA55" s="33"/>
      <c r="FB55" s="33"/>
      <c r="FC55" s="33"/>
      <c r="FD55" s="33"/>
      <c r="FE55" s="33"/>
      <c r="FF55" s="33"/>
      <c r="FG55" s="33"/>
      <c r="FH55" s="33"/>
      <c r="FI55" s="33"/>
      <c r="FJ55" s="33"/>
      <c r="FK55" s="33"/>
      <c r="FL55" s="33"/>
      <c r="FM55" s="33"/>
      <c r="FN55" s="33"/>
      <c r="FO55" s="33"/>
      <c r="FP55" s="33"/>
      <c r="FQ55" s="33"/>
      <c r="FR55" s="33"/>
      <c r="FS55" s="33"/>
      <c r="FT55" s="33"/>
      <c r="FU55" s="33"/>
      <c r="FV55" s="33"/>
      <c r="FW55" s="33"/>
      <c r="FX55" s="33"/>
      <c r="FY55" s="33"/>
      <c r="FZ55" s="33"/>
      <c r="GA55" s="33"/>
      <c r="GB55" s="33"/>
      <c r="GC55" s="33"/>
      <c r="GD55" s="33"/>
      <c r="GE55" s="33"/>
      <c r="GF55" s="33"/>
      <c r="GG55" s="33"/>
      <c r="GH55" s="33"/>
      <c r="GI55" s="34"/>
    </row>
    <row r="56" spans="1:191" x14ac:dyDescent="0.15">
      <c r="A56" s="35">
        <f>A55</f>
        <v>22</v>
      </c>
      <c r="B56" s="36" t="str">
        <f>B55</f>
        <v>SD</v>
      </c>
      <c r="C56" s="36" t="str">
        <f>C55</f>
        <v>監視端末構造設計書レビュー指摘対応</v>
      </c>
      <c r="D56" s="37" t="str">
        <f>D55</f>
        <v>若山</v>
      </c>
      <c r="E56" s="53" t="s">
        <v>0</v>
      </c>
      <c r="F56" s="54"/>
      <c r="G56" s="54"/>
      <c r="H56" s="55">
        <f t="shared" si="7"/>
        <v>0</v>
      </c>
      <c r="I56" s="56">
        <f>IF(OR(H55="",H56=""),"",H56-H55)</f>
        <v>0</v>
      </c>
      <c r="J56" s="57"/>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c r="AK56" s="58"/>
      <c r="AL56" s="58"/>
      <c r="AM56" s="58"/>
      <c r="AN56" s="58"/>
      <c r="AO56" s="58"/>
      <c r="AP56" s="59"/>
      <c r="AQ56" s="59"/>
      <c r="AR56" s="59"/>
      <c r="AS56" s="59"/>
      <c r="AT56" s="59"/>
      <c r="AU56" s="59"/>
      <c r="AV56" s="59"/>
      <c r="AW56" s="59"/>
      <c r="AX56" s="59"/>
      <c r="AY56" s="59"/>
      <c r="AZ56" s="59"/>
      <c r="BA56" s="59"/>
      <c r="BB56" s="59"/>
      <c r="BC56" s="59"/>
      <c r="BD56" s="59"/>
      <c r="BE56" s="59"/>
      <c r="BF56" s="59"/>
      <c r="BG56" s="59"/>
      <c r="BH56" s="59"/>
      <c r="BI56" s="59"/>
      <c r="BJ56" s="59"/>
      <c r="BK56" s="59"/>
      <c r="BL56" s="59"/>
      <c r="BM56" s="59"/>
      <c r="BN56" s="59"/>
      <c r="BO56" s="59"/>
      <c r="BP56" s="59"/>
      <c r="BQ56" s="59"/>
      <c r="BR56" s="59"/>
      <c r="BS56" s="59"/>
      <c r="BT56" s="59"/>
      <c r="BU56" s="59"/>
      <c r="BV56" s="59"/>
      <c r="BW56" s="59"/>
      <c r="BX56" s="59"/>
      <c r="BY56" s="59"/>
      <c r="BZ56" s="59"/>
      <c r="CA56" s="59"/>
      <c r="CB56" s="59"/>
      <c r="CC56" s="59"/>
      <c r="CD56" s="59"/>
      <c r="CE56" s="59"/>
      <c r="CF56" s="59"/>
      <c r="CG56" s="59"/>
      <c r="CH56" s="59"/>
      <c r="CI56" s="59"/>
      <c r="CJ56" s="59"/>
      <c r="CK56" s="59"/>
      <c r="CL56" s="59"/>
      <c r="CM56" s="59"/>
      <c r="CN56" s="59"/>
      <c r="CO56" s="59"/>
      <c r="CP56" s="59"/>
      <c r="CQ56" s="59"/>
      <c r="CR56" s="59"/>
      <c r="CS56" s="59"/>
      <c r="CT56" s="59"/>
      <c r="CU56" s="59"/>
      <c r="CV56" s="59"/>
      <c r="CW56" s="59"/>
      <c r="CX56" s="59"/>
      <c r="CY56" s="59"/>
      <c r="CZ56" s="59"/>
      <c r="DA56" s="59"/>
      <c r="DB56" s="59"/>
      <c r="DC56" s="59"/>
      <c r="DD56" s="59"/>
      <c r="DE56" s="59"/>
      <c r="DF56" s="59"/>
      <c r="DG56" s="59"/>
      <c r="DH56" s="59"/>
      <c r="DI56" s="59"/>
      <c r="DJ56" s="59"/>
      <c r="DK56" s="59"/>
      <c r="DL56" s="59"/>
      <c r="DM56" s="59"/>
      <c r="DN56" s="59"/>
      <c r="DO56" s="59"/>
      <c r="DP56" s="59"/>
      <c r="DQ56" s="59"/>
      <c r="DR56" s="59"/>
      <c r="DS56" s="59"/>
      <c r="DT56" s="59"/>
      <c r="DU56" s="59"/>
      <c r="DV56" s="59"/>
      <c r="DW56" s="59"/>
      <c r="DX56" s="59"/>
      <c r="DY56" s="59"/>
      <c r="DZ56" s="59"/>
      <c r="EA56" s="59"/>
      <c r="EB56" s="59"/>
      <c r="EC56" s="59"/>
      <c r="ED56" s="59"/>
      <c r="EE56" s="59"/>
      <c r="EF56" s="59"/>
      <c r="EG56" s="59"/>
      <c r="EH56" s="59"/>
      <c r="EI56" s="59"/>
      <c r="EJ56" s="59"/>
      <c r="EK56" s="59"/>
      <c r="EL56" s="59"/>
      <c r="EM56" s="59"/>
      <c r="EN56" s="59"/>
      <c r="EO56" s="59"/>
      <c r="EP56" s="59"/>
      <c r="EQ56" s="59"/>
      <c r="ER56" s="59"/>
      <c r="ES56" s="59"/>
      <c r="ET56" s="59"/>
      <c r="EU56" s="59"/>
      <c r="EV56" s="59"/>
      <c r="EW56" s="59"/>
      <c r="EX56" s="59"/>
      <c r="EY56" s="59"/>
      <c r="EZ56" s="59"/>
      <c r="FA56" s="59"/>
      <c r="FB56" s="59"/>
      <c r="FC56" s="59"/>
      <c r="FD56" s="59"/>
      <c r="FE56" s="59"/>
      <c r="FF56" s="59"/>
      <c r="FG56" s="59"/>
      <c r="FH56" s="59"/>
      <c r="FI56" s="59"/>
      <c r="FJ56" s="59"/>
      <c r="FK56" s="59"/>
      <c r="FL56" s="59"/>
      <c r="FM56" s="59"/>
      <c r="FN56" s="59"/>
      <c r="FO56" s="59"/>
      <c r="FP56" s="59"/>
      <c r="FQ56" s="59"/>
      <c r="FR56" s="59"/>
      <c r="FS56" s="59"/>
      <c r="FT56" s="59"/>
      <c r="FU56" s="59"/>
      <c r="FV56" s="59"/>
      <c r="FW56" s="59"/>
      <c r="FX56" s="59"/>
      <c r="FY56" s="59"/>
      <c r="FZ56" s="59"/>
      <c r="GA56" s="59"/>
      <c r="GB56" s="59"/>
      <c r="GC56" s="59"/>
      <c r="GD56" s="59"/>
      <c r="GE56" s="59"/>
      <c r="GF56" s="59"/>
      <c r="GG56" s="59"/>
      <c r="GH56" s="59"/>
      <c r="GI56" s="60"/>
    </row>
    <row r="57" spans="1:191" x14ac:dyDescent="0.15">
      <c r="A57" s="23">
        <v>23</v>
      </c>
      <c r="B57" s="24" t="s">
        <v>131</v>
      </c>
      <c r="C57" s="45" t="s">
        <v>134</v>
      </c>
      <c r="D57" s="26" t="s">
        <v>171</v>
      </c>
      <c r="E57" s="27" t="s">
        <v>13</v>
      </c>
      <c r="F57" s="28">
        <v>42870</v>
      </c>
      <c r="G57" s="28">
        <v>42882</v>
      </c>
      <c r="H57" s="29">
        <f t="shared" si="7"/>
        <v>0</v>
      </c>
      <c r="I57" s="30"/>
      <c r="J57" s="31"/>
      <c r="K57" s="32"/>
      <c r="L57" s="32"/>
      <c r="M57" s="32"/>
      <c r="N57" s="32"/>
      <c r="O57" s="32"/>
      <c r="P57" s="32"/>
      <c r="Q57" s="32"/>
      <c r="R57" s="32"/>
      <c r="S57" s="32"/>
      <c r="T57" s="32"/>
      <c r="U57" s="32"/>
      <c r="V57" s="32"/>
      <c r="W57" s="32"/>
      <c r="X57" s="32"/>
      <c r="Y57" s="32"/>
      <c r="Z57" s="32"/>
      <c r="AA57" s="32"/>
      <c r="AB57" s="32"/>
      <c r="AC57" s="32"/>
      <c r="AD57" s="32"/>
      <c r="AE57" s="32"/>
      <c r="AF57" s="32"/>
      <c r="AG57" s="32"/>
      <c r="AH57" s="32"/>
      <c r="AI57" s="32"/>
      <c r="AJ57" s="32"/>
      <c r="AK57" s="32"/>
      <c r="AL57" s="32"/>
      <c r="AM57" s="32"/>
      <c r="AN57" s="32"/>
      <c r="AO57" s="32"/>
      <c r="AP57" s="33"/>
      <c r="AQ57" s="33"/>
      <c r="AR57" s="33"/>
      <c r="AS57" s="33"/>
      <c r="AT57" s="33"/>
      <c r="AU57" s="33"/>
      <c r="AV57" s="33"/>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33"/>
      <c r="CG57" s="33"/>
      <c r="CH57" s="33"/>
      <c r="CI57" s="33"/>
      <c r="CJ57" s="33"/>
      <c r="CK57" s="33"/>
      <c r="CL57" s="33"/>
      <c r="CM57" s="33"/>
      <c r="CN57" s="33"/>
      <c r="CO57" s="33"/>
      <c r="CP57" s="33"/>
      <c r="CQ57" s="33"/>
      <c r="CR57" s="33"/>
      <c r="CS57" s="33"/>
      <c r="CT57" s="33"/>
      <c r="CU57" s="33"/>
      <c r="CV57" s="33"/>
      <c r="CW57" s="33"/>
      <c r="CX57" s="33"/>
      <c r="CY57" s="33"/>
      <c r="CZ57" s="33"/>
      <c r="DA57" s="33"/>
      <c r="DB57" s="33"/>
      <c r="DC57" s="33"/>
      <c r="DD57" s="33"/>
      <c r="DE57" s="33"/>
      <c r="DF57" s="33"/>
      <c r="DG57" s="33"/>
      <c r="DH57" s="33"/>
      <c r="DI57" s="33"/>
      <c r="DJ57" s="33"/>
      <c r="DK57" s="33"/>
      <c r="DL57" s="33"/>
      <c r="DM57" s="33"/>
      <c r="DN57" s="33"/>
      <c r="DO57" s="33"/>
      <c r="DP57" s="33"/>
      <c r="DQ57" s="33"/>
      <c r="DR57" s="33"/>
      <c r="DS57" s="33"/>
      <c r="DT57" s="33"/>
      <c r="DU57" s="33"/>
      <c r="DV57" s="33"/>
      <c r="DW57" s="33"/>
      <c r="DX57" s="33"/>
      <c r="DY57" s="33"/>
      <c r="DZ57" s="33"/>
      <c r="EA57" s="33"/>
      <c r="EB57" s="33"/>
      <c r="EC57" s="33"/>
      <c r="ED57" s="33"/>
      <c r="EE57" s="33"/>
      <c r="EF57" s="33"/>
      <c r="EG57" s="33"/>
      <c r="EH57" s="33"/>
      <c r="EI57" s="33"/>
      <c r="EJ57" s="33"/>
      <c r="EK57" s="33"/>
      <c r="EL57" s="33"/>
      <c r="EM57" s="33"/>
      <c r="EN57" s="33"/>
      <c r="EO57" s="33"/>
      <c r="EP57" s="33"/>
      <c r="EQ57" s="33"/>
      <c r="ER57" s="33"/>
      <c r="ES57" s="33"/>
      <c r="ET57" s="33"/>
      <c r="EU57" s="33"/>
      <c r="EV57" s="33"/>
      <c r="EW57" s="33"/>
      <c r="EX57" s="33"/>
      <c r="EY57" s="33"/>
      <c r="EZ57" s="33"/>
      <c r="FA57" s="33"/>
      <c r="FB57" s="33"/>
      <c r="FC57" s="33"/>
      <c r="FD57" s="33"/>
      <c r="FE57" s="33"/>
      <c r="FF57" s="33"/>
      <c r="FG57" s="33"/>
      <c r="FH57" s="33"/>
      <c r="FI57" s="33"/>
      <c r="FJ57" s="33"/>
      <c r="FK57" s="33"/>
      <c r="FL57" s="33"/>
      <c r="FM57" s="33"/>
      <c r="FN57" s="33"/>
      <c r="FO57" s="33"/>
      <c r="FP57" s="33"/>
      <c r="FQ57" s="33"/>
      <c r="FR57" s="33"/>
      <c r="FS57" s="33"/>
      <c r="FT57" s="33"/>
      <c r="FU57" s="33"/>
      <c r="FV57" s="33"/>
      <c r="FW57" s="33"/>
      <c r="FX57" s="33"/>
      <c r="FY57" s="33"/>
      <c r="FZ57" s="33"/>
      <c r="GA57" s="33"/>
      <c r="GB57" s="33"/>
      <c r="GC57" s="33"/>
      <c r="GD57" s="33"/>
      <c r="GE57" s="33"/>
      <c r="GF57" s="33"/>
      <c r="GG57" s="33"/>
      <c r="GH57" s="33"/>
      <c r="GI57" s="34"/>
    </row>
    <row r="58" spans="1:191" x14ac:dyDescent="0.15">
      <c r="A58" s="35">
        <f>A57</f>
        <v>23</v>
      </c>
      <c r="B58" s="36" t="str">
        <f>B57</f>
        <v>SD</v>
      </c>
      <c r="C58" s="36" t="str">
        <f>C57</f>
        <v>Webアプリ構造評価仕様書作成</v>
      </c>
      <c r="D58" s="37" t="str">
        <f>D57</f>
        <v>高澤</v>
      </c>
      <c r="E58" s="53" t="s">
        <v>0</v>
      </c>
      <c r="F58" s="54"/>
      <c r="G58" s="54"/>
      <c r="H58" s="55">
        <f t="shared" si="7"/>
        <v>0</v>
      </c>
      <c r="I58" s="56">
        <f>IF(OR(H57="",H58=""),"",H58-H57)</f>
        <v>0</v>
      </c>
      <c r="J58" s="57"/>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9"/>
      <c r="AQ58" s="59"/>
      <c r="AR58" s="59"/>
      <c r="AS58" s="59"/>
      <c r="AT58" s="59"/>
      <c r="AU58" s="59"/>
      <c r="AV58" s="59"/>
      <c r="AW58" s="59"/>
      <c r="AX58" s="59"/>
      <c r="AY58" s="59"/>
      <c r="AZ58" s="59"/>
      <c r="BA58" s="59"/>
      <c r="BB58" s="59"/>
      <c r="BC58" s="59"/>
      <c r="BD58" s="59"/>
      <c r="BE58" s="59"/>
      <c r="BF58" s="59"/>
      <c r="BG58" s="59"/>
      <c r="BH58" s="59"/>
      <c r="BI58" s="59"/>
      <c r="BJ58" s="59"/>
      <c r="BK58" s="59"/>
      <c r="BL58" s="59"/>
      <c r="BM58" s="59"/>
      <c r="BN58" s="59"/>
      <c r="BO58" s="59"/>
      <c r="BP58" s="59"/>
      <c r="BQ58" s="59"/>
      <c r="BR58" s="59"/>
      <c r="BS58" s="59"/>
      <c r="BT58" s="59"/>
      <c r="BU58" s="59"/>
      <c r="BV58" s="59"/>
      <c r="BW58" s="59"/>
      <c r="BX58" s="59"/>
      <c r="BY58" s="59"/>
      <c r="BZ58" s="59"/>
      <c r="CA58" s="59"/>
      <c r="CB58" s="59"/>
      <c r="CC58" s="59"/>
      <c r="CD58" s="59"/>
      <c r="CE58" s="59"/>
      <c r="CF58" s="59"/>
      <c r="CG58" s="59"/>
      <c r="CH58" s="59"/>
      <c r="CI58" s="59"/>
      <c r="CJ58" s="59"/>
      <c r="CK58" s="59"/>
      <c r="CL58" s="59"/>
      <c r="CM58" s="59"/>
      <c r="CN58" s="59"/>
      <c r="CO58" s="59"/>
      <c r="CP58" s="59"/>
      <c r="CQ58" s="59"/>
      <c r="CR58" s="59"/>
      <c r="CS58" s="59"/>
      <c r="CT58" s="59"/>
      <c r="CU58" s="59"/>
      <c r="CV58" s="59"/>
      <c r="CW58" s="59"/>
      <c r="CX58" s="59"/>
      <c r="CY58" s="59"/>
      <c r="CZ58" s="59"/>
      <c r="DA58" s="59"/>
      <c r="DB58" s="59"/>
      <c r="DC58" s="59"/>
      <c r="DD58" s="59"/>
      <c r="DE58" s="59"/>
      <c r="DF58" s="59"/>
      <c r="DG58" s="59"/>
      <c r="DH58" s="59"/>
      <c r="DI58" s="59"/>
      <c r="DJ58" s="59"/>
      <c r="DK58" s="59"/>
      <c r="DL58" s="59"/>
      <c r="DM58" s="59"/>
      <c r="DN58" s="59"/>
      <c r="DO58" s="59"/>
      <c r="DP58" s="59"/>
      <c r="DQ58" s="59"/>
      <c r="DR58" s="59"/>
      <c r="DS58" s="59"/>
      <c r="DT58" s="59"/>
      <c r="DU58" s="59"/>
      <c r="DV58" s="59"/>
      <c r="DW58" s="59"/>
      <c r="DX58" s="59"/>
      <c r="DY58" s="59"/>
      <c r="DZ58" s="59"/>
      <c r="EA58" s="59"/>
      <c r="EB58" s="59"/>
      <c r="EC58" s="59"/>
      <c r="ED58" s="59"/>
      <c r="EE58" s="59"/>
      <c r="EF58" s="59"/>
      <c r="EG58" s="59"/>
      <c r="EH58" s="59"/>
      <c r="EI58" s="59"/>
      <c r="EJ58" s="59"/>
      <c r="EK58" s="59"/>
      <c r="EL58" s="59"/>
      <c r="EM58" s="59"/>
      <c r="EN58" s="59"/>
      <c r="EO58" s="59"/>
      <c r="EP58" s="59"/>
      <c r="EQ58" s="59"/>
      <c r="ER58" s="59"/>
      <c r="ES58" s="59"/>
      <c r="ET58" s="59"/>
      <c r="EU58" s="59"/>
      <c r="EV58" s="59"/>
      <c r="EW58" s="59"/>
      <c r="EX58" s="59"/>
      <c r="EY58" s="59"/>
      <c r="EZ58" s="59"/>
      <c r="FA58" s="59"/>
      <c r="FB58" s="59"/>
      <c r="FC58" s="59"/>
      <c r="FD58" s="59"/>
      <c r="FE58" s="59"/>
      <c r="FF58" s="59"/>
      <c r="FG58" s="59"/>
      <c r="FH58" s="59"/>
      <c r="FI58" s="59"/>
      <c r="FJ58" s="59"/>
      <c r="FK58" s="59"/>
      <c r="FL58" s="59"/>
      <c r="FM58" s="59"/>
      <c r="FN58" s="59"/>
      <c r="FO58" s="59"/>
      <c r="FP58" s="59"/>
      <c r="FQ58" s="59"/>
      <c r="FR58" s="59"/>
      <c r="FS58" s="59"/>
      <c r="FT58" s="59"/>
      <c r="FU58" s="59"/>
      <c r="FV58" s="59"/>
      <c r="FW58" s="59"/>
      <c r="FX58" s="59"/>
      <c r="FY58" s="59"/>
      <c r="FZ58" s="59"/>
      <c r="GA58" s="59"/>
      <c r="GB58" s="59"/>
      <c r="GC58" s="59"/>
      <c r="GD58" s="59"/>
      <c r="GE58" s="59"/>
      <c r="GF58" s="59"/>
      <c r="GG58" s="59"/>
      <c r="GH58" s="59"/>
      <c r="GI58" s="60"/>
    </row>
    <row r="59" spans="1:191" x14ac:dyDescent="0.15">
      <c r="A59" s="23">
        <v>24</v>
      </c>
      <c r="B59" s="24" t="s">
        <v>131</v>
      </c>
      <c r="C59" s="45" t="s">
        <v>135</v>
      </c>
      <c r="D59" s="26" t="s">
        <v>170</v>
      </c>
      <c r="E59" s="27" t="s">
        <v>13</v>
      </c>
      <c r="F59" s="28">
        <v>42882</v>
      </c>
      <c r="G59" s="28">
        <v>42883</v>
      </c>
      <c r="H59" s="29">
        <f t="shared" si="7"/>
        <v>0</v>
      </c>
      <c r="I59" s="30"/>
      <c r="J59" s="31"/>
      <c r="K59" s="32"/>
      <c r="L59" s="32"/>
      <c r="M59" s="32"/>
      <c r="N59" s="32"/>
      <c r="O59" s="32"/>
      <c r="P59" s="32"/>
      <c r="Q59" s="32"/>
      <c r="R59" s="32"/>
      <c r="S59" s="32"/>
      <c r="T59" s="32"/>
      <c r="U59" s="32"/>
      <c r="V59" s="32"/>
      <c r="W59" s="32"/>
      <c r="X59" s="32"/>
      <c r="Y59" s="32"/>
      <c r="Z59" s="32"/>
      <c r="AA59" s="32"/>
      <c r="AB59" s="32"/>
      <c r="AC59" s="32"/>
      <c r="AD59" s="32"/>
      <c r="AE59" s="32"/>
      <c r="AF59" s="32"/>
      <c r="AG59" s="32"/>
      <c r="AH59" s="32"/>
      <c r="AI59" s="32"/>
      <c r="AJ59" s="32"/>
      <c r="AK59" s="32"/>
      <c r="AL59" s="32"/>
      <c r="AM59" s="32"/>
      <c r="AN59" s="32"/>
      <c r="AO59" s="32"/>
      <c r="AP59" s="33"/>
      <c r="AQ59" s="33"/>
      <c r="AR59" s="33"/>
      <c r="AS59" s="33"/>
      <c r="AT59" s="33"/>
      <c r="AU59" s="33"/>
      <c r="AV59" s="33"/>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c r="CF59" s="33"/>
      <c r="CG59" s="33"/>
      <c r="CH59" s="33"/>
      <c r="CI59" s="33"/>
      <c r="CJ59" s="33"/>
      <c r="CK59" s="33"/>
      <c r="CL59" s="33"/>
      <c r="CM59" s="33"/>
      <c r="CN59" s="33"/>
      <c r="CO59" s="33"/>
      <c r="CP59" s="33"/>
      <c r="CQ59" s="33"/>
      <c r="CR59" s="33"/>
      <c r="CS59" s="33"/>
      <c r="CT59" s="33"/>
      <c r="CU59" s="33"/>
      <c r="CV59" s="33"/>
      <c r="CW59" s="33"/>
      <c r="CX59" s="33"/>
      <c r="CY59" s="33"/>
      <c r="CZ59" s="33"/>
      <c r="DA59" s="33"/>
      <c r="DB59" s="33"/>
      <c r="DC59" s="33"/>
      <c r="DD59" s="33"/>
      <c r="DE59" s="33"/>
      <c r="DF59" s="33"/>
      <c r="DG59" s="33"/>
      <c r="DH59" s="33"/>
      <c r="DI59" s="33"/>
      <c r="DJ59" s="33"/>
      <c r="DK59" s="33"/>
      <c r="DL59" s="33"/>
      <c r="DM59" s="33"/>
      <c r="DN59" s="33"/>
      <c r="DO59" s="33"/>
      <c r="DP59" s="33"/>
      <c r="DQ59" s="33"/>
      <c r="DR59" s="33"/>
      <c r="DS59" s="33"/>
      <c r="DT59" s="33"/>
      <c r="DU59" s="33"/>
      <c r="DV59" s="33"/>
      <c r="DW59" s="33"/>
      <c r="DX59" s="33"/>
      <c r="DY59" s="33"/>
      <c r="DZ59" s="33"/>
      <c r="EA59" s="33"/>
      <c r="EB59" s="33"/>
      <c r="EC59" s="33"/>
      <c r="ED59" s="33"/>
      <c r="EE59" s="33"/>
      <c r="EF59" s="33"/>
      <c r="EG59" s="33"/>
      <c r="EH59" s="33"/>
      <c r="EI59" s="33"/>
      <c r="EJ59" s="33"/>
      <c r="EK59" s="33"/>
      <c r="EL59" s="33"/>
      <c r="EM59" s="33"/>
      <c r="EN59" s="33"/>
      <c r="EO59" s="33"/>
      <c r="EP59" s="33"/>
      <c r="EQ59" s="33"/>
      <c r="ER59" s="33"/>
      <c r="ES59" s="33"/>
      <c r="ET59" s="33"/>
      <c r="EU59" s="33"/>
      <c r="EV59" s="33"/>
      <c r="EW59" s="33"/>
      <c r="EX59" s="33"/>
      <c r="EY59" s="33"/>
      <c r="EZ59" s="33"/>
      <c r="FA59" s="33"/>
      <c r="FB59" s="33"/>
      <c r="FC59" s="33"/>
      <c r="FD59" s="33"/>
      <c r="FE59" s="33"/>
      <c r="FF59" s="33"/>
      <c r="FG59" s="33"/>
      <c r="FH59" s="33"/>
      <c r="FI59" s="33"/>
      <c r="FJ59" s="33"/>
      <c r="FK59" s="33"/>
      <c r="FL59" s="33"/>
      <c r="FM59" s="33"/>
      <c r="FN59" s="33"/>
      <c r="FO59" s="33"/>
      <c r="FP59" s="33"/>
      <c r="FQ59" s="33"/>
      <c r="FR59" s="33"/>
      <c r="FS59" s="33"/>
      <c r="FT59" s="33"/>
      <c r="FU59" s="33"/>
      <c r="FV59" s="33"/>
      <c r="FW59" s="33"/>
      <c r="FX59" s="33"/>
      <c r="FY59" s="33"/>
      <c r="FZ59" s="33"/>
      <c r="GA59" s="33"/>
      <c r="GB59" s="33"/>
      <c r="GC59" s="33"/>
      <c r="GD59" s="33"/>
      <c r="GE59" s="33"/>
      <c r="GF59" s="33"/>
      <c r="GG59" s="33"/>
      <c r="GH59" s="33"/>
      <c r="GI59" s="34"/>
    </row>
    <row r="60" spans="1:191" x14ac:dyDescent="0.15">
      <c r="A60" s="35">
        <f>A59</f>
        <v>24</v>
      </c>
      <c r="B60" s="36" t="str">
        <f>B59</f>
        <v>SD</v>
      </c>
      <c r="C60" s="36" t="str">
        <f>C59</f>
        <v>Webアプリ構造評価仕様書レビュー</v>
      </c>
      <c r="D60" s="37" t="str">
        <f>D59</f>
        <v>伊藤</v>
      </c>
      <c r="E60" s="53" t="s">
        <v>0</v>
      </c>
      <c r="F60" s="54"/>
      <c r="G60" s="54"/>
      <c r="H60" s="55">
        <f t="shared" si="7"/>
        <v>0</v>
      </c>
      <c r="I60" s="56">
        <f>IF(OR(H59="",H60=""),"",H60-H59)</f>
        <v>0</v>
      </c>
      <c r="J60" s="57"/>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c r="AK60" s="58"/>
      <c r="AL60" s="58"/>
      <c r="AM60" s="58"/>
      <c r="AN60" s="58"/>
      <c r="AO60" s="58"/>
      <c r="AP60" s="59"/>
      <c r="AQ60" s="59"/>
      <c r="AR60" s="59"/>
      <c r="AS60" s="59"/>
      <c r="AT60" s="59"/>
      <c r="AU60" s="59"/>
      <c r="AV60" s="59"/>
      <c r="AW60" s="59"/>
      <c r="AX60" s="59"/>
      <c r="AY60" s="59"/>
      <c r="AZ60" s="59"/>
      <c r="BA60" s="59"/>
      <c r="BB60" s="59"/>
      <c r="BC60" s="59"/>
      <c r="BD60" s="59"/>
      <c r="BE60" s="59"/>
      <c r="BF60" s="59"/>
      <c r="BG60" s="59"/>
      <c r="BH60" s="59"/>
      <c r="BI60" s="59"/>
      <c r="BJ60" s="59"/>
      <c r="BK60" s="59"/>
      <c r="BL60" s="59"/>
      <c r="BM60" s="59"/>
      <c r="BN60" s="59"/>
      <c r="BO60" s="59"/>
      <c r="BP60" s="59"/>
      <c r="BQ60" s="59"/>
      <c r="BR60" s="59"/>
      <c r="BS60" s="59"/>
      <c r="BT60" s="59"/>
      <c r="BU60" s="59"/>
      <c r="BV60" s="59"/>
      <c r="BW60" s="59"/>
      <c r="BX60" s="59"/>
      <c r="BY60" s="59"/>
      <c r="BZ60" s="59"/>
      <c r="CA60" s="59"/>
      <c r="CB60" s="59"/>
      <c r="CC60" s="59"/>
      <c r="CD60" s="59"/>
      <c r="CE60" s="59"/>
      <c r="CF60" s="59"/>
      <c r="CG60" s="59"/>
      <c r="CH60" s="59"/>
      <c r="CI60" s="59"/>
      <c r="CJ60" s="59"/>
      <c r="CK60" s="59"/>
      <c r="CL60" s="59"/>
      <c r="CM60" s="59"/>
      <c r="CN60" s="59"/>
      <c r="CO60" s="59"/>
      <c r="CP60" s="59"/>
      <c r="CQ60" s="59"/>
      <c r="CR60" s="59"/>
      <c r="CS60" s="59"/>
      <c r="CT60" s="59"/>
      <c r="CU60" s="59"/>
      <c r="CV60" s="59"/>
      <c r="CW60" s="59"/>
      <c r="CX60" s="59"/>
      <c r="CY60" s="59"/>
      <c r="CZ60" s="59"/>
      <c r="DA60" s="59"/>
      <c r="DB60" s="59"/>
      <c r="DC60" s="59"/>
      <c r="DD60" s="59"/>
      <c r="DE60" s="59"/>
      <c r="DF60" s="59"/>
      <c r="DG60" s="59"/>
      <c r="DH60" s="59"/>
      <c r="DI60" s="59"/>
      <c r="DJ60" s="59"/>
      <c r="DK60" s="59"/>
      <c r="DL60" s="59"/>
      <c r="DM60" s="59"/>
      <c r="DN60" s="59"/>
      <c r="DO60" s="59"/>
      <c r="DP60" s="59"/>
      <c r="DQ60" s="59"/>
      <c r="DR60" s="59"/>
      <c r="DS60" s="59"/>
      <c r="DT60" s="59"/>
      <c r="DU60" s="59"/>
      <c r="DV60" s="59"/>
      <c r="DW60" s="59"/>
      <c r="DX60" s="59"/>
      <c r="DY60" s="59"/>
      <c r="DZ60" s="59"/>
      <c r="EA60" s="59"/>
      <c r="EB60" s="59"/>
      <c r="EC60" s="59"/>
      <c r="ED60" s="59"/>
      <c r="EE60" s="59"/>
      <c r="EF60" s="59"/>
      <c r="EG60" s="59"/>
      <c r="EH60" s="59"/>
      <c r="EI60" s="59"/>
      <c r="EJ60" s="59"/>
      <c r="EK60" s="59"/>
      <c r="EL60" s="59"/>
      <c r="EM60" s="59"/>
      <c r="EN60" s="59"/>
      <c r="EO60" s="59"/>
      <c r="EP60" s="59"/>
      <c r="EQ60" s="59"/>
      <c r="ER60" s="59"/>
      <c r="ES60" s="59"/>
      <c r="ET60" s="59"/>
      <c r="EU60" s="59"/>
      <c r="EV60" s="59"/>
      <c r="EW60" s="59"/>
      <c r="EX60" s="59"/>
      <c r="EY60" s="59"/>
      <c r="EZ60" s="59"/>
      <c r="FA60" s="59"/>
      <c r="FB60" s="59"/>
      <c r="FC60" s="59"/>
      <c r="FD60" s="59"/>
      <c r="FE60" s="59"/>
      <c r="FF60" s="59"/>
      <c r="FG60" s="59"/>
      <c r="FH60" s="59"/>
      <c r="FI60" s="59"/>
      <c r="FJ60" s="59"/>
      <c r="FK60" s="59"/>
      <c r="FL60" s="59"/>
      <c r="FM60" s="59"/>
      <c r="FN60" s="59"/>
      <c r="FO60" s="59"/>
      <c r="FP60" s="59"/>
      <c r="FQ60" s="59"/>
      <c r="FR60" s="59"/>
      <c r="FS60" s="59"/>
      <c r="FT60" s="59"/>
      <c r="FU60" s="59"/>
      <c r="FV60" s="59"/>
      <c r="FW60" s="59"/>
      <c r="FX60" s="59"/>
      <c r="FY60" s="59"/>
      <c r="FZ60" s="59"/>
      <c r="GA60" s="59"/>
      <c r="GB60" s="59"/>
      <c r="GC60" s="59"/>
      <c r="GD60" s="59"/>
      <c r="GE60" s="59"/>
      <c r="GF60" s="59"/>
      <c r="GG60" s="59"/>
      <c r="GH60" s="59"/>
      <c r="GI60" s="60"/>
    </row>
    <row r="61" spans="1:191" x14ac:dyDescent="0.15">
      <c r="A61" s="23">
        <v>25</v>
      </c>
      <c r="B61" s="24" t="s">
        <v>131</v>
      </c>
      <c r="C61" s="45" t="s">
        <v>136</v>
      </c>
      <c r="D61" s="26" t="s">
        <v>171</v>
      </c>
      <c r="E61" s="27" t="s">
        <v>13</v>
      </c>
      <c r="F61" s="28">
        <v>42884</v>
      </c>
      <c r="G61" s="28">
        <v>42890</v>
      </c>
      <c r="H61" s="29">
        <f t="shared" si="7"/>
        <v>0</v>
      </c>
      <c r="I61" s="30"/>
      <c r="J61" s="31"/>
      <c r="K61" s="32"/>
      <c r="L61" s="32"/>
      <c r="M61" s="32"/>
      <c r="N61" s="32"/>
      <c r="O61" s="32"/>
      <c r="P61" s="32"/>
      <c r="Q61" s="32"/>
      <c r="R61" s="32"/>
      <c r="S61" s="32"/>
      <c r="T61" s="32"/>
      <c r="U61" s="32"/>
      <c r="V61" s="32"/>
      <c r="W61" s="32"/>
      <c r="X61" s="32"/>
      <c r="Y61" s="32"/>
      <c r="Z61" s="32"/>
      <c r="AA61" s="32"/>
      <c r="AB61" s="32"/>
      <c r="AC61" s="32"/>
      <c r="AD61" s="32"/>
      <c r="AE61" s="32"/>
      <c r="AF61" s="32"/>
      <c r="AG61" s="32"/>
      <c r="AH61" s="32"/>
      <c r="AI61" s="32"/>
      <c r="AJ61" s="32"/>
      <c r="AK61" s="32"/>
      <c r="AL61" s="32"/>
      <c r="AM61" s="32"/>
      <c r="AN61" s="32"/>
      <c r="AO61" s="32"/>
      <c r="AP61" s="33"/>
      <c r="AQ61" s="33"/>
      <c r="AR61" s="33"/>
      <c r="AS61" s="33"/>
      <c r="AT61" s="33"/>
      <c r="AU61" s="33"/>
      <c r="AV61" s="33"/>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33"/>
      <c r="CG61" s="33"/>
      <c r="CH61" s="33"/>
      <c r="CI61" s="33"/>
      <c r="CJ61" s="33"/>
      <c r="CK61" s="33"/>
      <c r="CL61" s="33"/>
      <c r="CM61" s="33"/>
      <c r="CN61" s="33"/>
      <c r="CO61" s="33"/>
      <c r="CP61" s="33"/>
      <c r="CQ61" s="33"/>
      <c r="CR61" s="33"/>
      <c r="CS61" s="33"/>
      <c r="CT61" s="33"/>
      <c r="CU61" s="33"/>
      <c r="CV61" s="33"/>
      <c r="CW61" s="33"/>
      <c r="CX61" s="33"/>
      <c r="CY61" s="33"/>
      <c r="CZ61" s="33"/>
      <c r="DA61" s="33"/>
      <c r="DB61" s="33"/>
      <c r="DC61" s="33"/>
      <c r="DD61" s="33"/>
      <c r="DE61" s="33"/>
      <c r="DF61" s="33"/>
      <c r="DG61" s="33"/>
      <c r="DH61" s="33"/>
      <c r="DI61" s="33"/>
      <c r="DJ61" s="33"/>
      <c r="DK61" s="33"/>
      <c r="DL61" s="33"/>
      <c r="DM61" s="33"/>
      <c r="DN61" s="33"/>
      <c r="DO61" s="33"/>
      <c r="DP61" s="33"/>
      <c r="DQ61" s="33"/>
      <c r="DR61" s="33"/>
      <c r="DS61" s="33"/>
      <c r="DT61" s="33"/>
      <c r="DU61" s="33"/>
      <c r="DV61" s="33"/>
      <c r="DW61" s="33"/>
      <c r="DX61" s="33"/>
      <c r="DY61" s="33"/>
      <c r="DZ61" s="33"/>
      <c r="EA61" s="33"/>
      <c r="EB61" s="33"/>
      <c r="EC61" s="33"/>
      <c r="ED61" s="33"/>
      <c r="EE61" s="33"/>
      <c r="EF61" s="33"/>
      <c r="EG61" s="33"/>
      <c r="EH61" s="33"/>
      <c r="EI61" s="33"/>
      <c r="EJ61" s="33"/>
      <c r="EK61" s="33"/>
      <c r="EL61" s="33"/>
      <c r="EM61" s="33"/>
      <c r="EN61" s="33"/>
      <c r="EO61" s="33"/>
      <c r="EP61" s="33"/>
      <c r="EQ61" s="33"/>
      <c r="ER61" s="33"/>
      <c r="ES61" s="33"/>
      <c r="ET61" s="33"/>
      <c r="EU61" s="33"/>
      <c r="EV61" s="33"/>
      <c r="EW61" s="33"/>
      <c r="EX61" s="33"/>
      <c r="EY61" s="33"/>
      <c r="EZ61" s="33"/>
      <c r="FA61" s="33"/>
      <c r="FB61" s="33"/>
      <c r="FC61" s="33"/>
      <c r="FD61" s="33"/>
      <c r="FE61" s="33"/>
      <c r="FF61" s="33"/>
      <c r="FG61" s="33"/>
      <c r="FH61" s="33"/>
      <c r="FI61" s="33"/>
      <c r="FJ61" s="33"/>
      <c r="FK61" s="33"/>
      <c r="FL61" s="33"/>
      <c r="FM61" s="33"/>
      <c r="FN61" s="33"/>
      <c r="FO61" s="33"/>
      <c r="FP61" s="33"/>
      <c r="FQ61" s="33"/>
      <c r="FR61" s="33"/>
      <c r="FS61" s="33"/>
      <c r="FT61" s="33"/>
      <c r="FU61" s="33"/>
      <c r="FV61" s="33"/>
      <c r="FW61" s="33"/>
      <c r="FX61" s="33"/>
      <c r="FY61" s="33"/>
      <c r="FZ61" s="33"/>
      <c r="GA61" s="33"/>
      <c r="GB61" s="33"/>
      <c r="GC61" s="33"/>
      <c r="GD61" s="33"/>
      <c r="GE61" s="33"/>
      <c r="GF61" s="33"/>
      <c r="GG61" s="33"/>
      <c r="GH61" s="33"/>
      <c r="GI61" s="34"/>
    </row>
    <row r="62" spans="1:191" x14ac:dyDescent="0.15">
      <c r="A62" s="35">
        <f>A61</f>
        <v>25</v>
      </c>
      <c r="B62" s="36" t="str">
        <f>B61</f>
        <v>SD</v>
      </c>
      <c r="C62" s="36" t="str">
        <f>C61</f>
        <v>Webアプリ構造評価仕様書レビュー指摘対応</v>
      </c>
      <c r="D62" s="37" t="str">
        <f>D61</f>
        <v>高澤</v>
      </c>
      <c r="E62" s="53" t="s">
        <v>0</v>
      </c>
      <c r="F62" s="54"/>
      <c r="G62" s="54"/>
      <c r="H62" s="55">
        <f t="shared" si="7"/>
        <v>0</v>
      </c>
      <c r="I62" s="56">
        <f>IF(OR(H61="",H62=""),"",H62-H61)</f>
        <v>0</v>
      </c>
      <c r="J62" s="57"/>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c r="AK62" s="58"/>
      <c r="AL62" s="58"/>
      <c r="AM62" s="58"/>
      <c r="AN62" s="58"/>
      <c r="AO62" s="58"/>
      <c r="AP62" s="59"/>
      <c r="AQ62" s="59"/>
      <c r="AR62" s="59"/>
      <c r="AS62" s="59"/>
      <c r="AT62" s="59"/>
      <c r="AU62" s="59"/>
      <c r="AV62" s="59"/>
      <c r="AW62" s="59"/>
      <c r="AX62" s="59"/>
      <c r="AY62" s="59"/>
      <c r="AZ62" s="59"/>
      <c r="BA62" s="59"/>
      <c r="BB62" s="59"/>
      <c r="BC62" s="59"/>
      <c r="BD62" s="59"/>
      <c r="BE62" s="59"/>
      <c r="BF62" s="59"/>
      <c r="BG62" s="59"/>
      <c r="BH62" s="59"/>
      <c r="BI62" s="59"/>
      <c r="BJ62" s="59"/>
      <c r="BK62" s="59"/>
      <c r="BL62" s="59"/>
      <c r="BM62" s="59"/>
      <c r="BN62" s="59"/>
      <c r="BO62" s="59"/>
      <c r="BP62" s="59"/>
      <c r="BQ62" s="59"/>
      <c r="BR62" s="59"/>
      <c r="BS62" s="59"/>
      <c r="BT62" s="59"/>
      <c r="BU62" s="59"/>
      <c r="BV62" s="59"/>
      <c r="BW62" s="59"/>
      <c r="BX62" s="59"/>
      <c r="BY62" s="59"/>
      <c r="BZ62" s="59"/>
      <c r="CA62" s="59"/>
      <c r="CB62" s="59"/>
      <c r="CC62" s="59"/>
      <c r="CD62" s="59"/>
      <c r="CE62" s="59"/>
      <c r="CF62" s="59"/>
      <c r="CG62" s="59"/>
      <c r="CH62" s="59"/>
      <c r="CI62" s="59"/>
      <c r="CJ62" s="59"/>
      <c r="CK62" s="59"/>
      <c r="CL62" s="59"/>
      <c r="CM62" s="59"/>
      <c r="CN62" s="59"/>
      <c r="CO62" s="59"/>
      <c r="CP62" s="59"/>
      <c r="CQ62" s="59"/>
      <c r="CR62" s="59"/>
      <c r="CS62" s="59"/>
      <c r="CT62" s="59"/>
      <c r="CU62" s="59"/>
      <c r="CV62" s="59"/>
      <c r="CW62" s="59"/>
      <c r="CX62" s="59"/>
      <c r="CY62" s="59"/>
      <c r="CZ62" s="59"/>
      <c r="DA62" s="59"/>
      <c r="DB62" s="59"/>
      <c r="DC62" s="59"/>
      <c r="DD62" s="59"/>
      <c r="DE62" s="59"/>
      <c r="DF62" s="59"/>
      <c r="DG62" s="59"/>
      <c r="DH62" s="59"/>
      <c r="DI62" s="59"/>
      <c r="DJ62" s="59"/>
      <c r="DK62" s="59"/>
      <c r="DL62" s="59"/>
      <c r="DM62" s="59"/>
      <c r="DN62" s="59"/>
      <c r="DO62" s="59"/>
      <c r="DP62" s="59"/>
      <c r="DQ62" s="59"/>
      <c r="DR62" s="59"/>
      <c r="DS62" s="59"/>
      <c r="DT62" s="59"/>
      <c r="DU62" s="59"/>
      <c r="DV62" s="59"/>
      <c r="DW62" s="59"/>
      <c r="DX62" s="59"/>
      <c r="DY62" s="59"/>
      <c r="DZ62" s="59"/>
      <c r="EA62" s="59"/>
      <c r="EB62" s="59"/>
      <c r="EC62" s="59"/>
      <c r="ED62" s="59"/>
      <c r="EE62" s="59"/>
      <c r="EF62" s="59"/>
      <c r="EG62" s="59"/>
      <c r="EH62" s="59"/>
      <c r="EI62" s="59"/>
      <c r="EJ62" s="59"/>
      <c r="EK62" s="59"/>
      <c r="EL62" s="59"/>
      <c r="EM62" s="59"/>
      <c r="EN62" s="59"/>
      <c r="EO62" s="59"/>
      <c r="EP62" s="59"/>
      <c r="EQ62" s="59"/>
      <c r="ER62" s="59"/>
      <c r="ES62" s="59"/>
      <c r="ET62" s="59"/>
      <c r="EU62" s="59"/>
      <c r="EV62" s="59"/>
      <c r="EW62" s="59"/>
      <c r="EX62" s="59"/>
      <c r="EY62" s="59"/>
      <c r="EZ62" s="59"/>
      <c r="FA62" s="59"/>
      <c r="FB62" s="59"/>
      <c r="FC62" s="59"/>
      <c r="FD62" s="59"/>
      <c r="FE62" s="59"/>
      <c r="FF62" s="59"/>
      <c r="FG62" s="59"/>
      <c r="FH62" s="59"/>
      <c r="FI62" s="59"/>
      <c r="FJ62" s="59"/>
      <c r="FK62" s="59"/>
      <c r="FL62" s="59"/>
      <c r="FM62" s="59"/>
      <c r="FN62" s="59"/>
      <c r="FO62" s="59"/>
      <c r="FP62" s="59"/>
      <c r="FQ62" s="59"/>
      <c r="FR62" s="59"/>
      <c r="FS62" s="59"/>
      <c r="FT62" s="59"/>
      <c r="FU62" s="59"/>
      <c r="FV62" s="59"/>
      <c r="FW62" s="59"/>
      <c r="FX62" s="59"/>
      <c r="FY62" s="59"/>
      <c r="FZ62" s="59"/>
      <c r="GA62" s="59"/>
      <c r="GB62" s="59"/>
      <c r="GC62" s="59"/>
      <c r="GD62" s="59"/>
      <c r="GE62" s="59"/>
      <c r="GF62" s="59"/>
      <c r="GG62" s="59"/>
      <c r="GH62" s="59"/>
      <c r="GI62" s="60"/>
    </row>
    <row r="63" spans="1:191" x14ac:dyDescent="0.15">
      <c r="A63" s="23">
        <v>26</v>
      </c>
      <c r="B63" s="24" t="s">
        <v>131</v>
      </c>
      <c r="C63" s="45" t="s">
        <v>137</v>
      </c>
      <c r="D63" s="26" t="s">
        <v>172</v>
      </c>
      <c r="E63" s="27" t="s">
        <v>13</v>
      </c>
      <c r="F63" s="28">
        <v>42870</v>
      </c>
      <c r="G63" s="28">
        <v>42882</v>
      </c>
      <c r="H63" s="29">
        <f t="shared" si="7"/>
        <v>0</v>
      </c>
      <c r="I63" s="30"/>
      <c r="J63" s="31"/>
      <c r="K63" s="32"/>
      <c r="L63" s="32"/>
      <c r="M63" s="32"/>
      <c r="N63" s="32"/>
      <c r="O63" s="32"/>
      <c r="P63" s="32"/>
      <c r="Q63" s="32"/>
      <c r="R63" s="32"/>
      <c r="S63" s="32"/>
      <c r="T63" s="32"/>
      <c r="U63" s="32"/>
      <c r="V63" s="32"/>
      <c r="W63" s="32"/>
      <c r="X63" s="32"/>
      <c r="Y63" s="32"/>
      <c r="Z63" s="32"/>
      <c r="AA63" s="32"/>
      <c r="AB63" s="32"/>
      <c r="AC63" s="32"/>
      <c r="AD63" s="32"/>
      <c r="AE63" s="32"/>
      <c r="AF63" s="32"/>
      <c r="AG63" s="32"/>
      <c r="AH63" s="32"/>
      <c r="AI63" s="32"/>
      <c r="AJ63" s="32"/>
      <c r="AK63" s="32"/>
      <c r="AL63" s="32"/>
      <c r="AM63" s="32"/>
      <c r="AN63" s="32"/>
      <c r="AO63" s="32"/>
      <c r="AP63" s="33"/>
      <c r="AQ63" s="33"/>
      <c r="AR63" s="33"/>
      <c r="AS63" s="33"/>
      <c r="AT63" s="33"/>
      <c r="AU63" s="33"/>
      <c r="AV63" s="33"/>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33"/>
      <c r="CG63" s="33"/>
      <c r="CH63" s="33"/>
      <c r="CI63" s="33"/>
      <c r="CJ63" s="33"/>
      <c r="CK63" s="33"/>
      <c r="CL63" s="33"/>
      <c r="CM63" s="33"/>
      <c r="CN63" s="33"/>
      <c r="CO63" s="33"/>
      <c r="CP63" s="33"/>
      <c r="CQ63" s="33"/>
      <c r="CR63" s="33"/>
      <c r="CS63" s="33"/>
      <c r="CT63" s="33"/>
      <c r="CU63" s="33"/>
      <c r="CV63" s="33"/>
      <c r="CW63" s="33"/>
      <c r="CX63" s="33"/>
      <c r="CY63" s="33"/>
      <c r="CZ63" s="33"/>
      <c r="DA63" s="33"/>
      <c r="DB63" s="33"/>
      <c r="DC63" s="33"/>
      <c r="DD63" s="33"/>
      <c r="DE63" s="33"/>
      <c r="DF63" s="33"/>
      <c r="DG63" s="33"/>
      <c r="DH63" s="33"/>
      <c r="DI63" s="33"/>
      <c r="DJ63" s="33"/>
      <c r="DK63" s="33"/>
      <c r="DL63" s="33"/>
      <c r="DM63" s="33"/>
      <c r="DN63" s="33"/>
      <c r="DO63" s="33"/>
      <c r="DP63" s="33"/>
      <c r="DQ63" s="33"/>
      <c r="DR63" s="33"/>
      <c r="DS63" s="33"/>
      <c r="DT63" s="33"/>
      <c r="DU63" s="33"/>
      <c r="DV63" s="33"/>
      <c r="DW63" s="33"/>
      <c r="DX63" s="33"/>
      <c r="DY63" s="33"/>
      <c r="DZ63" s="33"/>
      <c r="EA63" s="33"/>
      <c r="EB63" s="33"/>
      <c r="EC63" s="33"/>
      <c r="ED63" s="33"/>
      <c r="EE63" s="33"/>
      <c r="EF63" s="33"/>
      <c r="EG63" s="33"/>
      <c r="EH63" s="33"/>
      <c r="EI63" s="33"/>
      <c r="EJ63" s="33"/>
      <c r="EK63" s="33"/>
      <c r="EL63" s="33"/>
      <c r="EM63" s="33"/>
      <c r="EN63" s="33"/>
      <c r="EO63" s="33"/>
      <c r="EP63" s="33"/>
      <c r="EQ63" s="33"/>
      <c r="ER63" s="33"/>
      <c r="ES63" s="33"/>
      <c r="ET63" s="33"/>
      <c r="EU63" s="33"/>
      <c r="EV63" s="33"/>
      <c r="EW63" s="33"/>
      <c r="EX63" s="33"/>
      <c r="EY63" s="33"/>
      <c r="EZ63" s="33"/>
      <c r="FA63" s="33"/>
      <c r="FB63" s="33"/>
      <c r="FC63" s="33"/>
      <c r="FD63" s="33"/>
      <c r="FE63" s="33"/>
      <c r="FF63" s="33"/>
      <c r="FG63" s="33"/>
      <c r="FH63" s="33"/>
      <c r="FI63" s="33"/>
      <c r="FJ63" s="33"/>
      <c r="FK63" s="33"/>
      <c r="FL63" s="33"/>
      <c r="FM63" s="33"/>
      <c r="FN63" s="33"/>
      <c r="FO63" s="33"/>
      <c r="FP63" s="33"/>
      <c r="FQ63" s="33"/>
      <c r="FR63" s="33"/>
      <c r="FS63" s="33"/>
      <c r="FT63" s="33"/>
      <c r="FU63" s="33"/>
      <c r="FV63" s="33"/>
      <c r="FW63" s="33"/>
      <c r="FX63" s="33"/>
      <c r="FY63" s="33"/>
      <c r="FZ63" s="33"/>
      <c r="GA63" s="33"/>
      <c r="GB63" s="33"/>
      <c r="GC63" s="33"/>
      <c r="GD63" s="33"/>
      <c r="GE63" s="33"/>
      <c r="GF63" s="33"/>
      <c r="GG63" s="33"/>
      <c r="GH63" s="33"/>
      <c r="GI63" s="34"/>
    </row>
    <row r="64" spans="1:191" x14ac:dyDescent="0.15">
      <c r="A64" s="35">
        <f>A63</f>
        <v>26</v>
      </c>
      <c r="B64" s="36" t="str">
        <f>B63</f>
        <v>SD</v>
      </c>
      <c r="C64" s="36" t="str">
        <f>C63</f>
        <v>監視端末構造評価仕様書作成</v>
      </c>
      <c r="D64" s="37" t="str">
        <f>D63</f>
        <v>長田</v>
      </c>
      <c r="E64" s="53" t="s">
        <v>0</v>
      </c>
      <c r="F64" s="54"/>
      <c r="G64" s="54"/>
      <c r="H64" s="55">
        <f t="shared" si="7"/>
        <v>0</v>
      </c>
      <c r="I64" s="56">
        <f>IF(OR(H63="",H64=""),"",H64-H63)</f>
        <v>0</v>
      </c>
      <c r="J64" s="57"/>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c r="AK64" s="58"/>
      <c r="AL64" s="58"/>
      <c r="AM64" s="58"/>
      <c r="AN64" s="58"/>
      <c r="AO64" s="58"/>
      <c r="AP64" s="59"/>
      <c r="AQ64" s="59"/>
      <c r="AR64" s="59"/>
      <c r="AS64" s="59"/>
      <c r="AT64" s="59"/>
      <c r="AU64" s="59"/>
      <c r="AV64" s="59"/>
      <c r="AW64" s="59"/>
      <c r="AX64" s="59"/>
      <c r="AY64" s="59"/>
      <c r="AZ64" s="59"/>
      <c r="BA64" s="59"/>
      <c r="BB64" s="59"/>
      <c r="BC64" s="59"/>
      <c r="BD64" s="59"/>
      <c r="BE64" s="59"/>
      <c r="BF64" s="59"/>
      <c r="BG64" s="59"/>
      <c r="BH64" s="59"/>
      <c r="BI64" s="59"/>
      <c r="BJ64" s="59"/>
      <c r="BK64" s="59"/>
      <c r="BL64" s="59"/>
      <c r="BM64" s="59"/>
      <c r="BN64" s="59"/>
      <c r="BO64" s="59"/>
      <c r="BP64" s="59"/>
      <c r="BQ64" s="59"/>
      <c r="BR64" s="59"/>
      <c r="BS64" s="59"/>
      <c r="BT64" s="59"/>
      <c r="BU64" s="59"/>
      <c r="BV64" s="59"/>
      <c r="BW64" s="59"/>
      <c r="BX64" s="59"/>
      <c r="BY64" s="59"/>
      <c r="BZ64" s="59"/>
      <c r="CA64" s="59"/>
      <c r="CB64" s="59"/>
      <c r="CC64" s="59"/>
      <c r="CD64" s="59"/>
      <c r="CE64" s="59"/>
      <c r="CF64" s="59"/>
      <c r="CG64" s="59"/>
      <c r="CH64" s="59"/>
      <c r="CI64" s="59"/>
      <c r="CJ64" s="59"/>
      <c r="CK64" s="59"/>
      <c r="CL64" s="59"/>
      <c r="CM64" s="59"/>
      <c r="CN64" s="59"/>
      <c r="CO64" s="59"/>
      <c r="CP64" s="59"/>
      <c r="CQ64" s="59"/>
      <c r="CR64" s="59"/>
      <c r="CS64" s="59"/>
      <c r="CT64" s="59"/>
      <c r="CU64" s="59"/>
      <c r="CV64" s="59"/>
      <c r="CW64" s="59"/>
      <c r="CX64" s="59"/>
      <c r="CY64" s="59"/>
      <c r="CZ64" s="59"/>
      <c r="DA64" s="59"/>
      <c r="DB64" s="59"/>
      <c r="DC64" s="59"/>
      <c r="DD64" s="59"/>
      <c r="DE64" s="59"/>
      <c r="DF64" s="59"/>
      <c r="DG64" s="59"/>
      <c r="DH64" s="59"/>
      <c r="DI64" s="59"/>
      <c r="DJ64" s="59"/>
      <c r="DK64" s="59"/>
      <c r="DL64" s="59"/>
      <c r="DM64" s="59"/>
      <c r="DN64" s="59"/>
      <c r="DO64" s="59"/>
      <c r="DP64" s="59"/>
      <c r="DQ64" s="59"/>
      <c r="DR64" s="59"/>
      <c r="DS64" s="59"/>
      <c r="DT64" s="59"/>
      <c r="DU64" s="59"/>
      <c r="DV64" s="59"/>
      <c r="DW64" s="59"/>
      <c r="DX64" s="59"/>
      <c r="DY64" s="59"/>
      <c r="DZ64" s="59"/>
      <c r="EA64" s="59"/>
      <c r="EB64" s="59"/>
      <c r="EC64" s="59"/>
      <c r="ED64" s="59"/>
      <c r="EE64" s="59"/>
      <c r="EF64" s="59"/>
      <c r="EG64" s="59"/>
      <c r="EH64" s="59"/>
      <c r="EI64" s="59"/>
      <c r="EJ64" s="59"/>
      <c r="EK64" s="59"/>
      <c r="EL64" s="59"/>
      <c r="EM64" s="59"/>
      <c r="EN64" s="59"/>
      <c r="EO64" s="59"/>
      <c r="EP64" s="59"/>
      <c r="EQ64" s="59"/>
      <c r="ER64" s="59"/>
      <c r="ES64" s="59"/>
      <c r="ET64" s="59"/>
      <c r="EU64" s="59"/>
      <c r="EV64" s="59"/>
      <c r="EW64" s="59"/>
      <c r="EX64" s="59"/>
      <c r="EY64" s="59"/>
      <c r="EZ64" s="59"/>
      <c r="FA64" s="59"/>
      <c r="FB64" s="59"/>
      <c r="FC64" s="59"/>
      <c r="FD64" s="59"/>
      <c r="FE64" s="59"/>
      <c r="FF64" s="59"/>
      <c r="FG64" s="59"/>
      <c r="FH64" s="59"/>
      <c r="FI64" s="59"/>
      <c r="FJ64" s="59"/>
      <c r="FK64" s="59"/>
      <c r="FL64" s="59"/>
      <c r="FM64" s="59"/>
      <c r="FN64" s="59"/>
      <c r="FO64" s="59"/>
      <c r="FP64" s="59"/>
      <c r="FQ64" s="59"/>
      <c r="FR64" s="59"/>
      <c r="FS64" s="59"/>
      <c r="FT64" s="59"/>
      <c r="FU64" s="59"/>
      <c r="FV64" s="59"/>
      <c r="FW64" s="59"/>
      <c r="FX64" s="59"/>
      <c r="FY64" s="59"/>
      <c r="FZ64" s="59"/>
      <c r="GA64" s="59"/>
      <c r="GB64" s="59"/>
      <c r="GC64" s="59"/>
      <c r="GD64" s="59"/>
      <c r="GE64" s="59"/>
      <c r="GF64" s="59"/>
      <c r="GG64" s="59"/>
      <c r="GH64" s="59"/>
      <c r="GI64" s="60"/>
    </row>
    <row r="65" spans="1:191" x14ac:dyDescent="0.15">
      <c r="A65" s="23">
        <v>27</v>
      </c>
      <c r="B65" s="24" t="s">
        <v>131</v>
      </c>
      <c r="C65" s="45" t="s">
        <v>138</v>
      </c>
      <c r="D65" s="26" t="s">
        <v>170</v>
      </c>
      <c r="E65" s="27" t="s">
        <v>13</v>
      </c>
      <c r="F65" s="28">
        <v>42882</v>
      </c>
      <c r="G65" s="28">
        <v>42883</v>
      </c>
      <c r="H65" s="29">
        <f t="shared" si="7"/>
        <v>0</v>
      </c>
      <c r="I65" s="30"/>
      <c r="J65" s="31"/>
      <c r="K65" s="32"/>
      <c r="L65" s="32"/>
      <c r="M65" s="32"/>
      <c r="N65" s="32"/>
      <c r="O65" s="32"/>
      <c r="P65" s="32"/>
      <c r="Q65" s="32"/>
      <c r="R65" s="32"/>
      <c r="S65" s="32"/>
      <c r="T65" s="32"/>
      <c r="U65" s="32"/>
      <c r="V65" s="32"/>
      <c r="W65" s="32"/>
      <c r="X65" s="32"/>
      <c r="Y65" s="32"/>
      <c r="Z65" s="32"/>
      <c r="AA65" s="32"/>
      <c r="AB65" s="32"/>
      <c r="AC65" s="32"/>
      <c r="AD65" s="32"/>
      <c r="AE65" s="32"/>
      <c r="AF65" s="32"/>
      <c r="AG65" s="32"/>
      <c r="AH65" s="32"/>
      <c r="AI65" s="32"/>
      <c r="AJ65" s="32"/>
      <c r="AK65" s="32"/>
      <c r="AL65" s="32"/>
      <c r="AM65" s="32"/>
      <c r="AN65" s="32"/>
      <c r="AO65" s="32"/>
      <c r="AP65" s="33"/>
      <c r="AQ65" s="33"/>
      <c r="AR65" s="33"/>
      <c r="AS65" s="33"/>
      <c r="AT65" s="33"/>
      <c r="AU65" s="33"/>
      <c r="AV65" s="33"/>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33"/>
      <c r="CG65" s="33"/>
      <c r="CH65" s="33"/>
      <c r="CI65" s="33"/>
      <c r="CJ65" s="33"/>
      <c r="CK65" s="33"/>
      <c r="CL65" s="33"/>
      <c r="CM65" s="33"/>
      <c r="CN65" s="33"/>
      <c r="CO65" s="33"/>
      <c r="CP65" s="33"/>
      <c r="CQ65" s="33"/>
      <c r="CR65" s="33"/>
      <c r="CS65" s="33"/>
      <c r="CT65" s="33"/>
      <c r="CU65" s="33"/>
      <c r="CV65" s="33"/>
      <c r="CW65" s="33"/>
      <c r="CX65" s="33"/>
      <c r="CY65" s="33"/>
      <c r="CZ65" s="33"/>
      <c r="DA65" s="33"/>
      <c r="DB65" s="33"/>
      <c r="DC65" s="33"/>
      <c r="DD65" s="33"/>
      <c r="DE65" s="33"/>
      <c r="DF65" s="33"/>
      <c r="DG65" s="33"/>
      <c r="DH65" s="33"/>
      <c r="DI65" s="33"/>
      <c r="DJ65" s="33"/>
      <c r="DK65" s="33"/>
      <c r="DL65" s="33"/>
      <c r="DM65" s="33"/>
      <c r="DN65" s="33"/>
      <c r="DO65" s="33"/>
      <c r="DP65" s="33"/>
      <c r="DQ65" s="33"/>
      <c r="DR65" s="33"/>
      <c r="DS65" s="33"/>
      <c r="DT65" s="33"/>
      <c r="DU65" s="33"/>
      <c r="DV65" s="33"/>
      <c r="DW65" s="33"/>
      <c r="DX65" s="33"/>
      <c r="DY65" s="33"/>
      <c r="DZ65" s="33"/>
      <c r="EA65" s="33"/>
      <c r="EB65" s="33"/>
      <c r="EC65" s="33"/>
      <c r="ED65" s="33"/>
      <c r="EE65" s="33"/>
      <c r="EF65" s="33"/>
      <c r="EG65" s="33"/>
      <c r="EH65" s="33"/>
      <c r="EI65" s="33"/>
      <c r="EJ65" s="33"/>
      <c r="EK65" s="33"/>
      <c r="EL65" s="33"/>
      <c r="EM65" s="33"/>
      <c r="EN65" s="33"/>
      <c r="EO65" s="33"/>
      <c r="EP65" s="33"/>
      <c r="EQ65" s="33"/>
      <c r="ER65" s="33"/>
      <c r="ES65" s="33"/>
      <c r="ET65" s="33"/>
      <c r="EU65" s="33"/>
      <c r="EV65" s="33"/>
      <c r="EW65" s="33"/>
      <c r="EX65" s="33"/>
      <c r="EY65" s="33"/>
      <c r="EZ65" s="33"/>
      <c r="FA65" s="33"/>
      <c r="FB65" s="33"/>
      <c r="FC65" s="33"/>
      <c r="FD65" s="33"/>
      <c r="FE65" s="33"/>
      <c r="FF65" s="33"/>
      <c r="FG65" s="33"/>
      <c r="FH65" s="33"/>
      <c r="FI65" s="33"/>
      <c r="FJ65" s="33"/>
      <c r="FK65" s="33"/>
      <c r="FL65" s="33"/>
      <c r="FM65" s="33"/>
      <c r="FN65" s="33"/>
      <c r="FO65" s="33"/>
      <c r="FP65" s="33"/>
      <c r="FQ65" s="33"/>
      <c r="FR65" s="33"/>
      <c r="FS65" s="33"/>
      <c r="FT65" s="33"/>
      <c r="FU65" s="33"/>
      <c r="FV65" s="33"/>
      <c r="FW65" s="33"/>
      <c r="FX65" s="33"/>
      <c r="FY65" s="33"/>
      <c r="FZ65" s="33"/>
      <c r="GA65" s="33"/>
      <c r="GB65" s="33"/>
      <c r="GC65" s="33"/>
      <c r="GD65" s="33"/>
      <c r="GE65" s="33"/>
      <c r="GF65" s="33"/>
      <c r="GG65" s="33"/>
      <c r="GH65" s="33"/>
      <c r="GI65" s="34"/>
    </row>
    <row r="66" spans="1:191" x14ac:dyDescent="0.15">
      <c r="A66" s="35">
        <f>A65</f>
        <v>27</v>
      </c>
      <c r="B66" s="36" t="str">
        <f>B65</f>
        <v>SD</v>
      </c>
      <c r="C66" s="36" t="str">
        <f>C65</f>
        <v>監視端末構造評価仕様書レビュー</v>
      </c>
      <c r="D66" s="37" t="str">
        <f>D65</f>
        <v>伊藤</v>
      </c>
      <c r="E66" s="53" t="s">
        <v>0</v>
      </c>
      <c r="F66" s="54"/>
      <c r="G66" s="54"/>
      <c r="H66" s="55">
        <f t="shared" si="7"/>
        <v>0</v>
      </c>
      <c r="I66" s="56">
        <f>IF(OR(H65="",H66=""),"",H66-H65)</f>
        <v>0</v>
      </c>
      <c r="J66" s="57"/>
      <c r="K66" s="58"/>
      <c r="L66" s="58"/>
      <c r="M66" s="58"/>
      <c r="N66" s="58"/>
      <c r="O66" s="58"/>
      <c r="P66" s="58"/>
      <c r="Q66" s="58"/>
      <c r="R66" s="58"/>
      <c r="S66" s="58"/>
      <c r="T66" s="58"/>
      <c r="U66" s="58"/>
      <c r="V66" s="58"/>
      <c r="W66" s="58"/>
      <c r="X66" s="58"/>
      <c r="Y66" s="58"/>
      <c r="Z66" s="58"/>
      <c r="AA66" s="58"/>
      <c r="AB66" s="58"/>
      <c r="AC66" s="58"/>
      <c r="AD66" s="58"/>
      <c r="AE66" s="58"/>
      <c r="AF66" s="58"/>
      <c r="AG66" s="58"/>
      <c r="AH66" s="58"/>
      <c r="AI66" s="58"/>
      <c r="AJ66" s="58"/>
      <c r="AK66" s="58"/>
      <c r="AL66" s="58"/>
      <c r="AM66" s="58"/>
      <c r="AN66" s="58"/>
      <c r="AO66" s="58"/>
      <c r="AP66" s="59"/>
      <c r="AQ66" s="59"/>
      <c r="AR66" s="59"/>
      <c r="AS66" s="59"/>
      <c r="AT66" s="59"/>
      <c r="AU66" s="59"/>
      <c r="AV66" s="59"/>
      <c r="AW66" s="59"/>
      <c r="AX66" s="59"/>
      <c r="AY66" s="59"/>
      <c r="AZ66" s="59"/>
      <c r="BA66" s="59"/>
      <c r="BB66" s="59"/>
      <c r="BC66" s="59"/>
      <c r="BD66" s="59"/>
      <c r="BE66" s="59"/>
      <c r="BF66" s="59"/>
      <c r="BG66" s="59"/>
      <c r="BH66" s="59"/>
      <c r="BI66" s="59"/>
      <c r="BJ66" s="59"/>
      <c r="BK66" s="59"/>
      <c r="BL66" s="59"/>
      <c r="BM66" s="59"/>
      <c r="BN66" s="59"/>
      <c r="BO66" s="59"/>
      <c r="BP66" s="59"/>
      <c r="BQ66" s="59"/>
      <c r="BR66" s="59"/>
      <c r="BS66" s="59"/>
      <c r="BT66" s="59"/>
      <c r="BU66" s="59"/>
      <c r="BV66" s="59"/>
      <c r="BW66" s="59"/>
      <c r="BX66" s="59"/>
      <c r="BY66" s="59"/>
      <c r="BZ66" s="59"/>
      <c r="CA66" s="59"/>
      <c r="CB66" s="59"/>
      <c r="CC66" s="59"/>
      <c r="CD66" s="59"/>
      <c r="CE66" s="59"/>
      <c r="CF66" s="59"/>
      <c r="CG66" s="59"/>
      <c r="CH66" s="59"/>
      <c r="CI66" s="59"/>
      <c r="CJ66" s="59"/>
      <c r="CK66" s="59"/>
      <c r="CL66" s="59"/>
      <c r="CM66" s="59"/>
      <c r="CN66" s="59"/>
      <c r="CO66" s="59"/>
      <c r="CP66" s="59"/>
      <c r="CQ66" s="59"/>
      <c r="CR66" s="59"/>
      <c r="CS66" s="59"/>
      <c r="CT66" s="59"/>
      <c r="CU66" s="59"/>
      <c r="CV66" s="59"/>
      <c r="CW66" s="59"/>
      <c r="CX66" s="59"/>
      <c r="CY66" s="59"/>
      <c r="CZ66" s="59"/>
      <c r="DA66" s="59"/>
      <c r="DB66" s="59"/>
      <c r="DC66" s="59"/>
      <c r="DD66" s="59"/>
      <c r="DE66" s="59"/>
      <c r="DF66" s="59"/>
      <c r="DG66" s="59"/>
      <c r="DH66" s="59"/>
      <c r="DI66" s="59"/>
      <c r="DJ66" s="59"/>
      <c r="DK66" s="59"/>
      <c r="DL66" s="59"/>
      <c r="DM66" s="59"/>
      <c r="DN66" s="59"/>
      <c r="DO66" s="59"/>
      <c r="DP66" s="59"/>
      <c r="DQ66" s="59"/>
      <c r="DR66" s="59"/>
      <c r="DS66" s="59"/>
      <c r="DT66" s="59"/>
      <c r="DU66" s="59"/>
      <c r="DV66" s="59"/>
      <c r="DW66" s="59"/>
      <c r="DX66" s="59"/>
      <c r="DY66" s="59"/>
      <c r="DZ66" s="59"/>
      <c r="EA66" s="59"/>
      <c r="EB66" s="59"/>
      <c r="EC66" s="59"/>
      <c r="ED66" s="59"/>
      <c r="EE66" s="59"/>
      <c r="EF66" s="59"/>
      <c r="EG66" s="59"/>
      <c r="EH66" s="59"/>
      <c r="EI66" s="59"/>
      <c r="EJ66" s="59"/>
      <c r="EK66" s="59"/>
      <c r="EL66" s="59"/>
      <c r="EM66" s="59"/>
      <c r="EN66" s="59"/>
      <c r="EO66" s="59"/>
      <c r="EP66" s="59"/>
      <c r="EQ66" s="59"/>
      <c r="ER66" s="59"/>
      <c r="ES66" s="59"/>
      <c r="ET66" s="59"/>
      <c r="EU66" s="59"/>
      <c r="EV66" s="59"/>
      <c r="EW66" s="59"/>
      <c r="EX66" s="59"/>
      <c r="EY66" s="59"/>
      <c r="EZ66" s="59"/>
      <c r="FA66" s="59"/>
      <c r="FB66" s="59"/>
      <c r="FC66" s="59"/>
      <c r="FD66" s="59"/>
      <c r="FE66" s="59"/>
      <c r="FF66" s="59"/>
      <c r="FG66" s="59"/>
      <c r="FH66" s="59"/>
      <c r="FI66" s="59"/>
      <c r="FJ66" s="59"/>
      <c r="FK66" s="59"/>
      <c r="FL66" s="59"/>
      <c r="FM66" s="59"/>
      <c r="FN66" s="59"/>
      <c r="FO66" s="59"/>
      <c r="FP66" s="59"/>
      <c r="FQ66" s="59"/>
      <c r="FR66" s="59"/>
      <c r="FS66" s="59"/>
      <c r="FT66" s="59"/>
      <c r="FU66" s="59"/>
      <c r="FV66" s="59"/>
      <c r="FW66" s="59"/>
      <c r="FX66" s="59"/>
      <c r="FY66" s="59"/>
      <c r="FZ66" s="59"/>
      <c r="GA66" s="59"/>
      <c r="GB66" s="59"/>
      <c r="GC66" s="59"/>
      <c r="GD66" s="59"/>
      <c r="GE66" s="59"/>
      <c r="GF66" s="59"/>
      <c r="GG66" s="59"/>
      <c r="GH66" s="59"/>
      <c r="GI66" s="60"/>
    </row>
    <row r="67" spans="1:191" x14ac:dyDescent="0.15">
      <c r="A67" s="23">
        <v>28</v>
      </c>
      <c r="B67" s="24" t="s">
        <v>131</v>
      </c>
      <c r="C67" s="45" t="s">
        <v>139</v>
      </c>
      <c r="D67" s="26" t="s">
        <v>172</v>
      </c>
      <c r="E67" s="27" t="s">
        <v>13</v>
      </c>
      <c r="F67" s="28">
        <v>42884</v>
      </c>
      <c r="G67" s="28">
        <v>42890</v>
      </c>
      <c r="H67" s="29">
        <f t="shared" si="7"/>
        <v>0</v>
      </c>
      <c r="I67" s="30"/>
      <c r="J67" s="31"/>
      <c r="K67" s="32"/>
      <c r="L67" s="32"/>
      <c r="M67" s="32"/>
      <c r="N67" s="32"/>
      <c r="O67" s="32"/>
      <c r="P67" s="32"/>
      <c r="Q67" s="32"/>
      <c r="R67" s="32"/>
      <c r="S67" s="32"/>
      <c r="T67" s="32"/>
      <c r="U67" s="32"/>
      <c r="V67" s="32"/>
      <c r="W67" s="32"/>
      <c r="X67" s="32"/>
      <c r="Y67" s="32"/>
      <c r="Z67" s="32"/>
      <c r="AA67" s="32"/>
      <c r="AB67" s="32"/>
      <c r="AC67" s="32"/>
      <c r="AD67" s="32"/>
      <c r="AE67" s="32"/>
      <c r="AF67" s="32"/>
      <c r="AG67" s="32"/>
      <c r="AH67" s="32"/>
      <c r="AI67" s="32"/>
      <c r="AJ67" s="32"/>
      <c r="AK67" s="32"/>
      <c r="AL67" s="32"/>
      <c r="AM67" s="32"/>
      <c r="AN67" s="32"/>
      <c r="AO67" s="32"/>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33"/>
      <c r="BX67" s="33"/>
      <c r="BY67" s="33"/>
      <c r="BZ67" s="33"/>
      <c r="CA67" s="33"/>
      <c r="CB67" s="33"/>
      <c r="CC67" s="33"/>
      <c r="CD67" s="33"/>
      <c r="CE67" s="33"/>
      <c r="CF67" s="33"/>
      <c r="CG67" s="33"/>
      <c r="CH67" s="33"/>
      <c r="CI67" s="33"/>
      <c r="CJ67" s="33"/>
      <c r="CK67" s="33"/>
      <c r="CL67" s="33"/>
      <c r="CM67" s="33"/>
      <c r="CN67" s="33"/>
      <c r="CO67" s="33"/>
      <c r="CP67" s="33"/>
      <c r="CQ67" s="33"/>
      <c r="CR67" s="33"/>
      <c r="CS67" s="33"/>
      <c r="CT67" s="33"/>
      <c r="CU67" s="33"/>
      <c r="CV67" s="33"/>
      <c r="CW67" s="33"/>
      <c r="CX67" s="33"/>
      <c r="CY67" s="33"/>
      <c r="CZ67" s="33"/>
      <c r="DA67" s="33"/>
      <c r="DB67" s="33"/>
      <c r="DC67" s="33"/>
      <c r="DD67" s="33"/>
      <c r="DE67" s="33"/>
      <c r="DF67" s="33"/>
      <c r="DG67" s="33"/>
      <c r="DH67" s="33"/>
      <c r="DI67" s="33"/>
      <c r="DJ67" s="33"/>
      <c r="DK67" s="33"/>
      <c r="DL67" s="33"/>
      <c r="DM67" s="33"/>
      <c r="DN67" s="33"/>
      <c r="DO67" s="33"/>
      <c r="DP67" s="33"/>
      <c r="DQ67" s="33"/>
      <c r="DR67" s="33"/>
      <c r="DS67" s="33"/>
      <c r="DT67" s="33"/>
      <c r="DU67" s="33"/>
      <c r="DV67" s="33"/>
      <c r="DW67" s="33"/>
      <c r="DX67" s="33"/>
      <c r="DY67" s="33"/>
      <c r="DZ67" s="33"/>
      <c r="EA67" s="33"/>
      <c r="EB67" s="33"/>
      <c r="EC67" s="33"/>
      <c r="ED67" s="33"/>
      <c r="EE67" s="33"/>
      <c r="EF67" s="33"/>
      <c r="EG67" s="33"/>
      <c r="EH67" s="33"/>
      <c r="EI67" s="33"/>
      <c r="EJ67" s="33"/>
      <c r="EK67" s="33"/>
      <c r="EL67" s="33"/>
      <c r="EM67" s="33"/>
      <c r="EN67" s="33"/>
      <c r="EO67" s="33"/>
      <c r="EP67" s="33"/>
      <c r="EQ67" s="33"/>
      <c r="ER67" s="33"/>
      <c r="ES67" s="33"/>
      <c r="ET67" s="33"/>
      <c r="EU67" s="33"/>
      <c r="EV67" s="33"/>
      <c r="EW67" s="33"/>
      <c r="EX67" s="33"/>
      <c r="EY67" s="33"/>
      <c r="EZ67" s="33"/>
      <c r="FA67" s="33"/>
      <c r="FB67" s="33"/>
      <c r="FC67" s="33"/>
      <c r="FD67" s="33"/>
      <c r="FE67" s="33"/>
      <c r="FF67" s="33"/>
      <c r="FG67" s="33"/>
      <c r="FH67" s="33"/>
      <c r="FI67" s="33"/>
      <c r="FJ67" s="33"/>
      <c r="FK67" s="33"/>
      <c r="FL67" s="33"/>
      <c r="FM67" s="33"/>
      <c r="FN67" s="33"/>
      <c r="FO67" s="33"/>
      <c r="FP67" s="33"/>
      <c r="FQ67" s="33"/>
      <c r="FR67" s="33"/>
      <c r="FS67" s="33"/>
      <c r="FT67" s="33"/>
      <c r="FU67" s="33"/>
      <c r="FV67" s="33"/>
      <c r="FW67" s="33"/>
      <c r="FX67" s="33"/>
      <c r="FY67" s="33"/>
      <c r="FZ67" s="33"/>
      <c r="GA67" s="33"/>
      <c r="GB67" s="33"/>
      <c r="GC67" s="33"/>
      <c r="GD67" s="33"/>
      <c r="GE67" s="33"/>
      <c r="GF67" s="33"/>
      <c r="GG67" s="33"/>
      <c r="GH67" s="33"/>
      <c r="GI67" s="34"/>
    </row>
    <row r="68" spans="1:191" x14ac:dyDescent="0.15">
      <c r="A68" s="35">
        <f>A67</f>
        <v>28</v>
      </c>
      <c r="B68" s="36" t="str">
        <f>B67</f>
        <v>SD</v>
      </c>
      <c r="C68" s="36" t="str">
        <f>C67</f>
        <v>監視端末構造評価仕様書レビュー指摘対応</v>
      </c>
      <c r="D68" s="37" t="str">
        <f>D67</f>
        <v>長田</v>
      </c>
      <c r="E68" s="53" t="s">
        <v>0</v>
      </c>
      <c r="F68" s="54"/>
      <c r="G68" s="54"/>
      <c r="H68" s="55">
        <f t="shared" si="7"/>
        <v>0</v>
      </c>
      <c r="I68" s="56">
        <f>IF(OR(H67="",H68=""),"",H68-H67)</f>
        <v>0</v>
      </c>
      <c r="J68" s="57"/>
      <c r="K68" s="58"/>
      <c r="L68" s="58"/>
      <c r="M68" s="58"/>
      <c r="N68" s="58"/>
      <c r="O68" s="58"/>
      <c r="P68" s="58"/>
      <c r="Q68" s="58"/>
      <c r="R68" s="58"/>
      <c r="S68" s="58"/>
      <c r="T68" s="58"/>
      <c r="U68" s="58"/>
      <c r="V68" s="58"/>
      <c r="W68" s="58"/>
      <c r="X68" s="58"/>
      <c r="Y68" s="58"/>
      <c r="Z68" s="58"/>
      <c r="AA68" s="58"/>
      <c r="AB68" s="58"/>
      <c r="AC68" s="58"/>
      <c r="AD68" s="58"/>
      <c r="AE68" s="58"/>
      <c r="AF68" s="58"/>
      <c r="AG68" s="58"/>
      <c r="AH68" s="58"/>
      <c r="AI68" s="58"/>
      <c r="AJ68" s="58"/>
      <c r="AK68" s="58"/>
      <c r="AL68" s="58"/>
      <c r="AM68" s="58"/>
      <c r="AN68" s="58"/>
      <c r="AO68" s="58"/>
      <c r="AP68" s="59"/>
      <c r="AQ68" s="59"/>
      <c r="AR68" s="59"/>
      <c r="AS68" s="59"/>
      <c r="AT68" s="59"/>
      <c r="AU68" s="59"/>
      <c r="AV68" s="59"/>
      <c r="AW68" s="59"/>
      <c r="AX68" s="59"/>
      <c r="AY68" s="59"/>
      <c r="AZ68" s="59"/>
      <c r="BA68" s="59"/>
      <c r="BB68" s="59"/>
      <c r="BC68" s="59"/>
      <c r="BD68" s="59"/>
      <c r="BE68" s="59"/>
      <c r="BF68" s="59"/>
      <c r="BG68" s="59"/>
      <c r="BH68" s="59"/>
      <c r="BI68" s="59"/>
      <c r="BJ68" s="59"/>
      <c r="BK68" s="59"/>
      <c r="BL68" s="59"/>
      <c r="BM68" s="59"/>
      <c r="BN68" s="59"/>
      <c r="BO68" s="59"/>
      <c r="BP68" s="59"/>
      <c r="BQ68" s="59"/>
      <c r="BR68" s="59"/>
      <c r="BS68" s="59"/>
      <c r="BT68" s="59"/>
      <c r="BU68" s="59"/>
      <c r="BV68" s="59"/>
      <c r="BW68" s="59"/>
      <c r="BX68" s="59"/>
      <c r="BY68" s="59"/>
      <c r="BZ68" s="59"/>
      <c r="CA68" s="59"/>
      <c r="CB68" s="59"/>
      <c r="CC68" s="59"/>
      <c r="CD68" s="59"/>
      <c r="CE68" s="59"/>
      <c r="CF68" s="59"/>
      <c r="CG68" s="59"/>
      <c r="CH68" s="59"/>
      <c r="CI68" s="59"/>
      <c r="CJ68" s="59"/>
      <c r="CK68" s="59"/>
      <c r="CL68" s="59"/>
      <c r="CM68" s="59"/>
      <c r="CN68" s="59"/>
      <c r="CO68" s="59"/>
      <c r="CP68" s="59"/>
      <c r="CQ68" s="59"/>
      <c r="CR68" s="59"/>
      <c r="CS68" s="59"/>
      <c r="CT68" s="59"/>
      <c r="CU68" s="59"/>
      <c r="CV68" s="59"/>
      <c r="CW68" s="59"/>
      <c r="CX68" s="59"/>
      <c r="CY68" s="59"/>
      <c r="CZ68" s="59"/>
      <c r="DA68" s="59"/>
      <c r="DB68" s="59"/>
      <c r="DC68" s="59"/>
      <c r="DD68" s="59"/>
      <c r="DE68" s="59"/>
      <c r="DF68" s="59"/>
      <c r="DG68" s="59"/>
      <c r="DH68" s="59"/>
      <c r="DI68" s="59"/>
      <c r="DJ68" s="59"/>
      <c r="DK68" s="59"/>
      <c r="DL68" s="59"/>
      <c r="DM68" s="59"/>
      <c r="DN68" s="59"/>
      <c r="DO68" s="59"/>
      <c r="DP68" s="59"/>
      <c r="DQ68" s="59"/>
      <c r="DR68" s="59"/>
      <c r="DS68" s="59"/>
      <c r="DT68" s="59"/>
      <c r="DU68" s="59"/>
      <c r="DV68" s="59"/>
      <c r="DW68" s="59"/>
      <c r="DX68" s="59"/>
      <c r="DY68" s="59"/>
      <c r="DZ68" s="59"/>
      <c r="EA68" s="59"/>
      <c r="EB68" s="59"/>
      <c r="EC68" s="59"/>
      <c r="ED68" s="59"/>
      <c r="EE68" s="59"/>
      <c r="EF68" s="59"/>
      <c r="EG68" s="59"/>
      <c r="EH68" s="59"/>
      <c r="EI68" s="59"/>
      <c r="EJ68" s="59"/>
      <c r="EK68" s="59"/>
      <c r="EL68" s="59"/>
      <c r="EM68" s="59"/>
      <c r="EN68" s="59"/>
      <c r="EO68" s="59"/>
      <c r="EP68" s="59"/>
      <c r="EQ68" s="59"/>
      <c r="ER68" s="59"/>
      <c r="ES68" s="59"/>
      <c r="ET68" s="59"/>
      <c r="EU68" s="59"/>
      <c r="EV68" s="59"/>
      <c r="EW68" s="59"/>
      <c r="EX68" s="59"/>
      <c r="EY68" s="59"/>
      <c r="EZ68" s="59"/>
      <c r="FA68" s="59"/>
      <c r="FB68" s="59"/>
      <c r="FC68" s="59"/>
      <c r="FD68" s="59"/>
      <c r="FE68" s="59"/>
      <c r="FF68" s="59"/>
      <c r="FG68" s="59"/>
      <c r="FH68" s="59"/>
      <c r="FI68" s="59"/>
      <c r="FJ68" s="59"/>
      <c r="FK68" s="59"/>
      <c r="FL68" s="59"/>
      <c r="FM68" s="59"/>
      <c r="FN68" s="59"/>
      <c r="FO68" s="59"/>
      <c r="FP68" s="59"/>
      <c r="FQ68" s="59"/>
      <c r="FR68" s="59"/>
      <c r="FS68" s="59"/>
      <c r="FT68" s="59"/>
      <c r="FU68" s="59"/>
      <c r="FV68" s="59"/>
      <c r="FW68" s="59"/>
      <c r="FX68" s="59"/>
      <c r="FY68" s="59"/>
      <c r="FZ68" s="59"/>
      <c r="GA68" s="59"/>
      <c r="GB68" s="59"/>
      <c r="GC68" s="59"/>
      <c r="GD68" s="59"/>
      <c r="GE68" s="59"/>
      <c r="GF68" s="59"/>
      <c r="GG68" s="59"/>
      <c r="GH68" s="59"/>
      <c r="GI68" s="60"/>
    </row>
    <row r="69" spans="1:191" x14ac:dyDescent="0.15">
      <c r="A69" s="23">
        <v>29</v>
      </c>
      <c r="B69" s="24" t="s">
        <v>140</v>
      </c>
      <c r="C69" s="45" t="s">
        <v>141</v>
      </c>
      <c r="D69" s="26" t="s">
        <v>114</v>
      </c>
      <c r="E69" s="27" t="s">
        <v>13</v>
      </c>
      <c r="F69" s="28">
        <v>42891</v>
      </c>
      <c r="G69" s="28">
        <v>42903</v>
      </c>
      <c r="H69" s="29">
        <f t="shared" si="7"/>
        <v>0</v>
      </c>
      <c r="I69" s="30"/>
      <c r="J69" s="31"/>
      <c r="K69" s="32"/>
      <c r="L69" s="32"/>
      <c r="M69" s="32"/>
      <c r="N69" s="32"/>
      <c r="O69" s="32"/>
      <c r="P69" s="32"/>
      <c r="Q69" s="32"/>
      <c r="R69" s="32"/>
      <c r="S69" s="32"/>
      <c r="T69" s="32"/>
      <c r="U69" s="32"/>
      <c r="V69" s="32"/>
      <c r="W69" s="32"/>
      <c r="X69" s="32"/>
      <c r="Y69" s="32"/>
      <c r="Z69" s="32"/>
      <c r="AA69" s="32"/>
      <c r="AB69" s="32"/>
      <c r="AC69" s="32"/>
      <c r="AD69" s="32"/>
      <c r="AE69" s="32"/>
      <c r="AF69" s="32"/>
      <c r="AG69" s="32"/>
      <c r="AH69" s="32"/>
      <c r="AI69" s="32"/>
      <c r="AJ69" s="32"/>
      <c r="AK69" s="32"/>
      <c r="AL69" s="32"/>
      <c r="AM69" s="32"/>
      <c r="AN69" s="32"/>
      <c r="AO69" s="32"/>
      <c r="AP69" s="33"/>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33"/>
      <c r="CA69" s="33"/>
      <c r="CB69" s="33"/>
      <c r="CC69" s="33"/>
      <c r="CD69" s="33"/>
      <c r="CE69" s="33"/>
      <c r="CF69" s="33"/>
      <c r="CG69" s="33"/>
      <c r="CH69" s="33"/>
      <c r="CI69" s="33"/>
      <c r="CJ69" s="33"/>
      <c r="CK69" s="33"/>
      <c r="CL69" s="33"/>
      <c r="CM69" s="33"/>
      <c r="CN69" s="33"/>
      <c r="CO69" s="33"/>
      <c r="CP69" s="33"/>
      <c r="CQ69" s="33"/>
      <c r="CR69" s="33"/>
      <c r="CS69" s="33"/>
      <c r="CT69" s="33"/>
      <c r="CU69" s="33"/>
      <c r="CV69" s="33"/>
      <c r="CW69" s="33"/>
      <c r="CX69" s="33"/>
      <c r="CY69" s="33"/>
      <c r="CZ69" s="33"/>
      <c r="DA69" s="33"/>
      <c r="DB69" s="33"/>
      <c r="DC69" s="33"/>
      <c r="DD69" s="33"/>
      <c r="DE69" s="33"/>
      <c r="DF69" s="33"/>
      <c r="DG69" s="33"/>
      <c r="DH69" s="33"/>
      <c r="DI69" s="33"/>
      <c r="DJ69" s="33"/>
      <c r="DK69" s="33"/>
      <c r="DL69" s="33"/>
      <c r="DM69" s="33"/>
      <c r="DN69" s="33"/>
      <c r="DO69" s="33"/>
      <c r="DP69" s="33"/>
      <c r="DQ69" s="33"/>
      <c r="DR69" s="33"/>
      <c r="DS69" s="33"/>
      <c r="DT69" s="33"/>
      <c r="DU69" s="33"/>
      <c r="DV69" s="33"/>
      <c r="DW69" s="33"/>
      <c r="DX69" s="33"/>
      <c r="DY69" s="33"/>
      <c r="DZ69" s="33"/>
      <c r="EA69" s="33"/>
      <c r="EB69" s="33"/>
      <c r="EC69" s="33"/>
      <c r="ED69" s="33"/>
      <c r="EE69" s="33"/>
      <c r="EF69" s="33"/>
      <c r="EG69" s="33"/>
      <c r="EH69" s="33"/>
      <c r="EI69" s="33"/>
      <c r="EJ69" s="33"/>
      <c r="EK69" s="33"/>
      <c r="EL69" s="33"/>
      <c r="EM69" s="33"/>
      <c r="EN69" s="33"/>
      <c r="EO69" s="33"/>
      <c r="EP69" s="33"/>
      <c r="EQ69" s="33"/>
      <c r="ER69" s="33"/>
      <c r="ES69" s="33"/>
      <c r="ET69" s="33"/>
      <c r="EU69" s="33"/>
      <c r="EV69" s="33"/>
      <c r="EW69" s="33"/>
      <c r="EX69" s="33"/>
      <c r="EY69" s="33"/>
      <c r="EZ69" s="33"/>
      <c r="FA69" s="33"/>
      <c r="FB69" s="33"/>
      <c r="FC69" s="33"/>
      <c r="FD69" s="33"/>
      <c r="FE69" s="33"/>
      <c r="FF69" s="33"/>
      <c r="FG69" s="33"/>
      <c r="FH69" s="33"/>
      <c r="FI69" s="33"/>
      <c r="FJ69" s="33"/>
      <c r="FK69" s="33"/>
      <c r="FL69" s="33"/>
      <c r="FM69" s="33"/>
      <c r="FN69" s="33"/>
      <c r="FO69" s="33"/>
      <c r="FP69" s="33"/>
      <c r="FQ69" s="33"/>
      <c r="FR69" s="33"/>
      <c r="FS69" s="33"/>
      <c r="FT69" s="33"/>
      <c r="FU69" s="33"/>
      <c r="FV69" s="33"/>
      <c r="FW69" s="33"/>
      <c r="FX69" s="33"/>
      <c r="FY69" s="33"/>
      <c r="FZ69" s="33"/>
      <c r="GA69" s="33"/>
      <c r="GB69" s="33"/>
      <c r="GC69" s="33"/>
      <c r="GD69" s="33"/>
      <c r="GE69" s="33"/>
      <c r="GF69" s="33"/>
      <c r="GG69" s="33"/>
      <c r="GH69" s="33"/>
      <c r="GI69" s="34"/>
    </row>
    <row r="70" spans="1:191" x14ac:dyDescent="0.15">
      <c r="A70" s="35">
        <f>A69</f>
        <v>29</v>
      </c>
      <c r="B70" s="36" t="str">
        <f>B69</f>
        <v>DD</v>
      </c>
      <c r="C70" s="36" t="str">
        <f>C69</f>
        <v>Webアプリ詳細設計書作成</v>
      </c>
      <c r="D70" s="37" t="str">
        <f>D69</f>
        <v>那須</v>
      </c>
      <c r="E70" s="53" t="s">
        <v>0</v>
      </c>
      <c r="F70" s="54"/>
      <c r="G70" s="54"/>
      <c r="H70" s="55">
        <f t="shared" si="7"/>
        <v>0</v>
      </c>
      <c r="I70" s="56">
        <f>IF(OR(H69="",H70=""),"",H70-H69)</f>
        <v>0</v>
      </c>
      <c r="J70" s="57"/>
      <c r="K70" s="58"/>
      <c r="L70" s="58"/>
      <c r="M70" s="58"/>
      <c r="N70" s="58"/>
      <c r="O70" s="58"/>
      <c r="P70" s="58"/>
      <c r="Q70" s="58"/>
      <c r="R70" s="58"/>
      <c r="S70" s="58"/>
      <c r="T70" s="58"/>
      <c r="U70" s="58"/>
      <c r="V70" s="58"/>
      <c r="W70" s="58"/>
      <c r="X70" s="58"/>
      <c r="Y70" s="58"/>
      <c r="Z70" s="58"/>
      <c r="AA70" s="58"/>
      <c r="AB70" s="58"/>
      <c r="AC70" s="58"/>
      <c r="AD70" s="58"/>
      <c r="AE70" s="58"/>
      <c r="AF70" s="58"/>
      <c r="AG70" s="58"/>
      <c r="AH70" s="58"/>
      <c r="AI70" s="58"/>
      <c r="AJ70" s="58"/>
      <c r="AK70" s="58"/>
      <c r="AL70" s="58"/>
      <c r="AM70" s="58"/>
      <c r="AN70" s="58"/>
      <c r="AO70" s="58"/>
      <c r="AP70" s="59"/>
      <c r="AQ70" s="59"/>
      <c r="AR70" s="59"/>
      <c r="AS70" s="59"/>
      <c r="AT70" s="59"/>
      <c r="AU70" s="59"/>
      <c r="AV70" s="59"/>
      <c r="AW70" s="59"/>
      <c r="AX70" s="59"/>
      <c r="AY70" s="59"/>
      <c r="AZ70" s="59"/>
      <c r="BA70" s="59"/>
      <c r="BB70" s="59"/>
      <c r="BC70" s="59"/>
      <c r="BD70" s="59"/>
      <c r="BE70" s="59"/>
      <c r="BF70" s="59"/>
      <c r="BG70" s="59"/>
      <c r="BH70" s="59"/>
      <c r="BI70" s="59"/>
      <c r="BJ70" s="59"/>
      <c r="BK70" s="59"/>
      <c r="BL70" s="59"/>
      <c r="BM70" s="59"/>
      <c r="BN70" s="59"/>
      <c r="BO70" s="59"/>
      <c r="BP70" s="59"/>
      <c r="BQ70" s="59"/>
      <c r="BR70" s="59"/>
      <c r="BS70" s="59"/>
      <c r="BT70" s="59"/>
      <c r="BU70" s="59"/>
      <c r="BV70" s="59"/>
      <c r="BW70" s="59"/>
      <c r="BX70" s="59"/>
      <c r="BY70" s="59"/>
      <c r="BZ70" s="59"/>
      <c r="CA70" s="59"/>
      <c r="CB70" s="59"/>
      <c r="CC70" s="59"/>
      <c r="CD70" s="59"/>
      <c r="CE70" s="59"/>
      <c r="CF70" s="59"/>
      <c r="CG70" s="59"/>
      <c r="CH70" s="59"/>
      <c r="CI70" s="59"/>
      <c r="CJ70" s="59"/>
      <c r="CK70" s="59"/>
      <c r="CL70" s="59"/>
      <c r="CM70" s="59"/>
      <c r="CN70" s="59"/>
      <c r="CO70" s="59"/>
      <c r="CP70" s="59"/>
      <c r="CQ70" s="59"/>
      <c r="CR70" s="59"/>
      <c r="CS70" s="59"/>
      <c r="CT70" s="59"/>
      <c r="CU70" s="59"/>
      <c r="CV70" s="59"/>
      <c r="CW70" s="59"/>
      <c r="CX70" s="59"/>
      <c r="CY70" s="59"/>
      <c r="CZ70" s="59"/>
      <c r="DA70" s="59"/>
      <c r="DB70" s="59"/>
      <c r="DC70" s="59"/>
      <c r="DD70" s="59"/>
      <c r="DE70" s="59"/>
      <c r="DF70" s="59"/>
      <c r="DG70" s="59"/>
      <c r="DH70" s="59"/>
      <c r="DI70" s="59"/>
      <c r="DJ70" s="59"/>
      <c r="DK70" s="59"/>
      <c r="DL70" s="59"/>
      <c r="DM70" s="59"/>
      <c r="DN70" s="59"/>
      <c r="DO70" s="59"/>
      <c r="DP70" s="59"/>
      <c r="DQ70" s="59"/>
      <c r="DR70" s="59"/>
      <c r="DS70" s="59"/>
      <c r="DT70" s="59"/>
      <c r="DU70" s="59"/>
      <c r="DV70" s="59"/>
      <c r="DW70" s="59"/>
      <c r="DX70" s="59"/>
      <c r="DY70" s="59"/>
      <c r="DZ70" s="59"/>
      <c r="EA70" s="59"/>
      <c r="EB70" s="59"/>
      <c r="EC70" s="59"/>
      <c r="ED70" s="59"/>
      <c r="EE70" s="59"/>
      <c r="EF70" s="59"/>
      <c r="EG70" s="59"/>
      <c r="EH70" s="59"/>
      <c r="EI70" s="59"/>
      <c r="EJ70" s="59"/>
      <c r="EK70" s="59"/>
      <c r="EL70" s="59"/>
      <c r="EM70" s="59"/>
      <c r="EN70" s="59"/>
      <c r="EO70" s="59"/>
      <c r="EP70" s="59"/>
      <c r="EQ70" s="59"/>
      <c r="ER70" s="59"/>
      <c r="ES70" s="59"/>
      <c r="ET70" s="59"/>
      <c r="EU70" s="59"/>
      <c r="EV70" s="59"/>
      <c r="EW70" s="59"/>
      <c r="EX70" s="59"/>
      <c r="EY70" s="59"/>
      <c r="EZ70" s="59"/>
      <c r="FA70" s="59"/>
      <c r="FB70" s="59"/>
      <c r="FC70" s="59"/>
      <c r="FD70" s="59"/>
      <c r="FE70" s="59"/>
      <c r="FF70" s="59"/>
      <c r="FG70" s="59"/>
      <c r="FH70" s="59"/>
      <c r="FI70" s="59"/>
      <c r="FJ70" s="59"/>
      <c r="FK70" s="59"/>
      <c r="FL70" s="59"/>
      <c r="FM70" s="59"/>
      <c r="FN70" s="59"/>
      <c r="FO70" s="59"/>
      <c r="FP70" s="59"/>
      <c r="FQ70" s="59"/>
      <c r="FR70" s="59"/>
      <c r="FS70" s="59"/>
      <c r="FT70" s="59"/>
      <c r="FU70" s="59"/>
      <c r="FV70" s="59"/>
      <c r="FW70" s="59"/>
      <c r="FX70" s="59"/>
      <c r="FY70" s="59"/>
      <c r="FZ70" s="59"/>
      <c r="GA70" s="59"/>
      <c r="GB70" s="59"/>
      <c r="GC70" s="59"/>
      <c r="GD70" s="59"/>
      <c r="GE70" s="59"/>
      <c r="GF70" s="59"/>
      <c r="GG70" s="59"/>
      <c r="GH70" s="59"/>
      <c r="GI70" s="60"/>
    </row>
    <row r="71" spans="1:191" x14ac:dyDescent="0.15">
      <c r="A71" s="23">
        <v>30</v>
      </c>
      <c r="B71" s="24" t="s">
        <v>140</v>
      </c>
      <c r="C71" s="45" t="s">
        <v>142</v>
      </c>
      <c r="D71" s="26" t="s">
        <v>170</v>
      </c>
      <c r="E71" s="27" t="s">
        <v>13</v>
      </c>
      <c r="F71" s="28">
        <v>42903</v>
      </c>
      <c r="G71" s="28">
        <v>42904</v>
      </c>
      <c r="H71" s="29">
        <f t="shared" si="7"/>
        <v>0</v>
      </c>
      <c r="I71" s="30"/>
      <c r="J71" s="31"/>
      <c r="K71" s="32"/>
      <c r="L71" s="32"/>
      <c r="M71" s="32"/>
      <c r="N71" s="32"/>
      <c r="O71" s="32"/>
      <c r="P71" s="32"/>
      <c r="Q71" s="32"/>
      <c r="R71" s="32"/>
      <c r="S71" s="32"/>
      <c r="T71" s="32"/>
      <c r="U71" s="32"/>
      <c r="V71" s="32"/>
      <c r="W71" s="32"/>
      <c r="X71" s="32"/>
      <c r="Y71" s="32"/>
      <c r="Z71" s="32"/>
      <c r="AA71" s="32"/>
      <c r="AB71" s="32"/>
      <c r="AC71" s="32"/>
      <c r="AD71" s="32"/>
      <c r="AE71" s="32"/>
      <c r="AF71" s="32"/>
      <c r="AG71" s="32"/>
      <c r="AH71" s="32"/>
      <c r="AI71" s="32"/>
      <c r="AJ71" s="32"/>
      <c r="AK71" s="32"/>
      <c r="AL71" s="32"/>
      <c r="AM71" s="32"/>
      <c r="AN71" s="32"/>
      <c r="AO71" s="32"/>
      <c r="AP71" s="33"/>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33"/>
      <c r="CA71" s="33"/>
      <c r="CB71" s="33"/>
      <c r="CC71" s="33"/>
      <c r="CD71" s="33"/>
      <c r="CE71" s="33"/>
      <c r="CF71" s="33"/>
      <c r="CG71" s="33"/>
      <c r="CH71" s="33"/>
      <c r="CI71" s="33"/>
      <c r="CJ71" s="33"/>
      <c r="CK71" s="33"/>
      <c r="CL71" s="33"/>
      <c r="CM71" s="33"/>
      <c r="CN71" s="33"/>
      <c r="CO71" s="33"/>
      <c r="CP71" s="33"/>
      <c r="CQ71" s="33"/>
      <c r="CR71" s="33"/>
      <c r="CS71" s="33"/>
      <c r="CT71" s="33"/>
      <c r="CU71" s="33"/>
      <c r="CV71" s="33"/>
      <c r="CW71" s="33"/>
      <c r="CX71" s="33"/>
      <c r="CY71" s="33"/>
      <c r="CZ71" s="33"/>
      <c r="DA71" s="33"/>
      <c r="DB71" s="33"/>
      <c r="DC71" s="33"/>
      <c r="DD71" s="33"/>
      <c r="DE71" s="33"/>
      <c r="DF71" s="33"/>
      <c r="DG71" s="33"/>
      <c r="DH71" s="33"/>
      <c r="DI71" s="33"/>
      <c r="DJ71" s="33"/>
      <c r="DK71" s="33"/>
      <c r="DL71" s="33"/>
      <c r="DM71" s="33"/>
      <c r="DN71" s="33"/>
      <c r="DO71" s="33"/>
      <c r="DP71" s="33"/>
      <c r="DQ71" s="33"/>
      <c r="DR71" s="33"/>
      <c r="DS71" s="33"/>
      <c r="DT71" s="33"/>
      <c r="DU71" s="33"/>
      <c r="DV71" s="33"/>
      <c r="DW71" s="33"/>
      <c r="DX71" s="33"/>
      <c r="DY71" s="33"/>
      <c r="DZ71" s="33"/>
      <c r="EA71" s="33"/>
      <c r="EB71" s="33"/>
      <c r="EC71" s="33"/>
      <c r="ED71" s="33"/>
      <c r="EE71" s="33"/>
      <c r="EF71" s="33"/>
      <c r="EG71" s="33"/>
      <c r="EH71" s="33"/>
      <c r="EI71" s="33"/>
      <c r="EJ71" s="33"/>
      <c r="EK71" s="33"/>
      <c r="EL71" s="33"/>
      <c r="EM71" s="33"/>
      <c r="EN71" s="33"/>
      <c r="EO71" s="33"/>
      <c r="EP71" s="33"/>
      <c r="EQ71" s="33"/>
      <c r="ER71" s="33"/>
      <c r="ES71" s="33"/>
      <c r="ET71" s="33"/>
      <c r="EU71" s="33"/>
      <c r="EV71" s="33"/>
      <c r="EW71" s="33"/>
      <c r="EX71" s="33"/>
      <c r="EY71" s="33"/>
      <c r="EZ71" s="33"/>
      <c r="FA71" s="33"/>
      <c r="FB71" s="33"/>
      <c r="FC71" s="33"/>
      <c r="FD71" s="33"/>
      <c r="FE71" s="33"/>
      <c r="FF71" s="33"/>
      <c r="FG71" s="33"/>
      <c r="FH71" s="33"/>
      <c r="FI71" s="33"/>
      <c r="FJ71" s="33"/>
      <c r="FK71" s="33"/>
      <c r="FL71" s="33"/>
      <c r="FM71" s="33"/>
      <c r="FN71" s="33"/>
      <c r="FO71" s="33"/>
      <c r="FP71" s="33"/>
      <c r="FQ71" s="33"/>
      <c r="FR71" s="33"/>
      <c r="FS71" s="33"/>
      <c r="FT71" s="33"/>
      <c r="FU71" s="33"/>
      <c r="FV71" s="33"/>
      <c r="FW71" s="33"/>
      <c r="FX71" s="33"/>
      <c r="FY71" s="33"/>
      <c r="FZ71" s="33"/>
      <c r="GA71" s="33"/>
      <c r="GB71" s="33"/>
      <c r="GC71" s="33"/>
      <c r="GD71" s="33"/>
      <c r="GE71" s="33"/>
      <c r="GF71" s="33"/>
      <c r="GG71" s="33"/>
      <c r="GH71" s="33"/>
      <c r="GI71" s="34"/>
    </row>
    <row r="72" spans="1:191" x14ac:dyDescent="0.15">
      <c r="A72" s="35">
        <f>A71</f>
        <v>30</v>
      </c>
      <c r="B72" s="36" t="str">
        <f>B71</f>
        <v>DD</v>
      </c>
      <c r="C72" s="36" t="str">
        <f>C71</f>
        <v>Webアプリ詳細設計書レビュー</v>
      </c>
      <c r="D72" s="37" t="str">
        <f>D71</f>
        <v>伊藤</v>
      </c>
      <c r="E72" s="53" t="s">
        <v>0</v>
      </c>
      <c r="F72" s="54"/>
      <c r="G72" s="54"/>
      <c r="H72" s="55">
        <f t="shared" si="7"/>
        <v>0</v>
      </c>
      <c r="I72" s="56">
        <f>IF(OR(H71="",H72=""),"",H72-H71)</f>
        <v>0</v>
      </c>
      <c r="J72" s="57"/>
      <c r="K72" s="58"/>
      <c r="L72" s="58"/>
      <c r="M72" s="58"/>
      <c r="N72" s="58"/>
      <c r="O72" s="58"/>
      <c r="P72" s="58"/>
      <c r="Q72" s="58"/>
      <c r="R72" s="58"/>
      <c r="S72" s="58"/>
      <c r="T72" s="58"/>
      <c r="U72" s="58"/>
      <c r="V72" s="58"/>
      <c r="W72" s="58"/>
      <c r="X72" s="58"/>
      <c r="Y72" s="58"/>
      <c r="Z72" s="58"/>
      <c r="AA72" s="58"/>
      <c r="AB72" s="58"/>
      <c r="AC72" s="58"/>
      <c r="AD72" s="58"/>
      <c r="AE72" s="58"/>
      <c r="AF72" s="58"/>
      <c r="AG72" s="58"/>
      <c r="AH72" s="58"/>
      <c r="AI72" s="58"/>
      <c r="AJ72" s="58"/>
      <c r="AK72" s="58"/>
      <c r="AL72" s="58"/>
      <c r="AM72" s="58"/>
      <c r="AN72" s="58"/>
      <c r="AO72" s="58"/>
      <c r="AP72" s="59"/>
      <c r="AQ72" s="59"/>
      <c r="AR72" s="59"/>
      <c r="AS72" s="59"/>
      <c r="AT72" s="59"/>
      <c r="AU72" s="59"/>
      <c r="AV72" s="59"/>
      <c r="AW72" s="59"/>
      <c r="AX72" s="59"/>
      <c r="AY72" s="59"/>
      <c r="AZ72" s="59"/>
      <c r="BA72" s="59"/>
      <c r="BB72" s="59"/>
      <c r="BC72" s="59"/>
      <c r="BD72" s="59"/>
      <c r="BE72" s="59"/>
      <c r="BF72" s="59"/>
      <c r="BG72" s="59"/>
      <c r="BH72" s="59"/>
      <c r="BI72" s="59"/>
      <c r="BJ72" s="59"/>
      <c r="BK72" s="59"/>
      <c r="BL72" s="59"/>
      <c r="BM72" s="59"/>
      <c r="BN72" s="59"/>
      <c r="BO72" s="59"/>
      <c r="BP72" s="59"/>
      <c r="BQ72" s="59"/>
      <c r="BR72" s="59"/>
      <c r="BS72" s="59"/>
      <c r="BT72" s="59"/>
      <c r="BU72" s="59"/>
      <c r="BV72" s="59"/>
      <c r="BW72" s="59"/>
      <c r="BX72" s="59"/>
      <c r="BY72" s="59"/>
      <c r="BZ72" s="59"/>
      <c r="CA72" s="59"/>
      <c r="CB72" s="59"/>
      <c r="CC72" s="59"/>
      <c r="CD72" s="59"/>
      <c r="CE72" s="59"/>
      <c r="CF72" s="59"/>
      <c r="CG72" s="59"/>
      <c r="CH72" s="59"/>
      <c r="CI72" s="59"/>
      <c r="CJ72" s="59"/>
      <c r="CK72" s="59"/>
      <c r="CL72" s="59"/>
      <c r="CM72" s="59"/>
      <c r="CN72" s="59"/>
      <c r="CO72" s="59"/>
      <c r="CP72" s="59"/>
      <c r="CQ72" s="59"/>
      <c r="CR72" s="59"/>
      <c r="CS72" s="59"/>
      <c r="CT72" s="59"/>
      <c r="CU72" s="59"/>
      <c r="CV72" s="59"/>
      <c r="CW72" s="59"/>
      <c r="CX72" s="59"/>
      <c r="CY72" s="59"/>
      <c r="CZ72" s="59"/>
      <c r="DA72" s="59"/>
      <c r="DB72" s="59"/>
      <c r="DC72" s="59"/>
      <c r="DD72" s="59"/>
      <c r="DE72" s="59"/>
      <c r="DF72" s="59"/>
      <c r="DG72" s="59"/>
      <c r="DH72" s="59"/>
      <c r="DI72" s="59"/>
      <c r="DJ72" s="59"/>
      <c r="DK72" s="59"/>
      <c r="DL72" s="59"/>
      <c r="DM72" s="59"/>
      <c r="DN72" s="59"/>
      <c r="DO72" s="59"/>
      <c r="DP72" s="59"/>
      <c r="DQ72" s="59"/>
      <c r="DR72" s="59"/>
      <c r="DS72" s="59"/>
      <c r="DT72" s="59"/>
      <c r="DU72" s="59"/>
      <c r="DV72" s="59"/>
      <c r="DW72" s="59"/>
      <c r="DX72" s="59"/>
      <c r="DY72" s="59"/>
      <c r="DZ72" s="59"/>
      <c r="EA72" s="59"/>
      <c r="EB72" s="59"/>
      <c r="EC72" s="59"/>
      <c r="ED72" s="59"/>
      <c r="EE72" s="59"/>
      <c r="EF72" s="59"/>
      <c r="EG72" s="59"/>
      <c r="EH72" s="59"/>
      <c r="EI72" s="59"/>
      <c r="EJ72" s="59"/>
      <c r="EK72" s="59"/>
      <c r="EL72" s="59"/>
      <c r="EM72" s="59"/>
      <c r="EN72" s="59"/>
      <c r="EO72" s="59"/>
      <c r="EP72" s="59"/>
      <c r="EQ72" s="59"/>
      <c r="ER72" s="59"/>
      <c r="ES72" s="59"/>
      <c r="ET72" s="59"/>
      <c r="EU72" s="59"/>
      <c r="EV72" s="59"/>
      <c r="EW72" s="59"/>
      <c r="EX72" s="59"/>
      <c r="EY72" s="59"/>
      <c r="EZ72" s="59"/>
      <c r="FA72" s="59"/>
      <c r="FB72" s="59"/>
      <c r="FC72" s="59"/>
      <c r="FD72" s="59"/>
      <c r="FE72" s="59"/>
      <c r="FF72" s="59"/>
      <c r="FG72" s="59"/>
      <c r="FH72" s="59"/>
      <c r="FI72" s="59"/>
      <c r="FJ72" s="59"/>
      <c r="FK72" s="59"/>
      <c r="FL72" s="59"/>
      <c r="FM72" s="59"/>
      <c r="FN72" s="59"/>
      <c r="FO72" s="59"/>
      <c r="FP72" s="59"/>
      <c r="FQ72" s="59"/>
      <c r="FR72" s="59"/>
      <c r="FS72" s="59"/>
      <c r="FT72" s="59"/>
      <c r="FU72" s="59"/>
      <c r="FV72" s="59"/>
      <c r="FW72" s="59"/>
      <c r="FX72" s="59"/>
      <c r="FY72" s="59"/>
      <c r="FZ72" s="59"/>
      <c r="GA72" s="59"/>
      <c r="GB72" s="59"/>
      <c r="GC72" s="59"/>
      <c r="GD72" s="59"/>
      <c r="GE72" s="59"/>
      <c r="GF72" s="59"/>
      <c r="GG72" s="59"/>
      <c r="GH72" s="59"/>
      <c r="GI72" s="60"/>
    </row>
    <row r="73" spans="1:191" x14ac:dyDescent="0.15">
      <c r="A73" s="23">
        <v>31</v>
      </c>
      <c r="B73" s="24" t="s">
        <v>140</v>
      </c>
      <c r="C73" s="45" t="s">
        <v>143</v>
      </c>
      <c r="D73" s="26" t="s">
        <v>114</v>
      </c>
      <c r="E73" s="27" t="s">
        <v>13</v>
      </c>
      <c r="F73" s="28">
        <v>42905</v>
      </c>
      <c r="G73" s="28">
        <v>42911</v>
      </c>
      <c r="H73" s="29">
        <f t="shared" si="7"/>
        <v>0</v>
      </c>
      <c r="I73" s="30"/>
      <c r="J73" s="31"/>
      <c r="K73" s="32"/>
      <c r="L73" s="32"/>
      <c r="M73" s="32"/>
      <c r="N73" s="32"/>
      <c r="O73" s="32"/>
      <c r="P73" s="32"/>
      <c r="Q73" s="32"/>
      <c r="R73" s="32"/>
      <c r="S73" s="32"/>
      <c r="T73" s="32"/>
      <c r="U73" s="32"/>
      <c r="V73" s="32"/>
      <c r="W73" s="32"/>
      <c r="X73" s="32"/>
      <c r="Y73" s="32"/>
      <c r="Z73" s="32"/>
      <c r="AA73" s="32"/>
      <c r="AB73" s="32"/>
      <c r="AC73" s="32"/>
      <c r="AD73" s="32"/>
      <c r="AE73" s="32"/>
      <c r="AF73" s="32"/>
      <c r="AG73" s="32"/>
      <c r="AH73" s="32"/>
      <c r="AI73" s="32"/>
      <c r="AJ73" s="32"/>
      <c r="AK73" s="32"/>
      <c r="AL73" s="32"/>
      <c r="AM73" s="32"/>
      <c r="AN73" s="32"/>
      <c r="AO73" s="32"/>
      <c r="AP73" s="33"/>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33"/>
      <c r="CA73" s="33"/>
      <c r="CB73" s="33"/>
      <c r="CC73" s="33"/>
      <c r="CD73" s="33"/>
      <c r="CE73" s="33"/>
      <c r="CF73" s="33"/>
      <c r="CG73" s="33"/>
      <c r="CH73" s="33"/>
      <c r="CI73" s="33"/>
      <c r="CJ73" s="33"/>
      <c r="CK73" s="33"/>
      <c r="CL73" s="33"/>
      <c r="CM73" s="33"/>
      <c r="CN73" s="33"/>
      <c r="CO73" s="33"/>
      <c r="CP73" s="33"/>
      <c r="CQ73" s="33"/>
      <c r="CR73" s="33"/>
      <c r="CS73" s="33"/>
      <c r="CT73" s="33"/>
      <c r="CU73" s="33"/>
      <c r="CV73" s="33"/>
      <c r="CW73" s="33"/>
      <c r="CX73" s="33"/>
      <c r="CY73" s="33"/>
      <c r="CZ73" s="33"/>
      <c r="DA73" s="33"/>
      <c r="DB73" s="33"/>
      <c r="DC73" s="33"/>
      <c r="DD73" s="33"/>
      <c r="DE73" s="33"/>
      <c r="DF73" s="33"/>
      <c r="DG73" s="33"/>
      <c r="DH73" s="33"/>
      <c r="DI73" s="33"/>
      <c r="DJ73" s="33"/>
      <c r="DK73" s="33"/>
      <c r="DL73" s="33"/>
      <c r="DM73" s="33"/>
      <c r="DN73" s="33"/>
      <c r="DO73" s="33"/>
      <c r="DP73" s="33"/>
      <c r="DQ73" s="33"/>
      <c r="DR73" s="33"/>
      <c r="DS73" s="33"/>
      <c r="DT73" s="33"/>
      <c r="DU73" s="33"/>
      <c r="DV73" s="33"/>
      <c r="DW73" s="33"/>
      <c r="DX73" s="33"/>
      <c r="DY73" s="33"/>
      <c r="DZ73" s="33"/>
      <c r="EA73" s="33"/>
      <c r="EB73" s="33"/>
      <c r="EC73" s="33"/>
      <c r="ED73" s="33"/>
      <c r="EE73" s="33"/>
      <c r="EF73" s="33"/>
      <c r="EG73" s="33"/>
      <c r="EH73" s="33"/>
      <c r="EI73" s="33"/>
      <c r="EJ73" s="33"/>
      <c r="EK73" s="33"/>
      <c r="EL73" s="33"/>
      <c r="EM73" s="33"/>
      <c r="EN73" s="33"/>
      <c r="EO73" s="33"/>
      <c r="EP73" s="33"/>
      <c r="EQ73" s="33"/>
      <c r="ER73" s="33"/>
      <c r="ES73" s="33"/>
      <c r="ET73" s="33"/>
      <c r="EU73" s="33"/>
      <c r="EV73" s="33"/>
      <c r="EW73" s="33"/>
      <c r="EX73" s="33"/>
      <c r="EY73" s="33"/>
      <c r="EZ73" s="33"/>
      <c r="FA73" s="33"/>
      <c r="FB73" s="33"/>
      <c r="FC73" s="33"/>
      <c r="FD73" s="33"/>
      <c r="FE73" s="33"/>
      <c r="FF73" s="33"/>
      <c r="FG73" s="33"/>
      <c r="FH73" s="33"/>
      <c r="FI73" s="33"/>
      <c r="FJ73" s="33"/>
      <c r="FK73" s="33"/>
      <c r="FL73" s="33"/>
      <c r="FM73" s="33"/>
      <c r="FN73" s="33"/>
      <c r="FO73" s="33"/>
      <c r="FP73" s="33"/>
      <c r="FQ73" s="33"/>
      <c r="FR73" s="33"/>
      <c r="FS73" s="33"/>
      <c r="FT73" s="33"/>
      <c r="FU73" s="33"/>
      <c r="FV73" s="33"/>
      <c r="FW73" s="33"/>
      <c r="FX73" s="33"/>
      <c r="FY73" s="33"/>
      <c r="FZ73" s="33"/>
      <c r="GA73" s="33"/>
      <c r="GB73" s="33"/>
      <c r="GC73" s="33"/>
      <c r="GD73" s="33"/>
      <c r="GE73" s="33"/>
      <c r="GF73" s="33"/>
      <c r="GG73" s="33"/>
      <c r="GH73" s="33"/>
      <c r="GI73" s="34"/>
    </row>
    <row r="74" spans="1:191" x14ac:dyDescent="0.15">
      <c r="A74" s="35">
        <f>A73</f>
        <v>31</v>
      </c>
      <c r="B74" s="36" t="str">
        <f>B73</f>
        <v>DD</v>
      </c>
      <c r="C74" s="36" t="str">
        <f>C73</f>
        <v>Webアプリ詳細設計書レビュー指摘対応</v>
      </c>
      <c r="D74" s="37" t="str">
        <f>D73</f>
        <v>那須</v>
      </c>
      <c r="E74" s="53" t="s">
        <v>0</v>
      </c>
      <c r="F74" s="54"/>
      <c r="G74" s="54"/>
      <c r="H74" s="55">
        <f t="shared" si="7"/>
        <v>0</v>
      </c>
      <c r="I74" s="56">
        <f>IF(OR(H73="",H74=""),"",H74-H73)</f>
        <v>0</v>
      </c>
      <c r="J74" s="57"/>
      <c r="K74" s="58"/>
      <c r="L74" s="58"/>
      <c r="M74" s="58"/>
      <c r="N74" s="58"/>
      <c r="O74" s="58"/>
      <c r="P74" s="58"/>
      <c r="Q74" s="58"/>
      <c r="R74" s="58"/>
      <c r="S74" s="58"/>
      <c r="T74" s="58"/>
      <c r="U74" s="58"/>
      <c r="V74" s="58"/>
      <c r="W74" s="58"/>
      <c r="X74" s="58"/>
      <c r="Y74" s="58"/>
      <c r="Z74" s="58"/>
      <c r="AA74" s="58"/>
      <c r="AB74" s="58"/>
      <c r="AC74" s="58"/>
      <c r="AD74" s="58"/>
      <c r="AE74" s="58"/>
      <c r="AF74" s="58"/>
      <c r="AG74" s="58"/>
      <c r="AH74" s="58"/>
      <c r="AI74" s="58"/>
      <c r="AJ74" s="58"/>
      <c r="AK74" s="58"/>
      <c r="AL74" s="58"/>
      <c r="AM74" s="58"/>
      <c r="AN74" s="58"/>
      <c r="AO74" s="58"/>
      <c r="AP74" s="59"/>
      <c r="AQ74" s="59"/>
      <c r="AR74" s="59"/>
      <c r="AS74" s="59"/>
      <c r="AT74" s="59"/>
      <c r="AU74" s="59"/>
      <c r="AV74" s="59"/>
      <c r="AW74" s="59"/>
      <c r="AX74" s="59"/>
      <c r="AY74" s="59"/>
      <c r="AZ74" s="59"/>
      <c r="BA74" s="59"/>
      <c r="BB74" s="59"/>
      <c r="BC74" s="59"/>
      <c r="BD74" s="59"/>
      <c r="BE74" s="59"/>
      <c r="BF74" s="59"/>
      <c r="BG74" s="59"/>
      <c r="BH74" s="59"/>
      <c r="BI74" s="59"/>
      <c r="BJ74" s="59"/>
      <c r="BK74" s="59"/>
      <c r="BL74" s="59"/>
      <c r="BM74" s="59"/>
      <c r="BN74" s="59"/>
      <c r="BO74" s="59"/>
      <c r="BP74" s="59"/>
      <c r="BQ74" s="59"/>
      <c r="BR74" s="59"/>
      <c r="BS74" s="59"/>
      <c r="BT74" s="59"/>
      <c r="BU74" s="59"/>
      <c r="BV74" s="59"/>
      <c r="BW74" s="59"/>
      <c r="BX74" s="59"/>
      <c r="BY74" s="59"/>
      <c r="BZ74" s="59"/>
      <c r="CA74" s="59"/>
      <c r="CB74" s="59"/>
      <c r="CC74" s="59"/>
      <c r="CD74" s="59"/>
      <c r="CE74" s="59"/>
      <c r="CF74" s="59"/>
      <c r="CG74" s="59"/>
      <c r="CH74" s="59"/>
      <c r="CI74" s="59"/>
      <c r="CJ74" s="59"/>
      <c r="CK74" s="59"/>
      <c r="CL74" s="59"/>
      <c r="CM74" s="59"/>
      <c r="CN74" s="59"/>
      <c r="CO74" s="59"/>
      <c r="CP74" s="59"/>
      <c r="CQ74" s="59"/>
      <c r="CR74" s="59"/>
      <c r="CS74" s="59"/>
      <c r="CT74" s="59"/>
      <c r="CU74" s="59"/>
      <c r="CV74" s="59"/>
      <c r="CW74" s="59"/>
      <c r="CX74" s="59"/>
      <c r="CY74" s="59"/>
      <c r="CZ74" s="59"/>
      <c r="DA74" s="59"/>
      <c r="DB74" s="59"/>
      <c r="DC74" s="59"/>
      <c r="DD74" s="59"/>
      <c r="DE74" s="59"/>
      <c r="DF74" s="59"/>
      <c r="DG74" s="59"/>
      <c r="DH74" s="59"/>
      <c r="DI74" s="59"/>
      <c r="DJ74" s="59"/>
      <c r="DK74" s="59"/>
      <c r="DL74" s="59"/>
      <c r="DM74" s="59"/>
      <c r="DN74" s="59"/>
      <c r="DO74" s="59"/>
      <c r="DP74" s="59"/>
      <c r="DQ74" s="59"/>
      <c r="DR74" s="59"/>
      <c r="DS74" s="59"/>
      <c r="DT74" s="59"/>
      <c r="DU74" s="59"/>
      <c r="DV74" s="59"/>
      <c r="DW74" s="59"/>
      <c r="DX74" s="59"/>
      <c r="DY74" s="59"/>
      <c r="DZ74" s="59"/>
      <c r="EA74" s="59"/>
      <c r="EB74" s="59"/>
      <c r="EC74" s="59"/>
      <c r="ED74" s="59"/>
      <c r="EE74" s="59"/>
      <c r="EF74" s="59"/>
      <c r="EG74" s="59"/>
      <c r="EH74" s="59"/>
      <c r="EI74" s="59"/>
      <c r="EJ74" s="59"/>
      <c r="EK74" s="59"/>
      <c r="EL74" s="59"/>
      <c r="EM74" s="59"/>
      <c r="EN74" s="59"/>
      <c r="EO74" s="59"/>
      <c r="EP74" s="59"/>
      <c r="EQ74" s="59"/>
      <c r="ER74" s="59"/>
      <c r="ES74" s="59"/>
      <c r="ET74" s="59"/>
      <c r="EU74" s="59"/>
      <c r="EV74" s="59"/>
      <c r="EW74" s="59"/>
      <c r="EX74" s="59"/>
      <c r="EY74" s="59"/>
      <c r="EZ74" s="59"/>
      <c r="FA74" s="59"/>
      <c r="FB74" s="59"/>
      <c r="FC74" s="59"/>
      <c r="FD74" s="59"/>
      <c r="FE74" s="59"/>
      <c r="FF74" s="59"/>
      <c r="FG74" s="59"/>
      <c r="FH74" s="59"/>
      <c r="FI74" s="59"/>
      <c r="FJ74" s="59"/>
      <c r="FK74" s="59"/>
      <c r="FL74" s="59"/>
      <c r="FM74" s="59"/>
      <c r="FN74" s="59"/>
      <c r="FO74" s="59"/>
      <c r="FP74" s="59"/>
      <c r="FQ74" s="59"/>
      <c r="FR74" s="59"/>
      <c r="FS74" s="59"/>
      <c r="FT74" s="59"/>
      <c r="FU74" s="59"/>
      <c r="FV74" s="59"/>
      <c r="FW74" s="59"/>
      <c r="FX74" s="59"/>
      <c r="FY74" s="59"/>
      <c r="FZ74" s="59"/>
      <c r="GA74" s="59"/>
      <c r="GB74" s="59"/>
      <c r="GC74" s="59"/>
      <c r="GD74" s="59"/>
      <c r="GE74" s="59"/>
      <c r="GF74" s="59"/>
      <c r="GG74" s="59"/>
      <c r="GH74" s="59"/>
      <c r="GI74" s="60"/>
    </row>
    <row r="75" spans="1:191" x14ac:dyDescent="0.15">
      <c r="A75" s="23">
        <v>32</v>
      </c>
      <c r="B75" s="24" t="s">
        <v>140</v>
      </c>
      <c r="C75" s="45" t="s">
        <v>144</v>
      </c>
      <c r="D75" s="26" t="s">
        <v>115</v>
      </c>
      <c r="E75" s="27" t="s">
        <v>13</v>
      </c>
      <c r="F75" s="28">
        <v>42891</v>
      </c>
      <c r="G75" s="28">
        <v>42903</v>
      </c>
      <c r="H75" s="29">
        <f t="shared" si="7"/>
        <v>0</v>
      </c>
      <c r="I75" s="30"/>
      <c r="J75" s="31"/>
      <c r="K75" s="32"/>
      <c r="L75" s="32"/>
      <c r="M75" s="32"/>
      <c r="N75" s="32"/>
      <c r="O75" s="32"/>
      <c r="P75" s="32"/>
      <c r="Q75" s="32"/>
      <c r="R75" s="32"/>
      <c r="S75" s="32"/>
      <c r="T75" s="32"/>
      <c r="U75" s="32"/>
      <c r="V75" s="32"/>
      <c r="W75" s="32"/>
      <c r="X75" s="32"/>
      <c r="Y75" s="32"/>
      <c r="Z75" s="32"/>
      <c r="AA75" s="32"/>
      <c r="AB75" s="32"/>
      <c r="AC75" s="32"/>
      <c r="AD75" s="32"/>
      <c r="AE75" s="32"/>
      <c r="AF75" s="32"/>
      <c r="AG75" s="32"/>
      <c r="AH75" s="32"/>
      <c r="AI75" s="32"/>
      <c r="AJ75" s="32"/>
      <c r="AK75" s="32"/>
      <c r="AL75" s="32"/>
      <c r="AM75" s="32"/>
      <c r="AN75" s="32"/>
      <c r="AO75" s="32"/>
      <c r="AP75" s="33"/>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33"/>
      <c r="CA75" s="33"/>
      <c r="CB75" s="33"/>
      <c r="CC75" s="33"/>
      <c r="CD75" s="33"/>
      <c r="CE75" s="33"/>
      <c r="CF75" s="33"/>
      <c r="CG75" s="33"/>
      <c r="CH75" s="33"/>
      <c r="CI75" s="33"/>
      <c r="CJ75" s="33"/>
      <c r="CK75" s="33"/>
      <c r="CL75" s="33"/>
      <c r="CM75" s="33"/>
      <c r="CN75" s="33"/>
      <c r="CO75" s="33"/>
      <c r="CP75" s="33"/>
      <c r="CQ75" s="33"/>
      <c r="CR75" s="33"/>
      <c r="CS75" s="33"/>
      <c r="CT75" s="33"/>
      <c r="CU75" s="33"/>
      <c r="CV75" s="33"/>
      <c r="CW75" s="33"/>
      <c r="CX75" s="33"/>
      <c r="CY75" s="33"/>
      <c r="CZ75" s="33"/>
      <c r="DA75" s="33"/>
      <c r="DB75" s="33"/>
      <c r="DC75" s="33"/>
      <c r="DD75" s="33"/>
      <c r="DE75" s="33"/>
      <c r="DF75" s="33"/>
      <c r="DG75" s="33"/>
      <c r="DH75" s="33"/>
      <c r="DI75" s="33"/>
      <c r="DJ75" s="33"/>
      <c r="DK75" s="33"/>
      <c r="DL75" s="33"/>
      <c r="DM75" s="33"/>
      <c r="DN75" s="33"/>
      <c r="DO75" s="33"/>
      <c r="DP75" s="33"/>
      <c r="DQ75" s="33"/>
      <c r="DR75" s="33"/>
      <c r="DS75" s="33"/>
      <c r="DT75" s="33"/>
      <c r="DU75" s="33"/>
      <c r="DV75" s="33"/>
      <c r="DW75" s="33"/>
      <c r="DX75" s="33"/>
      <c r="DY75" s="33"/>
      <c r="DZ75" s="33"/>
      <c r="EA75" s="33"/>
      <c r="EB75" s="33"/>
      <c r="EC75" s="33"/>
      <c r="ED75" s="33"/>
      <c r="EE75" s="33"/>
      <c r="EF75" s="33"/>
      <c r="EG75" s="33"/>
      <c r="EH75" s="33"/>
      <c r="EI75" s="33"/>
      <c r="EJ75" s="33"/>
      <c r="EK75" s="33"/>
      <c r="EL75" s="33"/>
      <c r="EM75" s="33"/>
      <c r="EN75" s="33"/>
      <c r="EO75" s="33"/>
      <c r="EP75" s="33"/>
      <c r="EQ75" s="33"/>
      <c r="ER75" s="33"/>
      <c r="ES75" s="33"/>
      <c r="ET75" s="33"/>
      <c r="EU75" s="33"/>
      <c r="EV75" s="33"/>
      <c r="EW75" s="33"/>
      <c r="EX75" s="33"/>
      <c r="EY75" s="33"/>
      <c r="EZ75" s="33"/>
      <c r="FA75" s="33"/>
      <c r="FB75" s="33"/>
      <c r="FC75" s="33"/>
      <c r="FD75" s="33"/>
      <c r="FE75" s="33"/>
      <c r="FF75" s="33"/>
      <c r="FG75" s="33"/>
      <c r="FH75" s="33"/>
      <c r="FI75" s="33"/>
      <c r="FJ75" s="33"/>
      <c r="FK75" s="33"/>
      <c r="FL75" s="33"/>
      <c r="FM75" s="33"/>
      <c r="FN75" s="33"/>
      <c r="FO75" s="33"/>
      <c r="FP75" s="33"/>
      <c r="FQ75" s="33"/>
      <c r="FR75" s="33"/>
      <c r="FS75" s="33"/>
      <c r="FT75" s="33"/>
      <c r="FU75" s="33"/>
      <c r="FV75" s="33"/>
      <c r="FW75" s="33"/>
      <c r="FX75" s="33"/>
      <c r="FY75" s="33"/>
      <c r="FZ75" s="33"/>
      <c r="GA75" s="33"/>
      <c r="GB75" s="33"/>
      <c r="GC75" s="33"/>
      <c r="GD75" s="33"/>
      <c r="GE75" s="33"/>
      <c r="GF75" s="33"/>
      <c r="GG75" s="33"/>
      <c r="GH75" s="33"/>
      <c r="GI75" s="34"/>
    </row>
    <row r="76" spans="1:191" x14ac:dyDescent="0.15">
      <c r="A76" s="35">
        <f>A75</f>
        <v>32</v>
      </c>
      <c r="B76" s="36" t="str">
        <f>B75</f>
        <v>DD</v>
      </c>
      <c r="C76" s="36" t="str">
        <f>C75</f>
        <v>監視端末詳細設計書作成</v>
      </c>
      <c r="D76" s="37" t="str">
        <f>D75</f>
        <v>若山</v>
      </c>
      <c r="E76" s="53" t="s">
        <v>0</v>
      </c>
      <c r="F76" s="54"/>
      <c r="G76" s="54"/>
      <c r="H76" s="55">
        <f t="shared" si="7"/>
        <v>0</v>
      </c>
      <c r="I76" s="56">
        <f>IF(OR(H75="",H76=""),"",H76-H75)</f>
        <v>0</v>
      </c>
      <c r="J76" s="57"/>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9"/>
      <c r="AQ76" s="59"/>
      <c r="AR76" s="59"/>
      <c r="AS76" s="59"/>
      <c r="AT76" s="59"/>
      <c r="AU76" s="59"/>
      <c r="AV76" s="59"/>
      <c r="AW76" s="59"/>
      <c r="AX76" s="59"/>
      <c r="AY76" s="59"/>
      <c r="AZ76" s="59"/>
      <c r="BA76" s="59"/>
      <c r="BB76" s="59"/>
      <c r="BC76" s="59"/>
      <c r="BD76" s="59"/>
      <c r="BE76" s="59"/>
      <c r="BF76" s="59"/>
      <c r="BG76" s="59"/>
      <c r="BH76" s="59"/>
      <c r="BI76" s="59"/>
      <c r="BJ76" s="59"/>
      <c r="BK76" s="59"/>
      <c r="BL76" s="59"/>
      <c r="BM76" s="59"/>
      <c r="BN76" s="59"/>
      <c r="BO76" s="59"/>
      <c r="BP76" s="59"/>
      <c r="BQ76" s="59"/>
      <c r="BR76" s="59"/>
      <c r="BS76" s="59"/>
      <c r="BT76" s="59"/>
      <c r="BU76" s="59"/>
      <c r="BV76" s="59"/>
      <c r="BW76" s="59"/>
      <c r="BX76" s="59"/>
      <c r="BY76" s="59"/>
      <c r="BZ76" s="59"/>
      <c r="CA76" s="59"/>
      <c r="CB76" s="59"/>
      <c r="CC76" s="59"/>
      <c r="CD76" s="59"/>
      <c r="CE76" s="59"/>
      <c r="CF76" s="59"/>
      <c r="CG76" s="59"/>
      <c r="CH76" s="59"/>
      <c r="CI76" s="59"/>
      <c r="CJ76" s="59"/>
      <c r="CK76" s="59"/>
      <c r="CL76" s="59"/>
      <c r="CM76" s="59"/>
      <c r="CN76" s="59"/>
      <c r="CO76" s="59"/>
      <c r="CP76" s="59"/>
      <c r="CQ76" s="59"/>
      <c r="CR76" s="59"/>
      <c r="CS76" s="59"/>
      <c r="CT76" s="59"/>
      <c r="CU76" s="59"/>
      <c r="CV76" s="59"/>
      <c r="CW76" s="59"/>
      <c r="CX76" s="59"/>
      <c r="CY76" s="59"/>
      <c r="CZ76" s="59"/>
      <c r="DA76" s="59"/>
      <c r="DB76" s="59"/>
      <c r="DC76" s="59"/>
      <c r="DD76" s="59"/>
      <c r="DE76" s="59"/>
      <c r="DF76" s="59"/>
      <c r="DG76" s="59"/>
      <c r="DH76" s="59"/>
      <c r="DI76" s="59"/>
      <c r="DJ76" s="59"/>
      <c r="DK76" s="59"/>
      <c r="DL76" s="59"/>
      <c r="DM76" s="59"/>
      <c r="DN76" s="59"/>
      <c r="DO76" s="59"/>
      <c r="DP76" s="59"/>
      <c r="DQ76" s="59"/>
      <c r="DR76" s="59"/>
      <c r="DS76" s="59"/>
      <c r="DT76" s="59"/>
      <c r="DU76" s="59"/>
      <c r="DV76" s="59"/>
      <c r="DW76" s="59"/>
      <c r="DX76" s="59"/>
      <c r="DY76" s="59"/>
      <c r="DZ76" s="59"/>
      <c r="EA76" s="59"/>
      <c r="EB76" s="59"/>
      <c r="EC76" s="59"/>
      <c r="ED76" s="59"/>
      <c r="EE76" s="59"/>
      <c r="EF76" s="59"/>
      <c r="EG76" s="59"/>
      <c r="EH76" s="59"/>
      <c r="EI76" s="59"/>
      <c r="EJ76" s="59"/>
      <c r="EK76" s="59"/>
      <c r="EL76" s="59"/>
      <c r="EM76" s="59"/>
      <c r="EN76" s="59"/>
      <c r="EO76" s="59"/>
      <c r="EP76" s="59"/>
      <c r="EQ76" s="59"/>
      <c r="ER76" s="59"/>
      <c r="ES76" s="59"/>
      <c r="ET76" s="59"/>
      <c r="EU76" s="59"/>
      <c r="EV76" s="59"/>
      <c r="EW76" s="59"/>
      <c r="EX76" s="59"/>
      <c r="EY76" s="59"/>
      <c r="EZ76" s="59"/>
      <c r="FA76" s="59"/>
      <c r="FB76" s="59"/>
      <c r="FC76" s="59"/>
      <c r="FD76" s="59"/>
      <c r="FE76" s="59"/>
      <c r="FF76" s="59"/>
      <c r="FG76" s="59"/>
      <c r="FH76" s="59"/>
      <c r="FI76" s="59"/>
      <c r="FJ76" s="59"/>
      <c r="FK76" s="59"/>
      <c r="FL76" s="59"/>
      <c r="FM76" s="59"/>
      <c r="FN76" s="59"/>
      <c r="FO76" s="59"/>
      <c r="FP76" s="59"/>
      <c r="FQ76" s="59"/>
      <c r="FR76" s="59"/>
      <c r="FS76" s="59"/>
      <c r="FT76" s="59"/>
      <c r="FU76" s="59"/>
      <c r="FV76" s="59"/>
      <c r="FW76" s="59"/>
      <c r="FX76" s="59"/>
      <c r="FY76" s="59"/>
      <c r="FZ76" s="59"/>
      <c r="GA76" s="59"/>
      <c r="GB76" s="59"/>
      <c r="GC76" s="59"/>
      <c r="GD76" s="59"/>
      <c r="GE76" s="59"/>
      <c r="GF76" s="59"/>
      <c r="GG76" s="59"/>
      <c r="GH76" s="59"/>
      <c r="GI76" s="60"/>
    </row>
    <row r="77" spans="1:191" x14ac:dyDescent="0.15">
      <c r="A77" s="23">
        <v>33</v>
      </c>
      <c r="B77" s="24" t="s">
        <v>140</v>
      </c>
      <c r="C77" s="45" t="s">
        <v>145</v>
      </c>
      <c r="D77" s="26" t="s">
        <v>170</v>
      </c>
      <c r="E77" s="27" t="s">
        <v>13</v>
      </c>
      <c r="F77" s="28">
        <v>42903</v>
      </c>
      <c r="G77" s="28">
        <v>42904</v>
      </c>
      <c r="H77" s="29">
        <f t="shared" si="7"/>
        <v>0</v>
      </c>
      <c r="I77" s="30"/>
      <c r="J77" s="31"/>
      <c r="K77" s="32"/>
      <c r="L77" s="32"/>
      <c r="M77" s="32"/>
      <c r="N77" s="32"/>
      <c r="O77" s="32"/>
      <c r="P77" s="32"/>
      <c r="Q77" s="32"/>
      <c r="R77" s="32"/>
      <c r="S77" s="32"/>
      <c r="T77" s="32"/>
      <c r="U77" s="32"/>
      <c r="V77" s="32"/>
      <c r="W77" s="32"/>
      <c r="X77" s="32"/>
      <c r="Y77" s="32"/>
      <c r="Z77" s="32"/>
      <c r="AA77" s="32"/>
      <c r="AB77" s="32"/>
      <c r="AC77" s="32"/>
      <c r="AD77" s="32"/>
      <c r="AE77" s="32"/>
      <c r="AF77" s="32"/>
      <c r="AG77" s="32"/>
      <c r="AH77" s="32"/>
      <c r="AI77" s="32"/>
      <c r="AJ77" s="32"/>
      <c r="AK77" s="32"/>
      <c r="AL77" s="32"/>
      <c r="AM77" s="32"/>
      <c r="AN77" s="32"/>
      <c r="AO77" s="32"/>
      <c r="AP77" s="33"/>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33"/>
      <c r="CA77" s="33"/>
      <c r="CB77" s="33"/>
      <c r="CC77" s="33"/>
      <c r="CD77" s="33"/>
      <c r="CE77" s="33"/>
      <c r="CF77" s="33"/>
      <c r="CG77" s="33"/>
      <c r="CH77" s="33"/>
      <c r="CI77" s="33"/>
      <c r="CJ77" s="33"/>
      <c r="CK77" s="33"/>
      <c r="CL77" s="33"/>
      <c r="CM77" s="33"/>
      <c r="CN77" s="33"/>
      <c r="CO77" s="33"/>
      <c r="CP77" s="33"/>
      <c r="CQ77" s="33"/>
      <c r="CR77" s="33"/>
      <c r="CS77" s="33"/>
      <c r="CT77" s="33"/>
      <c r="CU77" s="33"/>
      <c r="CV77" s="33"/>
      <c r="CW77" s="33"/>
      <c r="CX77" s="33"/>
      <c r="CY77" s="33"/>
      <c r="CZ77" s="33"/>
      <c r="DA77" s="33"/>
      <c r="DB77" s="33"/>
      <c r="DC77" s="33"/>
      <c r="DD77" s="33"/>
      <c r="DE77" s="33"/>
      <c r="DF77" s="33"/>
      <c r="DG77" s="33"/>
      <c r="DH77" s="33"/>
      <c r="DI77" s="33"/>
      <c r="DJ77" s="33"/>
      <c r="DK77" s="33"/>
      <c r="DL77" s="33"/>
      <c r="DM77" s="33"/>
      <c r="DN77" s="33"/>
      <c r="DO77" s="33"/>
      <c r="DP77" s="33"/>
      <c r="DQ77" s="33"/>
      <c r="DR77" s="33"/>
      <c r="DS77" s="33"/>
      <c r="DT77" s="33"/>
      <c r="DU77" s="33"/>
      <c r="DV77" s="33"/>
      <c r="DW77" s="33"/>
      <c r="DX77" s="33"/>
      <c r="DY77" s="33"/>
      <c r="DZ77" s="33"/>
      <c r="EA77" s="33"/>
      <c r="EB77" s="33"/>
      <c r="EC77" s="33"/>
      <c r="ED77" s="33"/>
      <c r="EE77" s="33"/>
      <c r="EF77" s="33"/>
      <c r="EG77" s="33"/>
      <c r="EH77" s="33"/>
      <c r="EI77" s="33"/>
      <c r="EJ77" s="33"/>
      <c r="EK77" s="33"/>
      <c r="EL77" s="33"/>
      <c r="EM77" s="33"/>
      <c r="EN77" s="33"/>
      <c r="EO77" s="33"/>
      <c r="EP77" s="33"/>
      <c r="EQ77" s="33"/>
      <c r="ER77" s="33"/>
      <c r="ES77" s="33"/>
      <c r="ET77" s="33"/>
      <c r="EU77" s="33"/>
      <c r="EV77" s="33"/>
      <c r="EW77" s="33"/>
      <c r="EX77" s="33"/>
      <c r="EY77" s="33"/>
      <c r="EZ77" s="33"/>
      <c r="FA77" s="33"/>
      <c r="FB77" s="33"/>
      <c r="FC77" s="33"/>
      <c r="FD77" s="33"/>
      <c r="FE77" s="33"/>
      <c r="FF77" s="33"/>
      <c r="FG77" s="33"/>
      <c r="FH77" s="33"/>
      <c r="FI77" s="33"/>
      <c r="FJ77" s="33"/>
      <c r="FK77" s="33"/>
      <c r="FL77" s="33"/>
      <c r="FM77" s="33"/>
      <c r="FN77" s="33"/>
      <c r="FO77" s="33"/>
      <c r="FP77" s="33"/>
      <c r="FQ77" s="33"/>
      <c r="FR77" s="33"/>
      <c r="FS77" s="33"/>
      <c r="FT77" s="33"/>
      <c r="FU77" s="33"/>
      <c r="FV77" s="33"/>
      <c r="FW77" s="33"/>
      <c r="FX77" s="33"/>
      <c r="FY77" s="33"/>
      <c r="FZ77" s="33"/>
      <c r="GA77" s="33"/>
      <c r="GB77" s="33"/>
      <c r="GC77" s="33"/>
      <c r="GD77" s="33"/>
      <c r="GE77" s="33"/>
      <c r="GF77" s="33"/>
      <c r="GG77" s="33"/>
      <c r="GH77" s="33"/>
      <c r="GI77" s="34"/>
    </row>
    <row r="78" spans="1:191" x14ac:dyDescent="0.15">
      <c r="A78" s="35">
        <f>A77</f>
        <v>33</v>
      </c>
      <c r="B78" s="36" t="str">
        <f>B77</f>
        <v>DD</v>
      </c>
      <c r="C78" s="36" t="str">
        <f>C77</f>
        <v>監視端末詳細設計書レビュー</v>
      </c>
      <c r="D78" s="37" t="str">
        <f>D77</f>
        <v>伊藤</v>
      </c>
      <c r="E78" s="53" t="s">
        <v>0</v>
      </c>
      <c r="F78" s="54"/>
      <c r="G78" s="54"/>
      <c r="H78" s="55">
        <f t="shared" si="7"/>
        <v>0</v>
      </c>
      <c r="I78" s="56">
        <f>IF(OR(H77="",H78=""),"",H78-H77)</f>
        <v>0</v>
      </c>
      <c r="J78" s="57"/>
      <c r="K78" s="58"/>
      <c r="L78" s="58"/>
      <c r="M78" s="58"/>
      <c r="N78" s="58"/>
      <c r="O78" s="58"/>
      <c r="P78" s="58"/>
      <c r="Q78" s="58"/>
      <c r="R78" s="58"/>
      <c r="S78" s="58"/>
      <c r="T78" s="58"/>
      <c r="U78" s="58"/>
      <c r="V78" s="58"/>
      <c r="W78" s="58"/>
      <c r="X78" s="58"/>
      <c r="Y78" s="58"/>
      <c r="Z78" s="58"/>
      <c r="AA78" s="58"/>
      <c r="AB78" s="58"/>
      <c r="AC78" s="58"/>
      <c r="AD78" s="58"/>
      <c r="AE78" s="58"/>
      <c r="AF78" s="58"/>
      <c r="AG78" s="58"/>
      <c r="AH78" s="58"/>
      <c r="AI78" s="58"/>
      <c r="AJ78" s="58"/>
      <c r="AK78" s="58"/>
      <c r="AL78" s="58"/>
      <c r="AM78" s="58"/>
      <c r="AN78" s="58"/>
      <c r="AO78" s="58"/>
      <c r="AP78" s="59"/>
      <c r="AQ78" s="59"/>
      <c r="AR78" s="59"/>
      <c r="AS78" s="59"/>
      <c r="AT78" s="59"/>
      <c r="AU78" s="59"/>
      <c r="AV78" s="59"/>
      <c r="AW78" s="59"/>
      <c r="AX78" s="59"/>
      <c r="AY78" s="59"/>
      <c r="AZ78" s="59"/>
      <c r="BA78" s="59"/>
      <c r="BB78" s="59"/>
      <c r="BC78" s="59"/>
      <c r="BD78" s="59"/>
      <c r="BE78" s="59"/>
      <c r="BF78" s="59"/>
      <c r="BG78" s="59"/>
      <c r="BH78" s="59"/>
      <c r="BI78" s="59"/>
      <c r="BJ78" s="59"/>
      <c r="BK78" s="59"/>
      <c r="BL78" s="59"/>
      <c r="BM78" s="59"/>
      <c r="BN78" s="59"/>
      <c r="BO78" s="59"/>
      <c r="BP78" s="59"/>
      <c r="BQ78" s="59"/>
      <c r="BR78" s="59"/>
      <c r="BS78" s="59"/>
      <c r="BT78" s="59"/>
      <c r="BU78" s="59"/>
      <c r="BV78" s="59"/>
      <c r="BW78" s="59"/>
      <c r="BX78" s="59"/>
      <c r="BY78" s="59"/>
      <c r="BZ78" s="59"/>
      <c r="CA78" s="59"/>
      <c r="CB78" s="59"/>
      <c r="CC78" s="59"/>
      <c r="CD78" s="59"/>
      <c r="CE78" s="59"/>
      <c r="CF78" s="59"/>
      <c r="CG78" s="59"/>
      <c r="CH78" s="59"/>
      <c r="CI78" s="59"/>
      <c r="CJ78" s="59"/>
      <c r="CK78" s="59"/>
      <c r="CL78" s="59"/>
      <c r="CM78" s="59"/>
      <c r="CN78" s="59"/>
      <c r="CO78" s="59"/>
      <c r="CP78" s="59"/>
      <c r="CQ78" s="59"/>
      <c r="CR78" s="59"/>
      <c r="CS78" s="59"/>
      <c r="CT78" s="59"/>
      <c r="CU78" s="59"/>
      <c r="CV78" s="59"/>
      <c r="CW78" s="59"/>
      <c r="CX78" s="59"/>
      <c r="CY78" s="59"/>
      <c r="CZ78" s="59"/>
      <c r="DA78" s="59"/>
      <c r="DB78" s="59"/>
      <c r="DC78" s="59"/>
      <c r="DD78" s="59"/>
      <c r="DE78" s="59"/>
      <c r="DF78" s="59"/>
      <c r="DG78" s="59"/>
      <c r="DH78" s="59"/>
      <c r="DI78" s="59"/>
      <c r="DJ78" s="59"/>
      <c r="DK78" s="59"/>
      <c r="DL78" s="59"/>
      <c r="DM78" s="59"/>
      <c r="DN78" s="59"/>
      <c r="DO78" s="59"/>
      <c r="DP78" s="59"/>
      <c r="DQ78" s="59"/>
      <c r="DR78" s="59"/>
      <c r="DS78" s="59"/>
      <c r="DT78" s="59"/>
      <c r="DU78" s="59"/>
      <c r="DV78" s="59"/>
      <c r="DW78" s="59"/>
      <c r="DX78" s="59"/>
      <c r="DY78" s="59"/>
      <c r="DZ78" s="59"/>
      <c r="EA78" s="59"/>
      <c r="EB78" s="59"/>
      <c r="EC78" s="59"/>
      <c r="ED78" s="59"/>
      <c r="EE78" s="59"/>
      <c r="EF78" s="59"/>
      <c r="EG78" s="59"/>
      <c r="EH78" s="59"/>
      <c r="EI78" s="59"/>
      <c r="EJ78" s="59"/>
      <c r="EK78" s="59"/>
      <c r="EL78" s="59"/>
      <c r="EM78" s="59"/>
      <c r="EN78" s="59"/>
      <c r="EO78" s="59"/>
      <c r="EP78" s="59"/>
      <c r="EQ78" s="59"/>
      <c r="ER78" s="59"/>
      <c r="ES78" s="59"/>
      <c r="ET78" s="59"/>
      <c r="EU78" s="59"/>
      <c r="EV78" s="59"/>
      <c r="EW78" s="59"/>
      <c r="EX78" s="59"/>
      <c r="EY78" s="59"/>
      <c r="EZ78" s="59"/>
      <c r="FA78" s="59"/>
      <c r="FB78" s="59"/>
      <c r="FC78" s="59"/>
      <c r="FD78" s="59"/>
      <c r="FE78" s="59"/>
      <c r="FF78" s="59"/>
      <c r="FG78" s="59"/>
      <c r="FH78" s="59"/>
      <c r="FI78" s="59"/>
      <c r="FJ78" s="59"/>
      <c r="FK78" s="59"/>
      <c r="FL78" s="59"/>
      <c r="FM78" s="59"/>
      <c r="FN78" s="59"/>
      <c r="FO78" s="59"/>
      <c r="FP78" s="59"/>
      <c r="FQ78" s="59"/>
      <c r="FR78" s="59"/>
      <c r="FS78" s="59"/>
      <c r="FT78" s="59"/>
      <c r="FU78" s="59"/>
      <c r="FV78" s="59"/>
      <c r="FW78" s="59"/>
      <c r="FX78" s="59"/>
      <c r="FY78" s="59"/>
      <c r="FZ78" s="59"/>
      <c r="GA78" s="59"/>
      <c r="GB78" s="59"/>
      <c r="GC78" s="59"/>
      <c r="GD78" s="59"/>
      <c r="GE78" s="59"/>
      <c r="GF78" s="59"/>
      <c r="GG78" s="59"/>
      <c r="GH78" s="59"/>
      <c r="GI78" s="60"/>
    </row>
    <row r="79" spans="1:191" x14ac:dyDescent="0.15">
      <c r="A79" s="23">
        <v>34</v>
      </c>
      <c r="B79" s="24" t="s">
        <v>140</v>
      </c>
      <c r="C79" s="45" t="s">
        <v>146</v>
      </c>
      <c r="D79" s="26" t="s">
        <v>115</v>
      </c>
      <c r="E79" s="27" t="s">
        <v>13</v>
      </c>
      <c r="F79" s="28">
        <v>42905</v>
      </c>
      <c r="G79" s="28">
        <v>42911</v>
      </c>
      <c r="H79" s="29">
        <f t="shared" si="7"/>
        <v>0</v>
      </c>
      <c r="I79" s="30"/>
      <c r="J79" s="31"/>
      <c r="K79" s="32"/>
      <c r="L79" s="32"/>
      <c r="M79" s="32"/>
      <c r="N79" s="32"/>
      <c r="O79" s="32"/>
      <c r="P79" s="32"/>
      <c r="Q79" s="32"/>
      <c r="R79" s="32"/>
      <c r="S79" s="32"/>
      <c r="T79" s="32"/>
      <c r="U79" s="32"/>
      <c r="V79" s="32"/>
      <c r="W79" s="32"/>
      <c r="X79" s="32"/>
      <c r="Y79" s="32"/>
      <c r="Z79" s="32"/>
      <c r="AA79" s="32"/>
      <c r="AB79" s="32"/>
      <c r="AC79" s="32"/>
      <c r="AD79" s="32"/>
      <c r="AE79" s="32"/>
      <c r="AF79" s="32"/>
      <c r="AG79" s="32"/>
      <c r="AH79" s="32"/>
      <c r="AI79" s="32"/>
      <c r="AJ79" s="32"/>
      <c r="AK79" s="32"/>
      <c r="AL79" s="32"/>
      <c r="AM79" s="32"/>
      <c r="AN79" s="32"/>
      <c r="AO79" s="32"/>
      <c r="AP79" s="33"/>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33"/>
      <c r="CA79" s="33"/>
      <c r="CB79" s="33"/>
      <c r="CC79" s="33"/>
      <c r="CD79" s="33"/>
      <c r="CE79" s="33"/>
      <c r="CF79" s="33"/>
      <c r="CG79" s="33"/>
      <c r="CH79" s="33"/>
      <c r="CI79" s="33"/>
      <c r="CJ79" s="33"/>
      <c r="CK79" s="33"/>
      <c r="CL79" s="33"/>
      <c r="CM79" s="33"/>
      <c r="CN79" s="33"/>
      <c r="CO79" s="33"/>
      <c r="CP79" s="33"/>
      <c r="CQ79" s="33"/>
      <c r="CR79" s="33"/>
      <c r="CS79" s="33"/>
      <c r="CT79" s="33"/>
      <c r="CU79" s="33"/>
      <c r="CV79" s="33"/>
      <c r="CW79" s="33"/>
      <c r="CX79" s="33"/>
      <c r="CY79" s="33"/>
      <c r="CZ79" s="33"/>
      <c r="DA79" s="33"/>
      <c r="DB79" s="33"/>
      <c r="DC79" s="33"/>
      <c r="DD79" s="33"/>
      <c r="DE79" s="33"/>
      <c r="DF79" s="33"/>
      <c r="DG79" s="33"/>
      <c r="DH79" s="33"/>
      <c r="DI79" s="33"/>
      <c r="DJ79" s="33"/>
      <c r="DK79" s="33"/>
      <c r="DL79" s="33"/>
      <c r="DM79" s="33"/>
      <c r="DN79" s="33"/>
      <c r="DO79" s="33"/>
      <c r="DP79" s="33"/>
      <c r="DQ79" s="33"/>
      <c r="DR79" s="33"/>
      <c r="DS79" s="33"/>
      <c r="DT79" s="33"/>
      <c r="DU79" s="33"/>
      <c r="DV79" s="33"/>
      <c r="DW79" s="33"/>
      <c r="DX79" s="33"/>
      <c r="DY79" s="33"/>
      <c r="DZ79" s="33"/>
      <c r="EA79" s="33"/>
      <c r="EB79" s="33"/>
      <c r="EC79" s="33"/>
      <c r="ED79" s="33"/>
      <c r="EE79" s="33"/>
      <c r="EF79" s="33"/>
      <c r="EG79" s="33"/>
      <c r="EH79" s="33"/>
      <c r="EI79" s="33"/>
      <c r="EJ79" s="33"/>
      <c r="EK79" s="33"/>
      <c r="EL79" s="33"/>
      <c r="EM79" s="33"/>
      <c r="EN79" s="33"/>
      <c r="EO79" s="33"/>
      <c r="EP79" s="33"/>
      <c r="EQ79" s="33"/>
      <c r="ER79" s="33"/>
      <c r="ES79" s="33"/>
      <c r="ET79" s="33"/>
      <c r="EU79" s="33"/>
      <c r="EV79" s="33"/>
      <c r="EW79" s="33"/>
      <c r="EX79" s="33"/>
      <c r="EY79" s="33"/>
      <c r="EZ79" s="33"/>
      <c r="FA79" s="33"/>
      <c r="FB79" s="33"/>
      <c r="FC79" s="33"/>
      <c r="FD79" s="33"/>
      <c r="FE79" s="33"/>
      <c r="FF79" s="33"/>
      <c r="FG79" s="33"/>
      <c r="FH79" s="33"/>
      <c r="FI79" s="33"/>
      <c r="FJ79" s="33"/>
      <c r="FK79" s="33"/>
      <c r="FL79" s="33"/>
      <c r="FM79" s="33"/>
      <c r="FN79" s="33"/>
      <c r="FO79" s="33"/>
      <c r="FP79" s="33"/>
      <c r="FQ79" s="33"/>
      <c r="FR79" s="33"/>
      <c r="FS79" s="33"/>
      <c r="FT79" s="33"/>
      <c r="FU79" s="33"/>
      <c r="FV79" s="33"/>
      <c r="FW79" s="33"/>
      <c r="FX79" s="33"/>
      <c r="FY79" s="33"/>
      <c r="FZ79" s="33"/>
      <c r="GA79" s="33"/>
      <c r="GB79" s="33"/>
      <c r="GC79" s="33"/>
      <c r="GD79" s="33"/>
      <c r="GE79" s="33"/>
      <c r="GF79" s="33"/>
      <c r="GG79" s="33"/>
      <c r="GH79" s="33"/>
      <c r="GI79" s="34"/>
    </row>
    <row r="80" spans="1:191" x14ac:dyDescent="0.15">
      <c r="A80" s="35">
        <f>A79</f>
        <v>34</v>
      </c>
      <c r="B80" s="36" t="str">
        <f>B79</f>
        <v>DD</v>
      </c>
      <c r="C80" s="36" t="str">
        <f>C79</f>
        <v>監視端末詳細設計書レビュー指摘対応</v>
      </c>
      <c r="D80" s="37" t="str">
        <f>D79</f>
        <v>若山</v>
      </c>
      <c r="E80" s="53" t="s">
        <v>0</v>
      </c>
      <c r="F80" s="54"/>
      <c r="G80" s="54"/>
      <c r="H80" s="55">
        <f t="shared" si="7"/>
        <v>0</v>
      </c>
      <c r="I80" s="56">
        <f>IF(OR(H79="",H80=""),"",H80-H79)</f>
        <v>0</v>
      </c>
      <c r="J80" s="57"/>
      <c r="K80" s="58"/>
      <c r="L80" s="58"/>
      <c r="M80" s="58"/>
      <c r="N80" s="58"/>
      <c r="O80" s="58"/>
      <c r="P80" s="58"/>
      <c r="Q80" s="58"/>
      <c r="R80" s="58"/>
      <c r="S80" s="58"/>
      <c r="T80" s="58"/>
      <c r="U80" s="58"/>
      <c r="V80" s="58"/>
      <c r="W80" s="58"/>
      <c r="X80" s="58"/>
      <c r="Y80" s="58"/>
      <c r="Z80" s="58"/>
      <c r="AA80" s="58"/>
      <c r="AB80" s="58"/>
      <c r="AC80" s="58"/>
      <c r="AD80" s="58"/>
      <c r="AE80" s="58"/>
      <c r="AF80" s="58"/>
      <c r="AG80" s="58"/>
      <c r="AH80" s="58"/>
      <c r="AI80" s="58"/>
      <c r="AJ80" s="58"/>
      <c r="AK80" s="58"/>
      <c r="AL80" s="58"/>
      <c r="AM80" s="58"/>
      <c r="AN80" s="58"/>
      <c r="AO80" s="58"/>
      <c r="AP80" s="59"/>
      <c r="AQ80" s="59"/>
      <c r="AR80" s="59"/>
      <c r="AS80" s="59"/>
      <c r="AT80" s="59"/>
      <c r="AU80" s="59"/>
      <c r="AV80" s="59"/>
      <c r="AW80" s="59"/>
      <c r="AX80" s="59"/>
      <c r="AY80" s="59"/>
      <c r="AZ80" s="59"/>
      <c r="BA80" s="59"/>
      <c r="BB80" s="59"/>
      <c r="BC80" s="59"/>
      <c r="BD80" s="59"/>
      <c r="BE80" s="59"/>
      <c r="BF80" s="59"/>
      <c r="BG80" s="59"/>
      <c r="BH80" s="59"/>
      <c r="BI80" s="59"/>
      <c r="BJ80" s="59"/>
      <c r="BK80" s="59"/>
      <c r="BL80" s="59"/>
      <c r="BM80" s="59"/>
      <c r="BN80" s="59"/>
      <c r="BO80" s="59"/>
      <c r="BP80" s="59"/>
      <c r="BQ80" s="59"/>
      <c r="BR80" s="59"/>
      <c r="BS80" s="59"/>
      <c r="BT80" s="59"/>
      <c r="BU80" s="59"/>
      <c r="BV80" s="59"/>
      <c r="BW80" s="59"/>
      <c r="BX80" s="59"/>
      <c r="BY80" s="59"/>
      <c r="BZ80" s="59"/>
      <c r="CA80" s="59"/>
      <c r="CB80" s="59"/>
      <c r="CC80" s="59"/>
      <c r="CD80" s="59"/>
      <c r="CE80" s="59"/>
      <c r="CF80" s="59"/>
      <c r="CG80" s="59"/>
      <c r="CH80" s="59"/>
      <c r="CI80" s="59"/>
      <c r="CJ80" s="59"/>
      <c r="CK80" s="59"/>
      <c r="CL80" s="59"/>
      <c r="CM80" s="59"/>
      <c r="CN80" s="59"/>
      <c r="CO80" s="59"/>
      <c r="CP80" s="59"/>
      <c r="CQ80" s="59"/>
      <c r="CR80" s="59"/>
      <c r="CS80" s="59"/>
      <c r="CT80" s="59"/>
      <c r="CU80" s="59"/>
      <c r="CV80" s="59"/>
      <c r="CW80" s="59"/>
      <c r="CX80" s="59"/>
      <c r="CY80" s="59"/>
      <c r="CZ80" s="59"/>
      <c r="DA80" s="59"/>
      <c r="DB80" s="59"/>
      <c r="DC80" s="59"/>
      <c r="DD80" s="59"/>
      <c r="DE80" s="59"/>
      <c r="DF80" s="59"/>
      <c r="DG80" s="59"/>
      <c r="DH80" s="59"/>
      <c r="DI80" s="59"/>
      <c r="DJ80" s="59"/>
      <c r="DK80" s="59"/>
      <c r="DL80" s="59"/>
      <c r="DM80" s="59"/>
      <c r="DN80" s="59"/>
      <c r="DO80" s="59"/>
      <c r="DP80" s="59"/>
      <c r="DQ80" s="59"/>
      <c r="DR80" s="59"/>
      <c r="DS80" s="59"/>
      <c r="DT80" s="59"/>
      <c r="DU80" s="59"/>
      <c r="DV80" s="59"/>
      <c r="DW80" s="59"/>
      <c r="DX80" s="59"/>
      <c r="DY80" s="59"/>
      <c r="DZ80" s="59"/>
      <c r="EA80" s="59"/>
      <c r="EB80" s="59"/>
      <c r="EC80" s="59"/>
      <c r="ED80" s="59"/>
      <c r="EE80" s="59"/>
      <c r="EF80" s="59"/>
      <c r="EG80" s="59"/>
      <c r="EH80" s="59"/>
      <c r="EI80" s="59"/>
      <c r="EJ80" s="59"/>
      <c r="EK80" s="59"/>
      <c r="EL80" s="59"/>
      <c r="EM80" s="59"/>
      <c r="EN80" s="59"/>
      <c r="EO80" s="59"/>
      <c r="EP80" s="59"/>
      <c r="EQ80" s="59"/>
      <c r="ER80" s="59"/>
      <c r="ES80" s="59"/>
      <c r="ET80" s="59"/>
      <c r="EU80" s="59"/>
      <c r="EV80" s="59"/>
      <c r="EW80" s="59"/>
      <c r="EX80" s="59"/>
      <c r="EY80" s="59"/>
      <c r="EZ80" s="59"/>
      <c r="FA80" s="59"/>
      <c r="FB80" s="59"/>
      <c r="FC80" s="59"/>
      <c r="FD80" s="59"/>
      <c r="FE80" s="59"/>
      <c r="FF80" s="59"/>
      <c r="FG80" s="59"/>
      <c r="FH80" s="59"/>
      <c r="FI80" s="59"/>
      <c r="FJ80" s="59"/>
      <c r="FK80" s="59"/>
      <c r="FL80" s="59"/>
      <c r="FM80" s="59"/>
      <c r="FN80" s="59"/>
      <c r="FO80" s="59"/>
      <c r="FP80" s="59"/>
      <c r="FQ80" s="59"/>
      <c r="FR80" s="59"/>
      <c r="FS80" s="59"/>
      <c r="FT80" s="59"/>
      <c r="FU80" s="59"/>
      <c r="FV80" s="59"/>
      <c r="FW80" s="59"/>
      <c r="FX80" s="59"/>
      <c r="FY80" s="59"/>
      <c r="FZ80" s="59"/>
      <c r="GA80" s="59"/>
      <c r="GB80" s="59"/>
      <c r="GC80" s="59"/>
      <c r="GD80" s="59"/>
      <c r="GE80" s="59"/>
      <c r="GF80" s="59"/>
      <c r="GG80" s="59"/>
      <c r="GH80" s="59"/>
      <c r="GI80" s="60"/>
    </row>
    <row r="81" spans="1:191" x14ac:dyDescent="0.15">
      <c r="A81" s="23">
        <v>35</v>
      </c>
      <c r="B81" s="24" t="s">
        <v>140</v>
      </c>
      <c r="C81" s="45" t="s">
        <v>147</v>
      </c>
      <c r="D81" s="26" t="s">
        <v>171</v>
      </c>
      <c r="E81" s="27" t="s">
        <v>13</v>
      </c>
      <c r="F81" s="28">
        <v>42891</v>
      </c>
      <c r="G81" s="28">
        <v>42903</v>
      </c>
      <c r="H81" s="29">
        <f t="shared" ref="H81:H104" si="8">SUM(J81:GI81)</f>
        <v>0</v>
      </c>
      <c r="I81" s="30"/>
      <c r="J81" s="31"/>
      <c r="K81" s="32"/>
      <c r="L81" s="32"/>
      <c r="M81" s="32"/>
      <c r="N81" s="32"/>
      <c r="O81" s="32"/>
      <c r="P81" s="32"/>
      <c r="Q81" s="32"/>
      <c r="R81" s="32"/>
      <c r="S81" s="32"/>
      <c r="T81" s="32"/>
      <c r="U81" s="32"/>
      <c r="V81" s="32"/>
      <c r="W81" s="32"/>
      <c r="X81" s="32"/>
      <c r="Y81" s="32"/>
      <c r="Z81" s="32"/>
      <c r="AA81" s="32"/>
      <c r="AB81" s="32"/>
      <c r="AC81" s="32"/>
      <c r="AD81" s="32"/>
      <c r="AE81" s="32"/>
      <c r="AF81" s="32"/>
      <c r="AG81" s="32"/>
      <c r="AH81" s="32"/>
      <c r="AI81" s="32"/>
      <c r="AJ81" s="32"/>
      <c r="AK81" s="32"/>
      <c r="AL81" s="32"/>
      <c r="AM81" s="32"/>
      <c r="AN81" s="32"/>
      <c r="AO81" s="32"/>
      <c r="AP81" s="33"/>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33"/>
      <c r="CA81" s="33"/>
      <c r="CB81" s="33"/>
      <c r="CC81" s="33"/>
      <c r="CD81" s="33"/>
      <c r="CE81" s="33"/>
      <c r="CF81" s="33"/>
      <c r="CG81" s="33"/>
      <c r="CH81" s="33"/>
      <c r="CI81" s="33"/>
      <c r="CJ81" s="33"/>
      <c r="CK81" s="33"/>
      <c r="CL81" s="33"/>
      <c r="CM81" s="33"/>
      <c r="CN81" s="33"/>
      <c r="CO81" s="33"/>
      <c r="CP81" s="33"/>
      <c r="CQ81" s="33"/>
      <c r="CR81" s="33"/>
      <c r="CS81" s="33"/>
      <c r="CT81" s="33"/>
      <c r="CU81" s="33"/>
      <c r="CV81" s="33"/>
      <c r="CW81" s="33"/>
      <c r="CX81" s="33"/>
      <c r="CY81" s="33"/>
      <c r="CZ81" s="33"/>
      <c r="DA81" s="33"/>
      <c r="DB81" s="33"/>
      <c r="DC81" s="33"/>
      <c r="DD81" s="33"/>
      <c r="DE81" s="33"/>
      <c r="DF81" s="33"/>
      <c r="DG81" s="33"/>
      <c r="DH81" s="33"/>
      <c r="DI81" s="33"/>
      <c r="DJ81" s="33"/>
      <c r="DK81" s="33"/>
      <c r="DL81" s="33"/>
      <c r="DM81" s="33"/>
      <c r="DN81" s="33"/>
      <c r="DO81" s="33"/>
      <c r="DP81" s="33"/>
      <c r="DQ81" s="33"/>
      <c r="DR81" s="33"/>
      <c r="DS81" s="33"/>
      <c r="DT81" s="33"/>
      <c r="DU81" s="33"/>
      <c r="DV81" s="33"/>
      <c r="DW81" s="33"/>
      <c r="DX81" s="33"/>
      <c r="DY81" s="33"/>
      <c r="DZ81" s="33"/>
      <c r="EA81" s="33"/>
      <c r="EB81" s="33"/>
      <c r="EC81" s="33"/>
      <c r="ED81" s="33"/>
      <c r="EE81" s="33"/>
      <c r="EF81" s="33"/>
      <c r="EG81" s="33"/>
      <c r="EH81" s="33"/>
      <c r="EI81" s="33"/>
      <c r="EJ81" s="33"/>
      <c r="EK81" s="33"/>
      <c r="EL81" s="33"/>
      <c r="EM81" s="33"/>
      <c r="EN81" s="33"/>
      <c r="EO81" s="33"/>
      <c r="EP81" s="33"/>
      <c r="EQ81" s="33"/>
      <c r="ER81" s="33"/>
      <c r="ES81" s="33"/>
      <c r="ET81" s="33"/>
      <c r="EU81" s="33"/>
      <c r="EV81" s="33"/>
      <c r="EW81" s="33"/>
      <c r="EX81" s="33"/>
      <c r="EY81" s="33"/>
      <c r="EZ81" s="33"/>
      <c r="FA81" s="33"/>
      <c r="FB81" s="33"/>
      <c r="FC81" s="33"/>
      <c r="FD81" s="33"/>
      <c r="FE81" s="33"/>
      <c r="FF81" s="33"/>
      <c r="FG81" s="33"/>
      <c r="FH81" s="33"/>
      <c r="FI81" s="33"/>
      <c r="FJ81" s="33"/>
      <c r="FK81" s="33"/>
      <c r="FL81" s="33"/>
      <c r="FM81" s="33"/>
      <c r="FN81" s="33"/>
      <c r="FO81" s="33"/>
      <c r="FP81" s="33"/>
      <c r="FQ81" s="33"/>
      <c r="FR81" s="33"/>
      <c r="FS81" s="33"/>
      <c r="FT81" s="33"/>
      <c r="FU81" s="33"/>
      <c r="FV81" s="33"/>
      <c r="FW81" s="33"/>
      <c r="FX81" s="33"/>
      <c r="FY81" s="33"/>
      <c r="FZ81" s="33"/>
      <c r="GA81" s="33"/>
      <c r="GB81" s="33"/>
      <c r="GC81" s="33"/>
      <c r="GD81" s="33"/>
      <c r="GE81" s="33"/>
      <c r="GF81" s="33"/>
      <c r="GG81" s="33"/>
      <c r="GH81" s="33"/>
      <c r="GI81" s="34"/>
    </row>
    <row r="82" spans="1:191" x14ac:dyDescent="0.15">
      <c r="A82" s="35">
        <f>A81</f>
        <v>35</v>
      </c>
      <c r="B82" s="36" t="str">
        <f>B81</f>
        <v>DD</v>
      </c>
      <c r="C82" s="36" t="str">
        <f>C81</f>
        <v>Webアプリ詳細評価仕様書作成</v>
      </c>
      <c r="D82" s="37" t="str">
        <f>D81</f>
        <v>高澤</v>
      </c>
      <c r="E82" s="53" t="s">
        <v>0</v>
      </c>
      <c r="F82" s="54"/>
      <c r="G82" s="54"/>
      <c r="H82" s="55">
        <f t="shared" si="8"/>
        <v>0</v>
      </c>
      <c r="I82" s="56">
        <f>IF(OR(H81="",H82=""),"",H82-H81)</f>
        <v>0</v>
      </c>
      <c r="J82" s="57"/>
      <c r="K82" s="58"/>
      <c r="L82" s="58"/>
      <c r="M82" s="58"/>
      <c r="N82" s="58"/>
      <c r="O82" s="58"/>
      <c r="P82" s="58"/>
      <c r="Q82" s="58"/>
      <c r="R82" s="58"/>
      <c r="S82" s="58"/>
      <c r="T82" s="58"/>
      <c r="U82" s="58"/>
      <c r="V82" s="58"/>
      <c r="W82" s="58"/>
      <c r="X82" s="58"/>
      <c r="Y82" s="58"/>
      <c r="Z82" s="58"/>
      <c r="AA82" s="58"/>
      <c r="AB82" s="58"/>
      <c r="AC82" s="58"/>
      <c r="AD82" s="58"/>
      <c r="AE82" s="58"/>
      <c r="AF82" s="58"/>
      <c r="AG82" s="58"/>
      <c r="AH82" s="58"/>
      <c r="AI82" s="58"/>
      <c r="AJ82" s="58"/>
      <c r="AK82" s="58"/>
      <c r="AL82" s="58"/>
      <c r="AM82" s="58"/>
      <c r="AN82" s="58"/>
      <c r="AO82" s="58"/>
      <c r="AP82" s="59"/>
      <c r="AQ82" s="59"/>
      <c r="AR82" s="59"/>
      <c r="AS82" s="59"/>
      <c r="AT82" s="59"/>
      <c r="AU82" s="59"/>
      <c r="AV82" s="59"/>
      <c r="AW82" s="59"/>
      <c r="AX82" s="59"/>
      <c r="AY82" s="59"/>
      <c r="AZ82" s="59"/>
      <c r="BA82" s="59"/>
      <c r="BB82" s="59"/>
      <c r="BC82" s="59"/>
      <c r="BD82" s="59"/>
      <c r="BE82" s="59"/>
      <c r="BF82" s="59"/>
      <c r="BG82" s="59"/>
      <c r="BH82" s="59"/>
      <c r="BI82" s="59"/>
      <c r="BJ82" s="59"/>
      <c r="BK82" s="59"/>
      <c r="BL82" s="59"/>
      <c r="BM82" s="59"/>
      <c r="BN82" s="59"/>
      <c r="BO82" s="59"/>
      <c r="BP82" s="59"/>
      <c r="BQ82" s="59"/>
      <c r="BR82" s="59"/>
      <c r="BS82" s="59"/>
      <c r="BT82" s="59"/>
      <c r="BU82" s="59"/>
      <c r="BV82" s="59"/>
      <c r="BW82" s="59"/>
      <c r="BX82" s="59"/>
      <c r="BY82" s="59"/>
      <c r="BZ82" s="59"/>
      <c r="CA82" s="59"/>
      <c r="CB82" s="59"/>
      <c r="CC82" s="59"/>
      <c r="CD82" s="59"/>
      <c r="CE82" s="59"/>
      <c r="CF82" s="59"/>
      <c r="CG82" s="59"/>
      <c r="CH82" s="59"/>
      <c r="CI82" s="59"/>
      <c r="CJ82" s="59"/>
      <c r="CK82" s="59"/>
      <c r="CL82" s="59"/>
      <c r="CM82" s="59"/>
      <c r="CN82" s="59"/>
      <c r="CO82" s="59"/>
      <c r="CP82" s="59"/>
      <c r="CQ82" s="59"/>
      <c r="CR82" s="59"/>
      <c r="CS82" s="59"/>
      <c r="CT82" s="59"/>
      <c r="CU82" s="59"/>
      <c r="CV82" s="59"/>
      <c r="CW82" s="59"/>
      <c r="CX82" s="59"/>
      <c r="CY82" s="59"/>
      <c r="CZ82" s="59"/>
      <c r="DA82" s="59"/>
      <c r="DB82" s="59"/>
      <c r="DC82" s="59"/>
      <c r="DD82" s="59"/>
      <c r="DE82" s="59"/>
      <c r="DF82" s="59"/>
      <c r="DG82" s="59"/>
      <c r="DH82" s="59"/>
      <c r="DI82" s="59"/>
      <c r="DJ82" s="59"/>
      <c r="DK82" s="59"/>
      <c r="DL82" s="59"/>
      <c r="DM82" s="59"/>
      <c r="DN82" s="59"/>
      <c r="DO82" s="59"/>
      <c r="DP82" s="59"/>
      <c r="DQ82" s="59"/>
      <c r="DR82" s="59"/>
      <c r="DS82" s="59"/>
      <c r="DT82" s="59"/>
      <c r="DU82" s="59"/>
      <c r="DV82" s="59"/>
      <c r="DW82" s="59"/>
      <c r="DX82" s="59"/>
      <c r="DY82" s="59"/>
      <c r="DZ82" s="59"/>
      <c r="EA82" s="59"/>
      <c r="EB82" s="59"/>
      <c r="EC82" s="59"/>
      <c r="ED82" s="59"/>
      <c r="EE82" s="59"/>
      <c r="EF82" s="59"/>
      <c r="EG82" s="59"/>
      <c r="EH82" s="59"/>
      <c r="EI82" s="59"/>
      <c r="EJ82" s="59"/>
      <c r="EK82" s="59"/>
      <c r="EL82" s="59"/>
      <c r="EM82" s="59"/>
      <c r="EN82" s="59"/>
      <c r="EO82" s="59"/>
      <c r="EP82" s="59"/>
      <c r="EQ82" s="59"/>
      <c r="ER82" s="59"/>
      <c r="ES82" s="59"/>
      <c r="ET82" s="59"/>
      <c r="EU82" s="59"/>
      <c r="EV82" s="59"/>
      <c r="EW82" s="59"/>
      <c r="EX82" s="59"/>
      <c r="EY82" s="59"/>
      <c r="EZ82" s="59"/>
      <c r="FA82" s="59"/>
      <c r="FB82" s="59"/>
      <c r="FC82" s="59"/>
      <c r="FD82" s="59"/>
      <c r="FE82" s="59"/>
      <c r="FF82" s="59"/>
      <c r="FG82" s="59"/>
      <c r="FH82" s="59"/>
      <c r="FI82" s="59"/>
      <c r="FJ82" s="59"/>
      <c r="FK82" s="59"/>
      <c r="FL82" s="59"/>
      <c r="FM82" s="59"/>
      <c r="FN82" s="59"/>
      <c r="FO82" s="59"/>
      <c r="FP82" s="59"/>
      <c r="FQ82" s="59"/>
      <c r="FR82" s="59"/>
      <c r="FS82" s="59"/>
      <c r="FT82" s="59"/>
      <c r="FU82" s="59"/>
      <c r="FV82" s="59"/>
      <c r="FW82" s="59"/>
      <c r="FX82" s="59"/>
      <c r="FY82" s="59"/>
      <c r="FZ82" s="59"/>
      <c r="GA82" s="59"/>
      <c r="GB82" s="59"/>
      <c r="GC82" s="59"/>
      <c r="GD82" s="59"/>
      <c r="GE82" s="59"/>
      <c r="GF82" s="59"/>
      <c r="GG82" s="59"/>
      <c r="GH82" s="59"/>
      <c r="GI82" s="60"/>
    </row>
    <row r="83" spans="1:191" x14ac:dyDescent="0.15">
      <c r="A83" s="23">
        <v>36</v>
      </c>
      <c r="B83" s="24" t="s">
        <v>140</v>
      </c>
      <c r="C83" s="45" t="s">
        <v>148</v>
      </c>
      <c r="D83" s="26" t="s">
        <v>170</v>
      </c>
      <c r="E83" s="27" t="s">
        <v>13</v>
      </c>
      <c r="F83" s="28">
        <v>42903</v>
      </c>
      <c r="G83" s="28">
        <v>42904</v>
      </c>
      <c r="H83" s="29">
        <f t="shared" si="8"/>
        <v>0</v>
      </c>
      <c r="I83" s="30"/>
      <c r="J83" s="31"/>
      <c r="K83" s="32"/>
      <c r="L83" s="32"/>
      <c r="M83" s="32"/>
      <c r="N83" s="32"/>
      <c r="O83" s="32"/>
      <c r="P83" s="32"/>
      <c r="Q83" s="32"/>
      <c r="R83" s="32"/>
      <c r="S83" s="32"/>
      <c r="T83" s="32"/>
      <c r="U83" s="32"/>
      <c r="V83" s="32"/>
      <c r="W83" s="32"/>
      <c r="X83" s="32"/>
      <c r="Y83" s="32"/>
      <c r="Z83" s="32"/>
      <c r="AA83" s="32"/>
      <c r="AB83" s="32"/>
      <c r="AC83" s="32"/>
      <c r="AD83" s="32"/>
      <c r="AE83" s="32"/>
      <c r="AF83" s="32"/>
      <c r="AG83" s="32"/>
      <c r="AH83" s="32"/>
      <c r="AI83" s="32"/>
      <c r="AJ83" s="32"/>
      <c r="AK83" s="32"/>
      <c r="AL83" s="32"/>
      <c r="AM83" s="32"/>
      <c r="AN83" s="32"/>
      <c r="AO83" s="32"/>
      <c r="AP83" s="33"/>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33"/>
      <c r="CA83" s="33"/>
      <c r="CB83" s="33"/>
      <c r="CC83" s="33"/>
      <c r="CD83" s="33"/>
      <c r="CE83" s="33"/>
      <c r="CF83" s="33"/>
      <c r="CG83" s="33"/>
      <c r="CH83" s="33"/>
      <c r="CI83" s="33"/>
      <c r="CJ83" s="33"/>
      <c r="CK83" s="33"/>
      <c r="CL83" s="33"/>
      <c r="CM83" s="33"/>
      <c r="CN83" s="33"/>
      <c r="CO83" s="33"/>
      <c r="CP83" s="33"/>
      <c r="CQ83" s="33"/>
      <c r="CR83" s="33"/>
      <c r="CS83" s="33"/>
      <c r="CT83" s="33"/>
      <c r="CU83" s="33"/>
      <c r="CV83" s="33"/>
      <c r="CW83" s="33"/>
      <c r="CX83" s="33"/>
      <c r="CY83" s="33"/>
      <c r="CZ83" s="33"/>
      <c r="DA83" s="33"/>
      <c r="DB83" s="33"/>
      <c r="DC83" s="33"/>
      <c r="DD83" s="33"/>
      <c r="DE83" s="33"/>
      <c r="DF83" s="33"/>
      <c r="DG83" s="33"/>
      <c r="DH83" s="33"/>
      <c r="DI83" s="33"/>
      <c r="DJ83" s="33"/>
      <c r="DK83" s="33"/>
      <c r="DL83" s="33"/>
      <c r="DM83" s="33"/>
      <c r="DN83" s="33"/>
      <c r="DO83" s="33"/>
      <c r="DP83" s="33"/>
      <c r="DQ83" s="33"/>
      <c r="DR83" s="33"/>
      <c r="DS83" s="33"/>
      <c r="DT83" s="33"/>
      <c r="DU83" s="33"/>
      <c r="DV83" s="33"/>
      <c r="DW83" s="33"/>
      <c r="DX83" s="33"/>
      <c r="DY83" s="33"/>
      <c r="DZ83" s="33"/>
      <c r="EA83" s="33"/>
      <c r="EB83" s="33"/>
      <c r="EC83" s="33"/>
      <c r="ED83" s="33"/>
      <c r="EE83" s="33"/>
      <c r="EF83" s="33"/>
      <c r="EG83" s="33"/>
      <c r="EH83" s="33"/>
      <c r="EI83" s="33"/>
      <c r="EJ83" s="33"/>
      <c r="EK83" s="33"/>
      <c r="EL83" s="33"/>
      <c r="EM83" s="33"/>
      <c r="EN83" s="33"/>
      <c r="EO83" s="33"/>
      <c r="EP83" s="33"/>
      <c r="EQ83" s="33"/>
      <c r="ER83" s="33"/>
      <c r="ES83" s="33"/>
      <c r="ET83" s="33"/>
      <c r="EU83" s="33"/>
      <c r="EV83" s="33"/>
      <c r="EW83" s="33"/>
      <c r="EX83" s="33"/>
      <c r="EY83" s="33"/>
      <c r="EZ83" s="33"/>
      <c r="FA83" s="33"/>
      <c r="FB83" s="33"/>
      <c r="FC83" s="33"/>
      <c r="FD83" s="33"/>
      <c r="FE83" s="33"/>
      <c r="FF83" s="33"/>
      <c r="FG83" s="33"/>
      <c r="FH83" s="33"/>
      <c r="FI83" s="33"/>
      <c r="FJ83" s="33"/>
      <c r="FK83" s="33"/>
      <c r="FL83" s="33"/>
      <c r="FM83" s="33"/>
      <c r="FN83" s="33"/>
      <c r="FO83" s="33"/>
      <c r="FP83" s="33"/>
      <c r="FQ83" s="33"/>
      <c r="FR83" s="33"/>
      <c r="FS83" s="33"/>
      <c r="FT83" s="33"/>
      <c r="FU83" s="33"/>
      <c r="FV83" s="33"/>
      <c r="FW83" s="33"/>
      <c r="FX83" s="33"/>
      <c r="FY83" s="33"/>
      <c r="FZ83" s="33"/>
      <c r="GA83" s="33"/>
      <c r="GB83" s="33"/>
      <c r="GC83" s="33"/>
      <c r="GD83" s="33"/>
      <c r="GE83" s="33"/>
      <c r="GF83" s="33"/>
      <c r="GG83" s="33"/>
      <c r="GH83" s="33"/>
      <c r="GI83" s="34"/>
    </row>
    <row r="84" spans="1:191" x14ac:dyDescent="0.15">
      <c r="A84" s="35">
        <f>A83</f>
        <v>36</v>
      </c>
      <c r="B84" s="36" t="str">
        <f>B83</f>
        <v>DD</v>
      </c>
      <c r="C84" s="36" t="str">
        <f>C83</f>
        <v>Webアプリ詳細評価仕様書レビュー</v>
      </c>
      <c r="D84" s="37" t="str">
        <f>D83</f>
        <v>伊藤</v>
      </c>
      <c r="E84" s="53" t="s">
        <v>0</v>
      </c>
      <c r="F84" s="54"/>
      <c r="G84" s="54"/>
      <c r="H84" s="55">
        <f t="shared" si="8"/>
        <v>0</v>
      </c>
      <c r="I84" s="56">
        <f>IF(OR(H83="",H84=""),"",H84-H83)</f>
        <v>0</v>
      </c>
      <c r="J84" s="57"/>
      <c r="K84" s="58"/>
      <c r="L84" s="58"/>
      <c r="M84" s="58"/>
      <c r="N84" s="58"/>
      <c r="O84" s="58"/>
      <c r="P84" s="58"/>
      <c r="Q84" s="58"/>
      <c r="R84" s="58"/>
      <c r="S84" s="58"/>
      <c r="T84" s="58"/>
      <c r="U84" s="58"/>
      <c r="V84" s="58"/>
      <c r="W84" s="58"/>
      <c r="X84" s="58"/>
      <c r="Y84" s="58"/>
      <c r="Z84" s="58"/>
      <c r="AA84" s="58"/>
      <c r="AB84" s="58"/>
      <c r="AC84" s="58"/>
      <c r="AD84" s="58"/>
      <c r="AE84" s="58"/>
      <c r="AF84" s="58"/>
      <c r="AG84" s="58"/>
      <c r="AH84" s="58"/>
      <c r="AI84" s="58"/>
      <c r="AJ84" s="58"/>
      <c r="AK84" s="58"/>
      <c r="AL84" s="58"/>
      <c r="AM84" s="58"/>
      <c r="AN84" s="58"/>
      <c r="AO84" s="58"/>
      <c r="AP84" s="59"/>
      <c r="AQ84" s="59"/>
      <c r="AR84" s="59"/>
      <c r="AS84" s="59"/>
      <c r="AT84" s="59"/>
      <c r="AU84" s="59"/>
      <c r="AV84" s="59"/>
      <c r="AW84" s="59"/>
      <c r="AX84" s="59"/>
      <c r="AY84" s="59"/>
      <c r="AZ84" s="59"/>
      <c r="BA84" s="59"/>
      <c r="BB84" s="59"/>
      <c r="BC84" s="59"/>
      <c r="BD84" s="59"/>
      <c r="BE84" s="59"/>
      <c r="BF84" s="59"/>
      <c r="BG84" s="59"/>
      <c r="BH84" s="59"/>
      <c r="BI84" s="59"/>
      <c r="BJ84" s="59"/>
      <c r="BK84" s="59"/>
      <c r="BL84" s="59"/>
      <c r="BM84" s="59"/>
      <c r="BN84" s="59"/>
      <c r="BO84" s="59"/>
      <c r="BP84" s="59"/>
      <c r="BQ84" s="59"/>
      <c r="BR84" s="59"/>
      <c r="BS84" s="59"/>
      <c r="BT84" s="59"/>
      <c r="BU84" s="59"/>
      <c r="BV84" s="59"/>
      <c r="BW84" s="59"/>
      <c r="BX84" s="59"/>
      <c r="BY84" s="59"/>
      <c r="BZ84" s="59"/>
      <c r="CA84" s="59"/>
      <c r="CB84" s="59"/>
      <c r="CC84" s="59"/>
      <c r="CD84" s="59"/>
      <c r="CE84" s="59"/>
      <c r="CF84" s="59"/>
      <c r="CG84" s="59"/>
      <c r="CH84" s="59"/>
      <c r="CI84" s="59"/>
      <c r="CJ84" s="59"/>
      <c r="CK84" s="59"/>
      <c r="CL84" s="59"/>
      <c r="CM84" s="59"/>
      <c r="CN84" s="59"/>
      <c r="CO84" s="59"/>
      <c r="CP84" s="59"/>
      <c r="CQ84" s="59"/>
      <c r="CR84" s="59"/>
      <c r="CS84" s="59"/>
      <c r="CT84" s="59"/>
      <c r="CU84" s="59"/>
      <c r="CV84" s="59"/>
      <c r="CW84" s="59"/>
      <c r="CX84" s="59"/>
      <c r="CY84" s="59"/>
      <c r="CZ84" s="59"/>
      <c r="DA84" s="59"/>
      <c r="DB84" s="59"/>
      <c r="DC84" s="59"/>
      <c r="DD84" s="59"/>
      <c r="DE84" s="59"/>
      <c r="DF84" s="59"/>
      <c r="DG84" s="59"/>
      <c r="DH84" s="59"/>
      <c r="DI84" s="59"/>
      <c r="DJ84" s="59"/>
      <c r="DK84" s="59"/>
      <c r="DL84" s="59"/>
      <c r="DM84" s="59"/>
      <c r="DN84" s="59"/>
      <c r="DO84" s="59"/>
      <c r="DP84" s="59"/>
      <c r="DQ84" s="59"/>
      <c r="DR84" s="59"/>
      <c r="DS84" s="59"/>
      <c r="DT84" s="59"/>
      <c r="DU84" s="59"/>
      <c r="DV84" s="59"/>
      <c r="DW84" s="59"/>
      <c r="DX84" s="59"/>
      <c r="DY84" s="59"/>
      <c r="DZ84" s="59"/>
      <c r="EA84" s="59"/>
      <c r="EB84" s="59"/>
      <c r="EC84" s="59"/>
      <c r="ED84" s="59"/>
      <c r="EE84" s="59"/>
      <c r="EF84" s="59"/>
      <c r="EG84" s="59"/>
      <c r="EH84" s="59"/>
      <c r="EI84" s="59"/>
      <c r="EJ84" s="59"/>
      <c r="EK84" s="59"/>
      <c r="EL84" s="59"/>
      <c r="EM84" s="59"/>
      <c r="EN84" s="59"/>
      <c r="EO84" s="59"/>
      <c r="EP84" s="59"/>
      <c r="EQ84" s="59"/>
      <c r="ER84" s="59"/>
      <c r="ES84" s="59"/>
      <c r="ET84" s="59"/>
      <c r="EU84" s="59"/>
      <c r="EV84" s="59"/>
      <c r="EW84" s="59"/>
      <c r="EX84" s="59"/>
      <c r="EY84" s="59"/>
      <c r="EZ84" s="59"/>
      <c r="FA84" s="59"/>
      <c r="FB84" s="59"/>
      <c r="FC84" s="59"/>
      <c r="FD84" s="59"/>
      <c r="FE84" s="59"/>
      <c r="FF84" s="59"/>
      <c r="FG84" s="59"/>
      <c r="FH84" s="59"/>
      <c r="FI84" s="59"/>
      <c r="FJ84" s="59"/>
      <c r="FK84" s="59"/>
      <c r="FL84" s="59"/>
      <c r="FM84" s="59"/>
      <c r="FN84" s="59"/>
      <c r="FO84" s="59"/>
      <c r="FP84" s="59"/>
      <c r="FQ84" s="59"/>
      <c r="FR84" s="59"/>
      <c r="FS84" s="59"/>
      <c r="FT84" s="59"/>
      <c r="FU84" s="59"/>
      <c r="FV84" s="59"/>
      <c r="FW84" s="59"/>
      <c r="FX84" s="59"/>
      <c r="FY84" s="59"/>
      <c r="FZ84" s="59"/>
      <c r="GA84" s="59"/>
      <c r="GB84" s="59"/>
      <c r="GC84" s="59"/>
      <c r="GD84" s="59"/>
      <c r="GE84" s="59"/>
      <c r="GF84" s="59"/>
      <c r="GG84" s="59"/>
      <c r="GH84" s="59"/>
      <c r="GI84" s="60"/>
    </row>
    <row r="85" spans="1:191" x14ac:dyDescent="0.15">
      <c r="A85" s="23">
        <v>37</v>
      </c>
      <c r="B85" s="24" t="s">
        <v>140</v>
      </c>
      <c r="C85" s="45" t="s">
        <v>149</v>
      </c>
      <c r="D85" s="26" t="s">
        <v>171</v>
      </c>
      <c r="E85" s="27" t="s">
        <v>13</v>
      </c>
      <c r="F85" s="28">
        <v>42905</v>
      </c>
      <c r="G85" s="28">
        <v>42911</v>
      </c>
      <c r="H85" s="29">
        <f t="shared" si="8"/>
        <v>0</v>
      </c>
      <c r="I85" s="30"/>
      <c r="J85" s="31"/>
      <c r="K85" s="32"/>
      <c r="L85" s="32"/>
      <c r="M85" s="32"/>
      <c r="N85" s="32"/>
      <c r="O85" s="32"/>
      <c r="P85" s="32"/>
      <c r="Q85" s="32"/>
      <c r="R85" s="32"/>
      <c r="S85" s="32"/>
      <c r="T85" s="32"/>
      <c r="U85" s="32"/>
      <c r="V85" s="32"/>
      <c r="W85" s="32"/>
      <c r="X85" s="32"/>
      <c r="Y85" s="32"/>
      <c r="Z85" s="32"/>
      <c r="AA85" s="32"/>
      <c r="AB85" s="32"/>
      <c r="AC85" s="32"/>
      <c r="AD85" s="32"/>
      <c r="AE85" s="32"/>
      <c r="AF85" s="32"/>
      <c r="AG85" s="32"/>
      <c r="AH85" s="32"/>
      <c r="AI85" s="32"/>
      <c r="AJ85" s="32"/>
      <c r="AK85" s="32"/>
      <c r="AL85" s="32"/>
      <c r="AM85" s="32"/>
      <c r="AN85" s="32"/>
      <c r="AO85" s="32"/>
      <c r="AP85" s="33"/>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33"/>
      <c r="CA85" s="33"/>
      <c r="CB85" s="33"/>
      <c r="CC85" s="33"/>
      <c r="CD85" s="33"/>
      <c r="CE85" s="33"/>
      <c r="CF85" s="33"/>
      <c r="CG85" s="33"/>
      <c r="CH85" s="33"/>
      <c r="CI85" s="33"/>
      <c r="CJ85" s="33"/>
      <c r="CK85" s="33"/>
      <c r="CL85" s="33"/>
      <c r="CM85" s="33"/>
      <c r="CN85" s="33"/>
      <c r="CO85" s="33"/>
      <c r="CP85" s="33"/>
      <c r="CQ85" s="33"/>
      <c r="CR85" s="33"/>
      <c r="CS85" s="33"/>
      <c r="CT85" s="33"/>
      <c r="CU85" s="33"/>
      <c r="CV85" s="33"/>
      <c r="CW85" s="33"/>
      <c r="CX85" s="33"/>
      <c r="CY85" s="33"/>
      <c r="CZ85" s="33"/>
      <c r="DA85" s="33"/>
      <c r="DB85" s="33"/>
      <c r="DC85" s="33"/>
      <c r="DD85" s="33"/>
      <c r="DE85" s="33"/>
      <c r="DF85" s="33"/>
      <c r="DG85" s="33"/>
      <c r="DH85" s="33"/>
      <c r="DI85" s="33"/>
      <c r="DJ85" s="33"/>
      <c r="DK85" s="33"/>
      <c r="DL85" s="33"/>
      <c r="DM85" s="33"/>
      <c r="DN85" s="33"/>
      <c r="DO85" s="33"/>
      <c r="DP85" s="33"/>
      <c r="DQ85" s="33"/>
      <c r="DR85" s="33"/>
      <c r="DS85" s="33"/>
      <c r="DT85" s="33"/>
      <c r="DU85" s="33"/>
      <c r="DV85" s="33"/>
      <c r="DW85" s="33"/>
      <c r="DX85" s="33"/>
      <c r="DY85" s="33"/>
      <c r="DZ85" s="33"/>
      <c r="EA85" s="33"/>
      <c r="EB85" s="33"/>
      <c r="EC85" s="33"/>
      <c r="ED85" s="33"/>
      <c r="EE85" s="33"/>
      <c r="EF85" s="33"/>
      <c r="EG85" s="33"/>
      <c r="EH85" s="33"/>
      <c r="EI85" s="33"/>
      <c r="EJ85" s="33"/>
      <c r="EK85" s="33"/>
      <c r="EL85" s="33"/>
      <c r="EM85" s="33"/>
      <c r="EN85" s="33"/>
      <c r="EO85" s="33"/>
      <c r="EP85" s="33"/>
      <c r="EQ85" s="33"/>
      <c r="ER85" s="33"/>
      <c r="ES85" s="33"/>
      <c r="ET85" s="33"/>
      <c r="EU85" s="33"/>
      <c r="EV85" s="33"/>
      <c r="EW85" s="33"/>
      <c r="EX85" s="33"/>
      <c r="EY85" s="33"/>
      <c r="EZ85" s="33"/>
      <c r="FA85" s="33"/>
      <c r="FB85" s="33"/>
      <c r="FC85" s="33"/>
      <c r="FD85" s="33"/>
      <c r="FE85" s="33"/>
      <c r="FF85" s="33"/>
      <c r="FG85" s="33"/>
      <c r="FH85" s="33"/>
      <c r="FI85" s="33"/>
      <c r="FJ85" s="33"/>
      <c r="FK85" s="33"/>
      <c r="FL85" s="33"/>
      <c r="FM85" s="33"/>
      <c r="FN85" s="33"/>
      <c r="FO85" s="33"/>
      <c r="FP85" s="33"/>
      <c r="FQ85" s="33"/>
      <c r="FR85" s="33"/>
      <c r="FS85" s="33"/>
      <c r="FT85" s="33"/>
      <c r="FU85" s="33"/>
      <c r="FV85" s="33"/>
      <c r="FW85" s="33"/>
      <c r="FX85" s="33"/>
      <c r="FY85" s="33"/>
      <c r="FZ85" s="33"/>
      <c r="GA85" s="33"/>
      <c r="GB85" s="33"/>
      <c r="GC85" s="33"/>
      <c r="GD85" s="33"/>
      <c r="GE85" s="33"/>
      <c r="GF85" s="33"/>
      <c r="GG85" s="33"/>
      <c r="GH85" s="33"/>
      <c r="GI85" s="34"/>
    </row>
    <row r="86" spans="1:191" x14ac:dyDescent="0.15">
      <c r="A86" s="35">
        <f>A85</f>
        <v>37</v>
      </c>
      <c r="B86" s="36" t="str">
        <f>B85</f>
        <v>DD</v>
      </c>
      <c r="C86" s="36" t="str">
        <f>C85</f>
        <v>Webアプリ詳細評価仕様書レビュー指摘対応</v>
      </c>
      <c r="D86" s="37" t="str">
        <f>D85</f>
        <v>高澤</v>
      </c>
      <c r="E86" s="53" t="s">
        <v>0</v>
      </c>
      <c r="F86" s="54"/>
      <c r="G86" s="54"/>
      <c r="H86" s="55">
        <f t="shared" si="8"/>
        <v>0</v>
      </c>
      <c r="I86" s="56">
        <f>IF(OR(H85="",H86=""),"",H86-H85)</f>
        <v>0</v>
      </c>
      <c r="J86" s="57"/>
      <c r="K86" s="58"/>
      <c r="L86" s="58"/>
      <c r="M86" s="58"/>
      <c r="N86" s="58"/>
      <c r="O86" s="58"/>
      <c r="P86" s="58"/>
      <c r="Q86" s="58"/>
      <c r="R86" s="58"/>
      <c r="S86" s="58"/>
      <c r="T86" s="58"/>
      <c r="U86" s="58"/>
      <c r="V86" s="58"/>
      <c r="W86" s="58"/>
      <c r="X86" s="58"/>
      <c r="Y86" s="58"/>
      <c r="Z86" s="58"/>
      <c r="AA86" s="58"/>
      <c r="AB86" s="58"/>
      <c r="AC86" s="58"/>
      <c r="AD86" s="58"/>
      <c r="AE86" s="58"/>
      <c r="AF86" s="58"/>
      <c r="AG86" s="58"/>
      <c r="AH86" s="58"/>
      <c r="AI86" s="58"/>
      <c r="AJ86" s="58"/>
      <c r="AK86" s="58"/>
      <c r="AL86" s="58"/>
      <c r="AM86" s="58"/>
      <c r="AN86" s="58"/>
      <c r="AO86" s="58"/>
      <c r="AP86" s="59"/>
      <c r="AQ86" s="59"/>
      <c r="AR86" s="59"/>
      <c r="AS86" s="59"/>
      <c r="AT86" s="59"/>
      <c r="AU86" s="59"/>
      <c r="AV86" s="59"/>
      <c r="AW86" s="59"/>
      <c r="AX86" s="59"/>
      <c r="AY86" s="59"/>
      <c r="AZ86" s="59"/>
      <c r="BA86" s="59"/>
      <c r="BB86" s="59"/>
      <c r="BC86" s="59"/>
      <c r="BD86" s="59"/>
      <c r="BE86" s="59"/>
      <c r="BF86" s="59"/>
      <c r="BG86" s="59"/>
      <c r="BH86" s="59"/>
      <c r="BI86" s="59"/>
      <c r="BJ86" s="59"/>
      <c r="BK86" s="59"/>
      <c r="BL86" s="59"/>
      <c r="BM86" s="59"/>
      <c r="BN86" s="59"/>
      <c r="BO86" s="59"/>
      <c r="BP86" s="59"/>
      <c r="BQ86" s="59"/>
      <c r="BR86" s="59"/>
      <c r="BS86" s="59"/>
      <c r="BT86" s="59"/>
      <c r="BU86" s="59"/>
      <c r="BV86" s="59"/>
      <c r="BW86" s="59"/>
      <c r="BX86" s="59"/>
      <c r="BY86" s="59"/>
      <c r="BZ86" s="59"/>
      <c r="CA86" s="59"/>
      <c r="CB86" s="59"/>
      <c r="CC86" s="59"/>
      <c r="CD86" s="59"/>
      <c r="CE86" s="59"/>
      <c r="CF86" s="59"/>
      <c r="CG86" s="59"/>
      <c r="CH86" s="59"/>
      <c r="CI86" s="59"/>
      <c r="CJ86" s="59"/>
      <c r="CK86" s="59"/>
      <c r="CL86" s="59"/>
      <c r="CM86" s="59"/>
      <c r="CN86" s="59"/>
      <c r="CO86" s="59"/>
      <c r="CP86" s="59"/>
      <c r="CQ86" s="59"/>
      <c r="CR86" s="59"/>
      <c r="CS86" s="59"/>
      <c r="CT86" s="59"/>
      <c r="CU86" s="59"/>
      <c r="CV86" s="59"/>
      <c r="CW86" s="59"/>
      <c r="CX86" s="59"/>
      <c r="CY86" s="59"/>
      <c r="CZ86" s="59"/>
      <c r="DA86" s="59"/>
      <c r="DB86" s="59"/>
      <c r="DC86" s="59"/>
      <c r="DD86" s="59"/>
      <c r="DE86" s="59"/>
      <c r="DF86" s="59"/>
      <c r="DG86" s="59"/>
      <c r="DH86" s="59"/>
      <c r="DI86" s="59"/>
      <c r="DJ86" s="59"/>
      <c r="DK86" s="59"/>
      <c r="DL86" s="59"/>
      <c r="DM86" s="59"/>
      <c r="DN86" s="59"/>
      <c r="DO86" s="59"/>
      <c r="DP86" s="59"/>
      <c r="DQ86" s="59"/>
      <c r="DR86" s="59"/>
      <c r="DS86" s="59"/>
      <c r="DT86" s="59"/>
      <c r="DU86" s="59"/>
      <c r="DV86" s="59"/>
      <c r="DW86" s="59"/>
      <c r="DX86" s="59"/>
      <c r="DY86" s="59"/>
      <c r="DZ86" s="59"/>
      <c r="EA86" s="59"/>
      <c r="EB86" s="59"/>
      <c r="EC86" s="59"/>
      <c r="ED86" s="59"/>
      <c r="EE86" s="59"/>
      <c r="EF86" s="59"/>
      <c r="EG86" s="59"/>
      <c r="EH86" s="59"/>
      <c r="EI86" s="59"/>
      <c r="EJ86" s="59"/>
      <c r="EK86" s="59"/>
      <c r="EL86" s="59"/>
      <c r="EM86" s="59"/>
      <c r="EN86" s="59"/>
      <c r="EO86" s="59"/>
      <c r="EP86" s="59"/>
      <c r="EQ86" s="59"/>
      <c r="ER86" s="59"/>
      <c r="ES86" s="59"/>
      <c r="ET86" s="59"/>
      <c r="EU86" s="59"/>
      <c r="EV86" s="59"/>
      <c r="EW86" s="59"/>
      <c r="EX86" s="59"/>
      <c r="EY86" s="59"/>
      <c r="EZ86" s="59"/>
      <c r="FA86" s="59"/>
      <c r="FB86" s="59"/>
      <c r="FC86" s="59"/>
      <c r="FD86" s="59"/>
      <c r="FE86" s="59"/>
      <c r="FF86" s="59"/>
      <c r="FG86" s="59"/>
      <c r="FH86" s="59"/>
      <c r="FI86" s="59"/>
      <c r="FJ86" s="59"/>
      <c r="FK86" s="59"/>
      <c r="FL86" s="59"/>
      <c r="FM86" s="59"/>
      <c r="FN86" s="59"/>
      <c r="FO86" s="59"/>
      <c r="FP86" s="59"/>
      <c r="FQ86" s="59"/>
      <c r="FR86" s="59"/>
      <c r="FS86" s="59"/>
      <c r="FT86" s="59"/>
      <c r="FU86" s="59"/>
      <c r="FV86" s="59"/>
      <c r="FW86" s="59"/>
      <c r="FX86" s="59"/>
      <c r="FY86" s="59"/>
      <c r="FZ86" s="59"/>
      <c r="GA86" s="59"/>
      <c r="GB86" s="59"/>
      <c r="GC86" s="59"/>
      <c r="GD86" s="59"/>
      <c r="GE86" s="59"/>
      <c r="GF86" s="59"/>
      <c r="GG86" s="59"/>
      <c r="GH86" s="59"/>
      <c r="GI86" s="60"/>
    </row>
    <row r="87" spans="1:191" x14ac:dyDescent="0.15">
      <c r="A87" s="23">
        <v>38</v>
      </c>
      <c r="B87" s="24" t="s">
        <v>140</v>
      </c>
      <c r="C87" s="45" t="s">
        <v>150</v>
      </c>
      <c r="D87" s="26" t="s">
        <v>172</v>
      </c>
      <c r="E87" s="27" t="s">
        <v>13</v>
      </c>
      <c r="F87" s="28">
        <v>42891</v>
      </c>
      <c r="G87" s="28">
        <v>42903</v>
      </c>
      <c r="H87" s="29">
        <f t="shared" si="8"/>
        <v>0</v>
      </c>
      <c r="I87" s="30"/>
      <c r="J87" s="31"/>
      <c r="K87" s="32"/>
      <c r="L87" s="32"/>
      <c r="M87" s="32"/>
      <c r="N87" s="32"/>
      <c r="O87" s="32"/>
      <c r="P87" s="32"/>
      <c r="Q87" s="32"/>
      <c r="R87" s="32"/>
      <c r="S87" s="32"/>
      <c r="T87" s="32"/>
      <c r="U87" s="32"/>
      <c r="V87" s="32"/>
      <c r="W87" s="32"/>
      <c r="X87" s="32"/>
      <c r="Y87" s="32"/>
      <c r="Z87" s="32"/>
      <c r="AA87" s="32"/>
      <c r="AB87" s="32"/>
      <c r="AC87" s="32"/>
      <c r="AD87" s="32"/>
      <c r="AE87" s="32"/>
      <c r="AF87" s="32"/>
      <c r="AG87" s="32"/>
      <c r="AH87" s="32"/>
      <c r="AI87" s="32"/>
      <c r="AJ87" s="32"/>
      <c r="AK87" s="32"/>
      <c r="AL87" s="32"/>
      <c r="AM87" s="32"/>
      <c r="AN87" s="32"/>
      <c r="AO87" s="32"/>
      <c r="AP87" s="33"/>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33"/>
      <c r="CA87" s="33"/>
      <c r="CB87" s="33"/>
      <c r="CC87" s="33"/>
      <c r="CD87" s="33"/>
      <c r="CE87" s="33"/>
      <c r="CF87" s="33"/>
      <c r="CG87" s="33"/>
      <c r="CH87" s="33"/>
      <c r="CI87" s="33"/>
      <c r="CJ87" s="33"/>
      <c r="CK87" s="33"/>
      <c r="CL87" s="33"/>
      <c r="CM87" s="33"/>
      <c r="CN87" s="33"/>
      <c r="CO87" s="33"/>
      <c r="CP87" s="33"/>
      <c r="CQ87" s="33"/>
      <c r="CR87" s="33"/>
      <c r="CS87" s="33"/>
      <c r="CT87" s="33"/>
      <c r="CU87" s="33"/>
      <c r="CV87" s="33"/>
      <c r="CW87" s="33"/>
      <c r="CX87" s="33"/>
      <c r="CY87" s="33"/>
      <c r="CZ87" s="33"/>
      <c r="DA87" s="33"/>
      <c r="DB87" s="33"/>
      <c r="DC87" s="33"/>
      <c r="DD87" s="33"/>
      <c r="DE87" s="33"/>
      <c r="DF87" s="33"/>
      <c r="DG87" s="33"/>
      <c r="DH87" s="33"/>
      <c r="DI87" s="33"/>
      <c r="DJ87" s="33"/>
      <c r="DK87" s="33"/>
      <c r="DL87" s="33"/>
      <c r="DM87" s="33"/>
      <c r="DN87" s="33"/>
      <c r="DO87" s="33"/>
      <c r="DP87" s="33"/>
      <c r="DQ87" s="33"/>
      <c r="DR87" s="33"/>
      <c r="DS87" s="33"/>
      <c r="DT87" s="33"/>
      <c r="DU87" s="33"/>
      <c r="DV87" s="33"/>
      <c r="DW87" s="33"/>
      <c r="DX87" s="33"/>
      <c r="DY87" s="33"/>
      <c r="DZ87" s="33"/>
      <c r="EA87" s="33"/>
      <c r="EB87" s="33"/>
      <c r="EC87" s="33"/>
      <c r="ED87" s="33"/>
      <c r="EE87" s="33"/>
      <c r="EF87" s="33"/>
      <c r="EG87" s="33"/>
      <c r="EH87" s="33"/>
      <c r="EI87" s="33"/>
      <c r="EJ87" s="33"/>
      <c r="EK87" s="33"/>
      <c r="EL87" s="33"/>
      <c r="EM87" s="33"/>
      <c r="EN87" s="33"/>
      <c r="EO87" s="33"/>
      <c r="EP87" s="33"/>
      <c r="EQ87" s="33"/>
      <c r="ER87" s="33"/>
      <c r="ES87" s="33"/>
      <c r="ET87" s="33"/>
      <c r="EU87" s="33"/>
      <c r="EV87" s="33"/>
      <c r="EW87" s="33"/>
      <c r="EX87" s="33"/>
      <c r="EY87" s="33"/>
      <c r="EZ87" s="33"/>
      <c r="FA87" s="33"/>
      <c r="FB87" s="33"/>
      <c r="FC87" s="33"/>
      <c r="FD87" s="33"/>
      <c r="FE87" s="33"/>
      <c r="FF87" s="33"/>
      <c r="FG87" s="33"/>
      <c r="FH87" s="33"/>
      <c r="FI87" s="33"/>
      <c r="FJ87" s="33"/>
      <c r="FK87" s="33"/>
      <c r="FL87" s="33"/>
      <c r="FM87" s="33"/>
      <c r="FN87" s="33"/>
      <c r="FO87" s="33"/>
      <c r="FP87" s="33"/>
      <c r="FQ87" s="33"/>
      <c r="FR87" s="33"/>
      <c r="FS87" s="33"/>
      <c r="FT87" s="33"/>
      <c r="FU87" s="33"/>
      <c r="FV87" s="33"/>
      <c r="FW87" s="33"/>
      <c r="FX87" s="33"/>
      <c r="FY87" s="33"/>
      <c r="FZ87" s="33"/>
      <c r="GA87" s="33"/>
      <c r="GB87" s="33"/>
      <c r="GC87" s="33"/>
      <c r="GD87" s="33"/>
      <c r="GE87" s="33"/>
      <c r="GF87" s="33"/>
      <c r="GG87" s="33"/>
      <c r="GH87" s="33"/>
      <c r="GI87" s="34"/>
    </row>
    <row r="88" spans="1:191" x14ac:dyDescent="0.15">
      <c r="A88" s="35">
        <f>A87</f>
        <v>38</v>
      </c>
      <c r="B88" s="36" t="str">
        <f>B87</f>
        <v>DD</v>
      </c>
      <c r="C88" s="36" t="str">
        <f>C87</f>
        <v>監視端末詳細評価仕様書作成</v>
      </c>
      <c r="D88" s="37" t="str">
        <f>D87</f>
        <v>長田</v>
      </c>
      <c r="E88" s="53" t="s">
        <v>0</v>
      </c>
      <c r="F88" s="54"/>
      <c r="G88" s="54"/>
      <c r="H88" s="55">
        <f t="shared" si="8"/>
        <v>0</v>
      </c>
      <c r="I88" s="56">
        <f>IF(OR(H87="",H88=""),"",H88-H87)</f>
        <v>0</v>
      </c>
      <c r="J88" s="57"/>
      <c r="K88" s="58"/>
      <c r="L88" s="58"/>
      <c r="M88" s="58"/>
      <c r="N88" s="58"/>
      <c r="O88" s="58"/>
      <c r="P88" s="58"/>
      <c r="Q88" s="58"/>
      <c r="R88" s="58"/>
      <c r="S88" s="58"/>
      <c r="T88" s="58"/>
      <c r="U88" s="58"/>
      <c r="V88" s="58"/>
      <c r="W88" s="58"/>
      <c r="X88" s="58"/>
      <c r="Y88" s="58"/>
      <c r="Z88" s="58"/>
      <c r="AA88" s="58"/>
      <c r="AB88" s="58"/>
      <c r="AC88" s="58"/>
      <c r="AD88" s="58"/>
      <c r="AE88" s="58"/>
      <c r="AF88" s="58"/>
      <c r="AG88" s="58"/>
      <c r="AH88" s="58"/>
      <c r="AI88" s="58"/>
      <c r="AJ88" s="58"/>
      <c r="AK88" s="58"/>
      <c r="AL88" s="58"/>
      <c r="AM88" s="58"/>
      <c r="AN88" s="58"/>
      <c r="AO88" s="58"/>
      <c r="AP88" s="59"/>
      <c r="AQ88" s="59"/>
      <c r="AR88" s="59"/>
      <c r="AS88" s="59"/>
      <c r="AT88" s="59"/>
      <c r="AU88" s="59"/>
      <c r="AV88" s="59"/>
      <c r="AW88" s="59"/>
      <c r="AX88" s="59"/>
      <c r="AY88" s="59"/>
      <c r="AZ88" s="59"/>
      <c r="BA88" s="59"/>
      <c r="BB88" s="59"/>
      <c r="BC88" s="59"/>
      <c r="BD88" s="59"/>
      <c r="BE88" s="59"/>
      <c r="BF88" s="59"/>
      <c r="BG88" s="59"/>
      <c r="BH88" s="59"/>
      <c r="BI88" s="59"/>
      <c r="BJ88" s="59"/>
      <c r="BK88" s="59"/>
      <c r="BL88" s="59"/>
      <c r="BM88" s="59"/>
      <c r="BN88" s="59"/>
      <c r="BO88" s="59"/>
      <c r="BP88" s="59"/>
      <c r="BQ88" s="59"/>
      <c r="BR88" s="59"/>
      <c r="BS88" s="59"/>
      <c r="BT88" s="59"/>
      <c r="BU88" s="59"/>
      <c r="BV88" s="59"/>
      <c r="BW88" s="59"/>
      <c r="BX88" s="59"/>
      <c r="BY88" s="59"/>
      <c r="BZ88" s="59"/>
      <c r="CA88" s="59"/>
      <c r="CB88" s="59"/>
      <c r="CC88" s="59"/>
      <c r="CD88" s="59"/>
      <c r="CE88" s="59"/>
      <c r="CF88" s="59"/>
      <c r="CG88" s="59"/>
      <c r="CH88" s="59"/>
      <c r="CI88" s="59"/>
      <c r="CJ88" s="59"/>
      <c r="CK88" s="59"/>
      <c r="CL88" s="59"/>
      <c r="CM88" s="59"/>
      <c r="CN88" s="59"/>
      <c r="CO88" s="59"/>
      <c r="CP88" s="59"/>
      <c r="CQ88" s="59"/>
      <c r="CR88" s="59"/>
      <c r="CS88" s="59"/>
      <c r="CT88" s="59"/>
      <c r="CU88" s="59"/>
      <c r="CV88" s="59"/>
      <c r="CW88" s="59"/>
      <c r="CX88" s="59"/>
      <c r="CY88" s="59"/>
      <c r="CZ88" s="59"/>
      <c r="DA88" s="59"/>
      <c r="DB88" s="59"/>
      <c r="DC88" s="59"/>
      <c r="DD88" s="59"/>
      <c r="DE88" s="59"/>
      <c r="DF88" s="59"/>
      <c r="DG88" s="59"/>
      <c r="DH88" s="59"/>
      <c r="DI88" s="59"/>
      <c r="DJ88" s="59"/>
      <c r="DK88" s="59"/>
      <c r="DL88" s="59"/>
      <c r="DM88" s="59"/>
      <c r="DN88" s="59"/>
      <c r="DO88" s="59"/>
      <c r="DP88" s="59"/>
      <c r="DQ88" s="59"/>
      <c r="DR88" s="59"/>
      <c r="DS88" s="59"/>
      <c r="DT88" s="59"/>
      <c r="DU88" s="59"/>
      <c r="DV88" s="59"/>
      <c r="DW88" s="59"/>
      <c r="DX88" s="59"/>
      <c r="DY88" s="59"/>
      <c r="DZ88" s="59"/>
      <c r="EA88" s="59"/>
      <c r="EB88" s="59"/>
      <c r="EC88" s="59"/>
      <c r="ED88" s="59"/>
      <c r="EE88" s="59"/>
      <c r="EF88" s="59"/>
      <c r="EG88" s="59"/>
      <c r="EH88" s="59"/>
      <c r="EI88" s="59"/>
      <c r="EJ88" s="59"/>
      <c r="EK88" s="59"/>
      <c r="EL88" s="59"/>
      <c r="EM88" s="59"/>
      <c r="EN88" s="59"/>
      <c r="EO88" s="59"/>
      <c r="EP88" s="59"/>
      <c r="EQ88" s="59"/>
      <c r="ER88" s="59"/>
      <c r="ES88" s="59"/>
      <c r="ET88" s="59"/>
      <c r="EU88" s="59"/>
      <c r="EV88" s="59"/>
      <c r="EW88" s="59"/>
      <c r="EX88" s="59"/>
      <c r="EY88" s="59"/>
      <c r="EZ88" s="59"/>
      <c r="FA88" s="59"/>
      <c r="FB88" s="59"/>
      <c r="FC88" s="59"/>
      <c r="FD88" s="59"/>
      <c r="FE88" s="59"/>
      <c r="FF88" s="59"/>
      <c r="FG88" s="59"/>
      <c r="FH88" s="59"/>
      <c r="FI88" s="59"/>
      <c r="FJ88" s="59"/>
      <c r="FK88" s="59"/>
      <c r="FL88" s="59"/>
      <c r="FM88" s="59"/>
      <c r="FN88" s="59"/>
      <c r="FO88" s="59"/>
      <c r="FP88" s="59"/>
      <c r="FQ88" s="59"/>
      <c r="FR88" s="59"/>
      <c r="FS88" s="59"/>
      <c r="FT88" s="59"/>
      <c r="FU88" s="59"/>
      <c r="FV88" s="59"/>
      <c r="FW88" s="59"/>
      <c r="FX88" s="59"/>
      <c r="FY88" s="59"/>
      <c r="FZ88" s="59"/>
      <c r="GA88" s="59"/>
      <c r="GB88" s="59"/>
      <c r="GC88" s="59"/>
      <c r="GD88" s="59"/>
      <c r="GE88" s="59"/>
      <c r="GF88" s="59"/>
      <c r="GG88" s="59"/>
      <c r="GH88" s="59"/>
      <c r="GI88" s="60"/>
    </row>
    <row r="89" spans="1:191" x14ac:dyDescent="0.15">
      <c r="A89" s="23">
        <v>39</v>
      </c>
      <c r="B89" s="24" t="s">
        <v>140</v>
      </c>
      <c r="C89" s="45" t="s">
        <v>151</v>
      </c>
      <c r="D89" s="26" t="s">
        <v>170</v>
      </c>
      <c r="E89" s="27" t="s">
        <v>13</v>
      </c>
      <c r="F89" s="28">
        <v>42903</v>
      </c>
      <c r="G89" s="28">
        <v>42904</v>
      </c>
      <c r="H89" s="29">
        <f t="shared" si="8"/>
        <v>0</v>
      </c>
      <c r="I89" s="30"/>
      <c r="J89" s="31"/>
      <c r="K89" s="32"/>
      <c r="L89" s="32"/>
      <c r="M89" s="32"/>
      <c r="N89" s="32"/>
      <c r="O89" s="32"/>
      <c r="P89" s="32"/>
      <c r="Q89" s="32"/>
      <c r="R89" s="32"/>
      <c r="S89" s="32"/>
      <c r="T89" s="32"/>
      <c r="U89" s="32"/>
      <c r="V89" s="32"/>
      <c r="W89" s="32"/>
      <c r="X89" s="32"/>
      <c r="Y89" s="32"/>
      <c r="Z89" s="32"/>
      <c r="AA89" s="32"/>
      <c r="AB89" s="32"/>
      <c r="AC89" s="32"/>
      <c r="AD89" s="32"/>
      <c r="AE89" s="32"/>
      <c r="AF89" s="32"/>
      <c r="AG89" s="32"/>
      <c r="AH89" s="32"/>
      <c r="AI89" s="32"/>
      <c r="AJ89" s="32"/>
      <c r="AK89" s="32"/>
      <c r="AL89" s="32"/>
      <c r="AM89" s="32"/>
      <c r="AN89" s="32"/>
      <c r="AO89" s="32"/>
      <c r="AP89" s="33"/>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33"/>
      <c r="CA89" s="33"/>
      <c r="CB89" s="33"/>
      <c r="CC89" s="33"/>
      <c r="CD89" s="33"/>
      <c r="CE89" s="33"/>
      <c r="CF89" s="33"/>
      <c r="CG89" s="33"/>
      <c r="CH89" s="33"/>
      <c r="CI89" s="33"/>
      <c r="CJ89" s="33"/>
      <c r="CK89" s="33"/>
      <c r="CL89" s="33"/>
      <c r="CM89" s="33"/>
      <c r="CN89" s="33"/>
      <c r="CO89" s="33"/>
      <c r="CP89" s="33"/>
      <c r="CQ89" s="33"/>
      <c r="CR89" s="33"/>
      <c r="CS89" s="33"/>
      <c r="CT89" s="33"/>
      <c r="CU89" s="33"/>
      <c r="CV89" s="33"/>
      <c r="CW89" s="33"/>
      <c r="CX89" s="33"/>
      <c r="CY89" s="33"/>
      <c r="CZ89" s="33"/>
      <c r="DA89" s="33"/>
      <c r="DB89" s="33"/>
      <c r="DC89" s="33"/>
      <c r="DD89" s="33"/>
      <c r="DE89" s="33"/>
      <c r="DF89" s="33"/>
      <c r="DG89" s="33"/>
      <c r="DH89" s="33"/>
      <c r="DI89" s="33"/>
      <c r="DJ89" s="33"/>
      <c r="DK89" s="33"/>
      <c r="DL89" s="33"/>
      <c r="DM89" s="33"/>
      <c r="DN89" s="33"/>
      <c r="DO89" s="33"/>
      <c r="DP89" s="33"/>
      <c r="DQ89" s="33"/>
      <c r="DR89" s="33"/>
      <c r="DS89" s="33"/>
      <c r="DT89" s="33"/>
      <c r="DU89" s="33"/>
      <c r="DV89" s="33"/>
      <c r="DW89" s="33"/>
      <c r="DX89" s="33"/>
      <c r="DY89" s="33"/>
      <c r="DZ89" s="33"/>
      <c r="EA89" s="33"/>
      <c r="EB89" s="33"/>
      <c r="EC89" s="33"/>
      <c r="ED89" s="33"/>
      <c r="EE89" s="33"/>
      <c r="EF89" s="33"/>
      <c r="EG89" s="33"/>
      <c r="EH89" s="33"/>
      <c r="EI89" s="33"/>
      <c r="EJ89" s="33"/>
      <c r="EK89" s="33"/>
      <c r="EL89" s="33"/>
      <c r="EM89" s="33"/>
      <c r="EN89" s="33"/>
      <c r="EO89" s="33"/>
      <c r="EP89" s="33"/>
      <c r="EQ89" s="33"/>
      <c r="ER89" s="33"/>
      <c r="ES89" s="33"/>
      <c r="ET89" s="33"/>
      <c r="EU89" s="33"/>
      <c r="EV89" s="33"/>
      <c r="EW89" s="33"/>
      <c r="EX89" s="33"/>
      <c r="EY89" s="33"/>
      <c r="EZ89" s="33"/>
      <c r="FA89" s="33"/>
      <c r="FB89" s="33"/>
      <c r="FC89" s="33"/>
      <c r="FD89" s="33"/>
      <c r="FE89" s="33"/>
      <c r="FF89" s="33"/>
      <c r="FG89" s="33"/>
      <c r="FH89" s="33"/>
      <c r="FI89" s="33"/>
      <c r="FJ89" s="33"/>
      <c r="FK89" s="33"/>
      <c r="FL89" s="33"/>
      <c r="FM89" s="33"/>
      <c r="FN89" s="33"/>
      <c r="FO89" s="33"/>
      <c r="FP89" s="33"/>
      <c r="FQ89" s="33"/>
      <c r="FR89" s="33"/>
      <c r="FS89" s="33"/>
      <c r="FT89" s="33"/>
      <c r="FU89" s="33"/>
      <c r="FV89" s="33"/>
      <c r="FW89" s="33"/>
      <c r="FX89" s="33"/>
      <c r="FY89" s="33"/>
      <c r="FZ89" s="33"/>
      <c r="GA89" s="33"/>
      <c r="GB89" s="33"/>
      <c r="GC89" s="33"/>
      <c r="GD89" s="33"/>
      <c r="GE89" s="33"/>
      <c r="GF89" s="33"/>
      <c r="GG89" s="33"/>
      <c r="GH89" s="33"/>
      <c r="GI89" s="34"/>
    </row>
    <row r="90" spans="1:191" x14ac:dyDescent="0.15">
      <c r="A90" s="35">
        <f>A89</f>
        <v>39</v>
      </c>
      <c r="B90" s="36" t="str">
        <f>B89</f>
        <v>DD</v>
      </c>
      <c r="C90" s="36" t="str">
        <f>C89</f>
        <v>監視端末詳細評価仕様書レビュー</v>
      </c>
      <c r="D90" s="37" t="str">
        <f>D89</f>
        <v>伊藤</v>
      </c>
      <c r="E90" s="53" t="s">
        <v>0</v>
      </c>
      <c r="F90" s="54"/>
      <c r="G90" s="54"/>
      <c r="H90" s="55">
        <f t="shared" si="8"/>
        <v>0</v>
      </c>
      <c r="I90" s="56">
        <f>IF(OR(H89="",H90=""),"",H90-H89)</f>
        <v>0</v>
      </c>
      <c r="J90" s="57"/>
      <c r="K90" s="58"/>
      <c r="L90" s="58"/>
      <c r="M90" s="58"/>
      <c r="N90" s="58"/>
      <c r="O90" s="58"/>
      <c r="P90" s="58"/>
      <c r="Q90" s="58"/>
      <c r="R90" s="58"/>
      <c r="S90" s="58"/>
      <c r="T90" s="58"/>
      <c r="U90" s="58"/>
      <c r="V90" s="58"/>
      <c r="W90" s="58"/>
      <c r="X90" s="58"/>
      <c r="Y90" s="58"/>
      <c r="Z90" s="58"/>
      <c r="AA90" s="58"/>
      <c r="AB90" s="58"/>
      <c r="AC90" s="58"/>
      <c r="AD90" s="58"/>
      <c r="AE90" s="58"/>
      <c r="AF90" s="58"/>
      <c r="AG90" s="58"/>
      <c r="AH90" s="58"/>
      <c r="AI90" s="58"/>
      <c r="AJ90" s="58"/>
      <c r="AK90" s="58"/>
      <c r="AL90" s="58"/>
      <c r="AM90" s="58"/>
      <c r="AN90" s="58"/>
      <c r="AO90" s="58"/>
      <c r="AP90" s="59"/>
      <c r="AQ90" s="59"/>
      <c r="AR90" s="59"/>
      <c r="AS90" s="59"/>
      <c r="AT90" s="59"/>
      <c r="AU90" s="59"/>
      <c r="AV90" s="59"/>
      <c r="AW90" s="59"/>
      <c r="AX90" s="59"/>
      <c r="AY90" s="59"/>
      <c r="AZ90" s="59"/>
      <c r="BA90" s="59"/>
      <c r="BB90" s="59"/>
      <c r="BC90" s="59"/>
      <c r="BD90" s="59"/>
      <c r="BE90" s="59"/>
      <c r="BF90" s="59"/>
      <c r="BG90" s="59"/>
      <c r="BH90" s="59"/>
      <c r="BI90" s="59"/>
      <c r="BJ90" s="59"/>
      <c r="BK90" s="59"/>
      <c r="BL90" s="59"/>
      <c r="BM90" s="59"/>
      <c r="BN90" s="59"/>
      <c r="BO90" s="59"/>
      <c r="BP90" s="59"/>
      <c r="BQ90" s="59"/>
      <c r="BR90" s="59"/>
      <c r="BS90" s="59"/>
      <c r="BT90" s="59"/>
      <c r="BU90" s="59"/>
      <c r="BV90" s="59"/>
      <c r="BW90" s="59"/>
      <c r="BX90" s="59"/>
      <c r="BY90" s="59"/>
      <c r="BZ90" s="59"/>
      <c r="CA90" s="59"/>
      <c r="CB90" s="59"/>
      <c r="CC90" s="59"/>
      <c r="CD90" s="59"/>
      <c r="CE90" s="59"/>
      <c r="CF90" s="59"/>
      <c r="CG90" s="59"/>
      <c r="CH90" s="59"/>
      <c r="CI90" s="59"/>
      <c r="CJ90" s="59"/>
      <c r="CK90" s="59"/>
      <c r="CL90" s="59"/>
      <c r="CM90" s="59"/>
      <c r="CN90" s="59"/>
      <c r="CO90" s="59"/>
      <c r="CP90" s="59"/>
      <c r="CQ90" s="59"/>
      <c r="CR90" s="59"/>
      <c r="CS90" s="59"/>
      <c r="CT90" s="59"/>
      <c r="CU90" s="59"/>
      <c r="CV90" s="59"/>
      <c r="CW90" s="59"/>
      <c r="CX90" s="59"/>
      <c r="CY90" s="59"/>
      <c r="CZ90" s="59"/>
      <c r="DA90" s="59"/>
      <c r="DB90" s="59"/>
      <c r="DC90" s="59"/>
      <c r="DD90" s="59"/>
      <c r="DE90" s="59"/>
      <c r="DF90" s="59"/>
      <c r="DG90" s="59"/>
      <c r="DH90" s="59"/>
      <c r="DI90" s="59"/>
      <c r="DJ90" s="59"/>
      <c r="DK90" s="59"/>
      <c r="DL90" s="59"/>
      <c r="DM90" s="59"/>
      <c r="DN90" s="59"/>
      <c r="DO90" s="59"/>
      <c r="DP90" s="59"/>
      <c r="DQ90" s="59"/>
      <c r="DR90" s="59"/>
      <c r="DS90" s="59"/>
      <c r="DT90" s="59"/>
      <c r="DU90" s="59"/>
      <c r="DV90" s="59"/>
      <c r="DW90" s="59"/>
      <c r="DX90" s="59"/>
      <c r="DY90" s="59"/>
      <c r="DZ90" s="59"/>
      <c r="EA90" s="59"/>
      <c r="EB90" s="59"/>
      <c r="EC90" s="59"/>
      <c r="ED90" s="59"/>
      <c r="EE90" s="59"/>
      <c r="EF90" s="59"/>
      <c r="EG90" s="59"/>
      <c r="EH90" s="59"/>
      <c r="EI90" s="59"/>
      <c r="EJ90" s="59"/>
      <c r="EK90" s="59"/>
      <c r="EL90" s="59"/>
      <c r="EM90" s="59"/>
      <c r="EN90" s="59"/>
      <c r="EO90" s="59"/>
      <c r="EP90" s="59"/>
      <c r="EQ90" s="59"/>
      <c r="ER90" s="59"/>
      <c r="ES90" s="59"/>
      <c r="ET90" s="59"/>
      <c r="EU90" s="59"/>
      <c r="EV90" s="59"/>
      <c r="EW90" s="59"/>
      <c r="EX90" s="59"/>
      <c r="EY90" s="59"/>
      <c r="EZ90" s="59"/>
      <c r="FA90" s="59"/>
      <c r="FB90" s="59"/>
      <c r="FC90" s="59"/>
      <c r="FD90" s="59"/>
      <c r="FE90" s="59"/>
      <c r="FF90" s="59"/>
      <c r="FG90" s="59"/>
      <c r="FH90" s="59"/>
      <c r="FI90" s="59"/>
      <c r="FJ90" s="59"/>
      <c r="FK90" s="59"/>
      <c r="FL90" s="59"/>
      <c r="FM90" s="59"/>
      <c r="FN90" s="59"/>
      <c r="FO90" s="59"/>
      <c r="FP90" s="59"/>
      <c r="FQ90" s="59"/>
      <c r="FR90" s="59"/>
      <c r="FS90" s="59"/>
      <c r="FT90" s="59"/>
      <c r="FU90" s="59"/>
      <c r="FV90" s="59"/>
      <c r="FW90" s="59"/>
      <c r="FX90" s="59"/>
      <c r="FY90" s="59"/>
      <c r="FZ90" s="59"/>
      <c r="GA90" s="59"/>
      <c r="GB90" s="59"/>
      <c r="GC90" s="59"/>
      <c r="GD90" s="59"/>
      <c r="GE90" s="59"/>
      <c r="GF90" s="59"/>
      <c r="GG90" s="59"/>
      <c r="GH90" s="59"/>
      <c r="GI90" s="60"/>
    </row>
    <row r="91" spans="1:191" x14ac:dyDescent="0.15">
      <c r="A91" s="23">
        <v>40</v>
      </c>
      <c r="B91" s="24" t="s">
        <v>140</v>
      </c>
      <c r="C91" s="45" t="s">
        <v>152</v>
      </c>
      <c r="D91" s="26" t="s">
        <v>172</v>
      </c>
      <c r="E91" s="27" t="s">
        <v>13</v>
      </c>
      <c r="F91" s="28">
        <v>42905</v>
      </c>
      <c r="G91" s="28">
        <v>42911</v>
      </c>
      <c r="H91" s="29">
        <f t="shared" si="8"/>
        <v>0</v>
      </c>
      <c r="I91" s="30"/>
      <c r="J91" s="31"/>
      <c r="K91" s="32"/>
      <c r="L91" s="32"/>
      <c r="M91" s="32"/>
      <c r="N91" s="32"/>
      <c r="O91" s="32"/>
      <c r="P91" s="32"/>
      <c r="Q91" s="32"/>
      <c r="R91" s="32"/>
      <c r="S91" s="32"/>
      <c r="T91" s="32"/>
      <c r="U91" s="32"/>
      <c r="V91" s="32"/>
      <c r="W91" s="32"/>
      <c r="X91" s="32"/>
      <c r="Y91" s="32"/>
      <c r="Z91" s="32"/>
      <c r="AA91" s="32"/>
      <c r="AB91" s="32"/>
      <c r="AC91" s="32"/>
      <c r="AD91" s="32"/>
      <c r="AE91" s="32"/>
      <c r="AF91" s="32"/>
      <c r="AG91" s="32"/>
      <c r="AH91" s="32"/>
      <c r="AI91" s="32"/>
      <c r="AJ91" s="32"/>
      <c r="AK91" s="32"/>
      <c r="AL91" s="32"/>
      <c r="AM91" s="32"/>
      <c r="AN91" s="32"/>
      <c r="AO91" s="32"/>
      <c r="AP91" s="33"/>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33"/>
      <c r="CA91" s="33"/>
      <c r="CB91" s="33"/>
      <c r="CC91" s="33"/>
      <c r="CD91" s="33"/>
      <c r="CE91" s="33"/>
      <c r="CF91" s="33"/>
      <c r="CG91" s="33"/>
      <c r="CH91" s="33"/>
      <c r="CI91" s="33"/>
      <c r="CJ91" s="33"/>
      <c r="CK91" s="33"/>
      <c r="CL91" s="33"/>
      <c r="CM91" s="33"/>
      <c r="CN91" s="33"/>
      <c r="CO91" s="33"/>
      <c r="CP91" s="33"/>
      <c r="CQ91" s="33"/>
      <c r="CR91" s="33"/>
      <c r="CS91" s="33"/>
      <c r="CT91" s="33"/>
      <c r="CU91" s="33"/>
      <c r="CV91" s="33"/>
      <c r="CW91" s="33"/>
      <c r="CX91" s="33"/>
      <c r="CY91" s="33"/>
      <c r="CZ91" s="33"/>
      <c r="DA91" s="33"/>
      <c r="DB91" s="33"/>
      <c r="DC91" s="33"/>
      <c r="DD91" s="33"/>
      <c r="DE91" s="33"/>
      <c r="DF91" s="33"/>
      <c r="DG91" s="33"/>
      <c r="DH91" s="33"/>
      <c r="DI91" s="33"/>
      <c r="DJ91" s="33"/>
      <c r="DK91" s="33"/>
      <c r="DL91" s="33"/>
      <c r="DM91" s="33"/>
      <c r="DN91" s="33"/>
      <c r="DO91" s="33"/>
      <c r="DP91" s="33"/>
      <c r="DQ91" s="33"/>
      <c r="DR91" s="33"/>
      <c r="DS91" s="33"/>
      <c r="DT91" s="33"/>
      <c r="DU91" s="33"/>
      <c r="DV91" s="33"/>
      <c r="DW91" s="33"/>
      <c r="DX91" s="33"/>
      <c r="DY91" s="33"/>
      <c r="DZ91" s="33"/>
      <c r="EA91" s="33"/>
      <c r="EB91" s="33"/>
      <c r="EC91" s="33"/>
      <c r="ED91" s="33"/>
      <c r="EE91" s="33"/>
      <c r="EF91" s="33"/>
      <c r="EG91" s="33"/>
      <c r="EH91" s="33"/>
      <c r="EI91" s="33"/>
      <c r="EJ91" s="33"/>
      <c r="EK91" s="33"/>
      <c r="EL91" s="33"/>
      <c r="EM91" s="33"/>
      <c r="EN91" s="33"/>
      <c r="EO91" s="33"/>
      <c r="EP91" s="33"/>
      <c r="EQ91" s="33"/>
      <c r="ER91" s="33"/>
      <c r="ES91" s="33"/>
      <c r="ET91" s="33"/>
      <c r="EU91" s="33"/>
      <c r="EV91" s="33"/>
      <c r="EW91" s="33"/>
      <c r="EX91" s="33"/>
      <c r="EY91" s="33"/>
      <c r="EZ91" s="33"/>
      <c r="FA91" s="33"/>
      <c r="FB91" s="33"/>
      <c r="FC91" s="33"/>
      <c r="FD91" s="33"/>
      <c r="FE91" s="33"/>
      <c r="FF91" s="33"/>
      <c r="FG91" s="33"/>
      <c r="FH91" s="33"/>
      <c r="FI91" s="33"/>
      <c r="FJ91" s="33"/>
      <c r="FK91" s="33"/>
      <c r="FL91" s="33"/>
      <c r="FM91" s="33"/>
      <c r="FN91" s="33"/>
      <c r="FO91" s="33"/>
      <c r="FP91" s="33"/>
      <c r="FQ91" s="33"/>
      <c r="FR91" s="33"/>
      <c r="FS91" s="33"/>
      <c r="FT91" s="33"/>
      <c r="FU91" s="33"/>
      <c r="FV91" s="33"/>
      <c r="FW91" s="33"/>
      <c r="FX91" s="33"/>
      <c r="FY91" s="33"/>
      <c r="FZ91" s="33"/>
      <c r="GA91" s="33"/>
      <c r="GB91" s="33"/>
      <c r="GC91" s="33"/>
      <c r="GD91" s="33"/>
      <c r="GE91" s="33"/>
      <c r="GF91" s="33"/>
      <c r="GG91" s="33"/>
      <c r="GH91" s="33"/>
      <c r="GI91" s="34"/>
    </row>
    <row r="92" spans="1:191" x14ac:dyDescent="0.15">
      <c r="A92" s="35">
        <f>A91</f>
        <v>40</v>
      </c>
      <c r="B92" s="36" t="str">
        <f>B91</f>
        <v>DD</v>
      </c>
      <c r="C92" s="36" t="str">
        <f>C91</f>
        <v>監視端末詳細評価仕様書レビュー指摘対応</v>
      </c>
      <c r="D92" s="37" t="str">
        <f>D91</f>
        <v>長田</v>
      </c>
      <c r="E92" s="53" t="s">
        <v>0</v>
      </c>
      <c r="F92" s="54"/>
      <c r="G92" s="54"/>
      <c r="H92" s="55">
        <f t="shared" si="8"/>
        <v>0</v>
      </c>
      <c r="I92" s="56">
        <f>IF(OR(H91="",H92=""),"",H92-H91)</f>
        <v>0</v>
      </c>
      <c r="J92" s="57"/>
      <c r="K92" s="58"/>
      <c r="L92" s="58"/>
      <c r="M92" s="58"/>
      <c r="N92" s="58"/>
      <c r="O92" s="58"/>
      <c r="P92" s="58"/>
      <c r="Q92" s="58"/>
      <c r="R92" s="58"/>
      <c r="S92" s="58"/>
      <c r="T92" s="58"/>
      <c r="U92" s="58"/>
      <c r="V92" s="58"/>
      <c r="W92" s="58"/>
      <c r="X92" s="58"/>
      <c r="Y92" s="58"/>
      <c r="Z92" s="58"/>
      <c r="AA92" s="58"/>
      <c r="AB92" s="58"/>
      <c r="AC92" s="58"/>
      <c r="AD92" s="58"/>
      <c r="AE92" s="58"/>
      <c r="AF92" s="58"/>
      <c r="AG92" s="58"/>
      <c r="AH92" s="58"/>
      <c r="AI92" s="58"/>
      <c r="AJ92" s="58"/>
      <c r="AK92" s="58"/>
      <c r="AL92" s="58"/>
      <c r="AM92" s="58"/>
      <c r="AN92" s="58"/>
      <c r="AO92" s="58"/>
      <c r="AP92" s="59"/>
      <c r="AQ92" s="59"/>
      <c r="AR92" s="59"/>
      <c r="AS92" s="59"/>
      <c r="AT92" s="59"/>
      <c r="AU92" s="59"/>
      <c r="AV92" s="59"/>
      <c r="AW92" s="59"/>
      <c r="AX92" s="59"/>
      <c r="AY92" s="59"/>
      <c r="AZ92" s="59"/>
      <c r="BA92" s="59"/>
      <c r="BB92" s="59"/>
      <c r="BC92" s="59"/>
      <c r="BD92" s="59"/>
      <c r="BE92" s="59"/>
      <c r="BF92" s="59"/>
      <c r="BG92" s="59"/>
      <c r="BH92" s="59"/>
      <c r="BI92" s="59"/>
      <c r="BJ92" s="59"/>
      <c r="BK92" s="59"/>
      <c r="BL92" s="59"/>
      <c r="BM92" s="59"/>
      <c r="BN92" s="59"/>
      <c r="BO92" s="59"/>
      <c r="BP92" s="59"/>
      <c r="BQ92" s="59"/>
      <c r="BR92" s="59"/>
      <c r="BS92" s="59"/>
      <c r="BT92" s="59"/>
      <c r="BU92" s="59"/>
      <c r="BV92" s="59"/>
      <c r="BW92" s="59"/>
      <c r="BX92" s="59"/>
      <c r="BY92" s="59"/>
      <c r="BZ92" s="59"/>
      <c r="CA92" s="59"/>
      <c r="CB92" s="59"/>
      <c r="CC92" s="59"/>
      <c r="CD92" s="59"/>
      <c r="CE92" s="59"/>
      <c r="CF92" s="59"/>
      <c r="CG92" s="59"/>
      <c r="CH92" s="59"/>
      <c r="CI92" s="59"/>
      <c r="CJ92" s="59"/>
      <c r="CK92" s="59"/>
      <c r="CL92" s="59"/>
      <c r="CM92" s="59"/>
      <c r="CN92" s="59"/>
      <c r="CO92" s="59"/>
      <c r="CP92" s="59"/>
      <c r="CQ92" s="59"/>
      <c r="CR92" s="59"/>
      <c r="CS92" s="59"/>
      <c r="CT92" s="59"/>
      <c r="CU92" s="59"/>
      <c r="CV92" s="59"/>
      <c r="CW92" s="59"/>
      <c r="CX92" s="59"/>
      <c r="CY92" s="59"/>
      <c r="CZ92" s="59"/>
      <c r="DA92" s="59"/>
      <c r="DB92" s="59"/>
      <c r="DC92" s="59"/>
      <c r="DD92" s="59"/>
      <c r="DE92" s="59"/>
      <c r="DF92" s="59"/>
      <c r="DG92" s="59"/>
      <c r="DH92" s="59"/>
      <c r="DI92" s="59"/>
      <c r="DJ92" s="59"/>
      <c r="DK92" s="59"/>
      <c r="DL92" s="59"/>
      <c r="DM92" s="59"/>
      <c r="DN92" s="59"/>
      <c r="DO92" s="59"/>
      <c r="DP92" s="59"/>
      <c r="DQ92" s="59"/>
      <c r="DR92" s="59"/>
      <c r="DS92" s="59"/>
      <c r="DT92" s="59"/>
      <c r="DU92" s="59"/>
      <c r="DV92" s="59"/>
      <c r="DW92" s="59"/>
      <c r="DX92" s="59"/>
      <c r="DY92" s="59"/>
      <c r="DZ92" s="59"/>
      <c r="EA92" s="59"/>
      <c r="EB92" s="59"/>
      <c r="EC92" s="59"/>
      <c r="ED92" s="59"/>
      <c r="EE92" s="59"/>
      <c r="EF92" s="59"/>
      <c r="EG92" s="59"/>
      <c r="EH92" s="59"/>
      <c r="EI92" s="59"/>
      <c r="EJ92" s="59"/>
      <c r="EK92" s="59"/>
      <c r="EL92" s="59"/>
      <c r="EM92" s="59"/>
      <c r="EN92" s="59"/>
      <c r="EO92" s="59"/>
      <c r="EP92" s="59"/>
      <c r="EQ92" s="59"/>
      <c r="ER92" s="59"/>
      <c r="ES92" s="59"/>
      <c r="ET92" s="59"/>
      <c r="EU92" s="59"/>
      <c r="EV92" s="59"/>
      <c r="EW92" s="59"/>
      <c r="EX92" s="59"/>
      <c r="EY92" s="59"/>
      <c r="EZ92" s="59"/>
      <c r="FA92" s="59"/>
      <c r="FB92" s="59"/>
      <c r="FC92" s="59"/>
      <c r="FD92" s="59"/>
      <c r="FE92" s="59"/>
      <c r="FF92" s="59"/>
      <c r="FG92" s="59"/>
      <c r="FH92" s="59"/>
      <c r="FI92" s="59"/>
      <c r="FJ92" s="59"/>
      <c r="FK92" s="59"/>
      <c r="FL92" s="59"/>
      <c r="FM92" s="59"/>
      <c r="FN92" s="59"/>
      <c r="FO92" s="59"/>
      <c r="FP92" s="59"/>
      <c r="FQ92" s="59"/>
      <c r="FR92" s="59"/>
      <c r="FS92" s="59"/>
      <c r="FT92" s="59"/>
      <c r="FU92" s="59"/>
      <c r="FV92" s="59"/>
      <c r="FW92" s="59"/>
      <c r="FX92" s="59"/>
      <c r="FY92" s="59"/>
      <c r="FZ92" s="59"/>
      <c r="GA92" s="59"/>
      <c r="GB92" s="59"/>
      <c r="GC92" s="59"/>
      <c r="GD92" s="59"/>
      <c r="GE92" s="59"/>
      <c r="GF92" s="59"/>
      <c r="GG92" s="59"/>
      <c r="GH92" s="59"/>
      <c r="GI92" s="60"/>
    </row>
    <row r="93" spans="1:191" x14ac:dyDescent="0.15">
      <c r="A93" s="23">
        <v>41</v>
      </c>
      <c r="B93" s="24" t="s">
        <v>153</v>
      </c>
      <c r="C93" s="45" t="s">
        <v>155</v>
      </c>
      <c r="D93" s="26" t="s">
        <v>114</v>
      </c>
      <c r="E93" s="27" t="s">
        <v>13</v>
      </c>
      <c r="F93" s="28">
        <v>42912</v>
      </c>
      <c r="G93" s="28">
        <v>42945</v>
      </c>
      <c r="H93" s="29">
        <f t="shared" si="8"/>
        <v>0</v>
      </c>
      <c r="I93" s="30"/>
      <c r="J93" s="31"/>
      <c r="K93" s="32"/>
      <c r="L93" s="32"/>
      <c r="M93" s="32"/>
      <c r="N93" s="32"/>
      <c r="O93" s="32"/>
      <c r="P93" s="32"/>
      <c r="Q93" s="32"/>
      <c r="R93" s="32"/>
      <c r="S93" s="32"/>
      <c r="T93" s="32"/>
      <c r="U93" s="32"/>
      <c r="V93" s="32"/>
      <c r="W93" s="32"/>
      <c r="X93" s="32"/>
      <c r="Y93" s="32"/>
      <c r="Z93" s="32"/>
      <c r="AA93" s="32"/>
      <c r="AB93" s="32"/>
      <c r="AC93" s="32"/>
      <c r="AD93" s="32"/>
      <c r="AE93" s="32"/>
      <c r="AF93" s="32"/>
      <c r="AG93" s="32"/>
      <c r="AH93" s="32"/>
      <c r="AI93" s="32"/>
      <c r="AJ93" s="32"/>
      <c r="AK93" s="32"/>
      <c r="AL93" s="32"/>
      <c r="AM93" s="32"/>
      <c r="AN93" s="32"/>
      <c r="AO93" s="32"/>
      <c r="AP93" s="33"/>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33"/>
      <c r="CA93" s="33"/>
      <c r="CB93" s="33"/>
      <c r="CC93" s="33"/>
      <c r="CD93" s="33"/>
      <c r="CE93" s="33"/>
      <c r="CF93" s="33"/>
      <c r="CG93" s="33"/>
      <c r="CH93" s="33"/>
      <c r="CI93" s="33"/>
      <c r="CJ93" s="33"/>
      <c r="CK93" s="33"/>
      <c r="CL93" s="33"/>
      <c r="CM93" s="33"/>
      <c r="CN93" s="33"/>
      <c r="CO93" s="33"/>
      <c r="CP93" s="33"/>
      <c r="CQ93" s="33"/>
      <c r="CR93" s="33"/>
      <c r="CS93" s="33"/>
      <c r="CT93" s="33"/>
      <c r="CU93" s="33"/>
      <c r="CV93" s="33"/>
      <c r="CW93" s="33"/>
      <c r="CX93" s="33"/>
      <c r="CY93" s="33"/>
      <c r="CZ93" s="33"/>
      <c r="DA93" s="33"/>
      <c r="DB93" s="33"/>
      <c r="DC93" s="33"/>
      <c r="DD93" s="33"/>
      <c r="DE93" s="33"/>
      <c r="DF93" s="33"/>
      <c r="DG93" s="33"/>
      <c r="DH93" s="33"/>
      <c r="DI93" s="33"/>
      <c r="DJ93" s="33"/>
      <c r="DK93" s="33"/>
      <c r="DL93" s="33"/>
      <c r="DM93" s="33"/>
      <c r="DN93" s="33"/>
      <c r="DO93" s="33"/>
      <c r="DP93" s="33"/>
      <c r="DQ93" s="33"/>
      <c r="DR93" s="33"/>
      <c r="DS93" s="33"/>
      <c r="DT93" s="33"/>
      <c r="DU93" s="33"/>
      <c r="DV93" s="33"/>
      <c r="DW93" s="33"/>
      <c r="DX93" s="33"/>
      <c r="DY93" s="33"/>
      <c r="DZ93" s="33"/>
      <c r="EA93" s="33"/>
      <c r="EB93" s="33"/>
      <c r="EC93" s="33"/>
      <c r="ED93" s="33"/>
      <c r="EE93" s="33"/>
      <c r="EF93" s="33"/>
      <c r="EG93" s="33"/>
      <c r="EH93" s="33"/>
      <c r="EI93" s="33"/>
      <c r="EJ93" s="33"/>
      <c r="EK93" s="33"/>
      <c r="EL93" s="33"/>
      <c r="EM93" s="33"/>
      <c r="EN93" s="33"/>
      <c r="EO93" s="33"/>
      <c r="EP93" s="33"/>
      <c r="EQ93" s="33"/>
      <c r="ER93" s="33"/>
      <c r="ES93" s="33"/>
      <c r="ET93" s="33"/>
      <c r="EU93" s="33"/>
      <c r="EV93" s="33"/>
      <c r="EW93" s="33"/>
      <c r="EX93" s="33"/>
      <c r="EY93" s="33"/>
      <c r="EZ93" s="33"/>
      <c r="FA93" s="33"/>
      <c r="FB93" s="33"/>
      <c r="FC93" s="33"/>
      <c r="FD93" s="33"/>
      <c r="FE93" s="33"/>
      <c r="FF93" s="33"/>
      <c r="FG93" s="33"/>
      <c r="FH93" s="33"/>
      <c r="FI93" s="33"/>
      <c r="FJ93" s="33"/>
      <c r="FK93" s="33"/>
      <c r="FL93" s="33"/>
      <c r="FM93" s="33"/>
      <c r="FN93" s="33"/>
      <c r="FO93" s="33"/>
      <c r="FP93" s="33"/>
      <c r="FQ93" s="33"/>
      <c r="FR93" s="33"/>
      <c r="FS93" s="33"/>
      <c r="FT93" s="33"/>
      <c r="FU93" s="33"/>
      <c r="FV93" s="33"/>
      <c r="FW93" s="33"/>
      <c r="FX93" s="33"/>
      <c r="FY93" s="33"/>
      <c r="FZ93" s="33"/>
      <c r="GA93" s="33"/>
      <c r="GB93" s="33"/>
      <c r="GC93" s="33"/>
      <c r="GD93" s="33"/>
      <c r="GE93" s="33"/>
      <c r="GF93" s="33"/>
      <c r="GG93" s="33"/>
      <c r="GH93" s="33"/>
      <c r="GI93" s="34"/>
    </row>
    <row r="94" spans="1:191" x14ac:dyDescent="0.15">
      <c r="A94" s="35">
        <f>A93</f>
        <v>41</v>
      </c>
      <c r="B94" s="36" t="str">
        <f>B93</f>
        <v>PG</v>
      </c>
      <c r="C94" s="36" t="str">
        <f>C93</f>
        <v>Webアプリ実装</v>
      </c>
      <c r="D94" s="37" t="str">
        <f>D93</f>
        <v>那須</v>
      </c>
      <c r="E94" s="53" t="s">
        <v>0</v>
      </c>
      <c r="F94" s="54"/>
      <c r="G94" s="54"/>
      <c r="H94" s="55">
        <f t="shared" si="8"/>
        <v>0</v>
      </c>
      <c r="I94" s="56">
        <f>IF(OR(H93="",H94=""),"",H94-H93)</f>
        <v>0</v>
      </c>
      <c r="J94" s="57"/>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9"/>
      <c r="AQ94" s="59"/>
      <c r="AR94" s="59"/>
      <c r="AS94" s="59"/>
      <c r="AT94" s="59"/>
      <c r="AU94" s="59"/>
      <c r="AV94" s="59"/>
      <c r="AW94" s="59"/>
      <c r="AX94" s="59"/>
      <c r="AY94" s="59"/>
      <c r="AZ94" s="59"/>
      <c r="BA94" s="59"/>
      <c r="BB94" s="59"/>
      <c r="BC94" s="59"/>
      <c r="BD94" s="59"/>
      <c r="BE94" s="59"/>
      <c r="BF94" s="59"/>
      <c r="BG94" s="59"/>
      <c r="BH94" s="59"/>
      <c r="BI94" s="59"/>
      <c r="BJ94" s="59"/>
      <c r="BK94" s="59"/>
      <c r="BL94" s="59"/>
      <c r="BM94" s="59"/>
      <c r="BN94" s="59"/>
      <c r="BO94" s="59"/>
      <c r="BP94" s="59"/>
      <c r="BQ94" s="59"/>
      <c r="BR94" s="59"/>
      <c r="BS94" s="59"/>
      <c r="BT94" s="59"/>
      <c r="BU94" s="59"/>
      <c r="BV94" s="59"/>
      <c r="BW94" s="59"/>
      <c r="BX94" s="59"/>
      <c r="BY94" s="59"/>
      <c r="BZ94" s="59"/>
      <c r="CA94" s="59"/>
      <c r="CB94" s="59"/>
      <c r="CC94" s="59"/>
      <c r="CD94" s="59"/>
      <c r="CE94" s="59"/>
      <c r="CF94" s="59"/>
      <c r="CG94" s="59"/>
      <c r="CH94" s="59"/>
      <c r="CI94" s="59"/>
      <c r="CJ94" s="59"/>
      <c r="CK94" s="59"/>
      <c r="CL94" s="59"/>
      <c r="CM94" s="59"/>
      <c r="CN94" s="59"/>
      <c r="CO94" s="59"/>
      <c r="CP94" s="59"/>
      <c r="CQ94" s="59"/>
      <c r="CR94" s="59"/>
      <c r="CS94" s="59"/>
      <c r="CT94" s="59"/>
      <c r="CU94" s="59"/>
      <c r="CV94" s="59"/>
      <c r="CW94" s="59"/>
      <c r="CX94" s="59"/>
      <c r="CY94" s="59"/>
      <c r="CZ94" s="59"/>
      <c r="DA94" s="59"/>
      <c r="DB94" s="59"/>
      <c r="DC94" s="59"/>
      <c r="DD94" s="59"/>
      <c r="DE94" s="59"/>
      <c r="DF94" s="59"/>
      <c r="DG94" s="59"/>
      <c r="DH94" s="59"/>
      <c r="DI94" s="59"/>
      <c r="DJ94" s="59"/>
      <c r="DK94" s="59"/>
      <c r="DL94" s="59"/>
      <c r="DM94" s="59"/>
      <c r="DN94" s="59"/>
      <c r="DO94" s="59"/>
      <c r="DP94" s="59"/>
      <c r="DQ94" s="59"/>
      <c r="DR94" s="59"/>
      <c r="DS94" s="59"/>
      <c r="DT94" s="59"/>
      <c r="DU94" s="59"/>
      <c r="DV94" s="59"/>
      <c r="DW94" s="59"/>
      <c r="DX94" s="59"/>
      <c r="DY94" s="59"/>
      <c r="DZ94" s="59"/>
      <c r="EA94" s="59"/>
      <c r="EB94" s="59"/>
      <c r="EC94" s="59"/>
      <c r="ED94" s="59"/>
      <c r="EE94" s="59"/>
      <c r="EF94" s="59"/>
      <c r="EG94" s="59"/>
      <c r="EH94" s="59"/>
      <c r="EI94" s="59"/>
      <c r="EJ94" s="59"/>
      <c r="EK94" s="59"/>
      <c r="EL94" s="59"/>
      <c r="EM94" s="59"/>
      <c r="EN94" s="59"/>
      <c r="EO94" s="59"/>
      <c r="EP94" s="59"/>
      <c r="EQ94" s="59"/>
      <c r="ER94" s="59"/>
      <c r="ES94" s="59"/>
      <c r="ET94" s="59"/>
      <c r="EU94" s="59"/>
      <c r="EV94" s="59"/>
      <c r="EW94" s="59"/>
      <c r="EX94" s="59"/>
      <c r="EY94" s="59"/>
      <c r="EZ94" s="59"/>
      <c r="FA94" s="59"/>
      <c r="FB94" s="59"/>
      <c r="FC94" s="59"/>
      <c r="FD94" s="59"/>
      <c r="FE94" s="59"/>
      <c r="FF94" s="59"/>
      <c r="FG94" s="59"/>
      <c r="FH94" s="59"/>
      <c r="FI94" s="59"/>
      <c r="FJ94" s="59"/>
      <c r="FK94" s="59"/>
      <c r="FL94" s="59"/>
      <c r="FM94" s="59"/>
      <c r="FN94" s="59"/>
      <c r="FO94" s="59"/>
      <c r="FP94" s="59"/>
      <c r="FQ94" s="59"/>
      <c r="FR94" s="59"/>
      <c r="FS94" s="59"/>
      <c r="FT94" s="59"/>
      <c r="FU94" s="59"/>
      <c r="FV94" s="59"/>
      <c r="FW94" s="59"/>
      <c r="FX94" s="59"/>
      <c r="FY94" s="59"/>
      <c r="FZ94" s="59"/>
      <c r="GA94" s="59"/>
      <c r="GB94" s="59"/>
      <c r="GC94" s="59"/>
      <c r="GD94" s="59"/>
      <c r="GE94" s="59"/>
      <c r="GF94" s="59"/>
      <c r="GG94" s="59"/>
      <c r="GH94" s="59"/>
      <c r="GI94" s="60"/>
    </row>
    <row r="95" spans="1:191" x14ac:dyDescent="0.15">
      <c r="A95" s="23">
        <v>42</v>
      </c>
      <c r="B95" s="24" t="s">
        <v>154</v>
      </c>
      <c r="C95" s="45" t="s">
        <v>156</v>
      </c>
      <c r="D95" s="26" t="s">
        <v>170</v>
      </c>
      <c r="E95" s="27" t="s">
        <v>13</v>
      </c>
      <c r="F95" s="28">
        <v>42945</v>
      </c>
      <c r="G95" s="28">
        <v>42946</v>
      </c>
      <c r="H95" s="29">
        <f t="shared" si="8"/>
        <v>0</v>
      </c>
      <c r="I95" s="30"/>
      <c r="J95" s="31"/>
      <c r="K95" s="32"/>
      <c r="L95" s="32"/>
      <c r="M95" s="32"/>
      <c r="N95" s="32"/>
      <c r="O95" s="32"/>
      <c r="P95" s="32"/>
      <c r="Q95" s="32"/>
      <c r="R95" s="32"/>
      <c r="S95" s="32"/>
      <c r="T95" s="32"/>
      <c r="U95" s="32"/>
      <c r="V95" s="32"/>
      <c r="W95" s="32"/>
      <c r="X95" s="32"/>
      <c r="Y95" s="32"/>
      <c r="Z95" s="32"/>
      <c r="AA95" s="32"/>
      <c r="AB95" s="32"/>
      <c r="AC95" s="32"/>
      <c r="AD95" s="32"/>
      <c r="AE95" s="32"/>
      <c r="AF95" s="32"/>
      <c r="AG95" s="32"/>
      <c r="AH95" s="32"/>
      <c r="AI95" s="32"/>
      <c r="AJ95" s="32"/>
      <c r="AK95" s="32"/>
      <c r="AL95" s="32"/>
      <c r="AM95" s="32"/>
      <c r="AN95" s="32"/>
      <c r="AO95" s="32"/>
      <c r="AP95" s="33"/>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33"/>
      <c r="CA95" s="33"/>
      <c r="CB95" s="33"/>
      <c r="CC95" s="33"/>
      <c r="CD95" s="33"/>
      <c r="CE95" s="33"/>
      <c r="CF95" s="33"/>
      <c r="CG95" s="33"/>
      <c r="CH95" s="33"/>
      <c r="CI95" s="33"/>
      <c r="CJ95" s="33"/>
      <c r="CK95" s="33"/>
      <c r="CL95" s="33"/>
      <c r="CM95" s="33"/>
      <c r="CN95" s="33"/>
      <c r="CO95" s="33"/>
      <c r="CP95" s="33"/>
      <c r="CQ95" s="33"/>
      <c r="CR95" s="33"/>
      <c r="CS95" s="33"/>
      <c r="CT95" s="33"/>
      <c r="CU95" s="33"/>
      <c r="CV95" s="33"/>
      <c r="CW95" s="33"/>
      <c r="CX95" s="33"/>
      <c r="CY95" s="33"/>
      <c r="CZ95" s="33"/>
      <c r="DA95" s="33"/>
      <c r="DB95" s="33"/>
      <c r="DC95" s="33"/>
      <c r="DD95" s="33"/>
      <c r="DE95" s="33"/>
      <c r="DF95" s="33"/>
      <c r="DG95" s="33"/>
      <c r="DH95" s="33"/>
      <c r="DI95" s="33"/>
      <c r="DJ95" s="33"/>
      <c r="DK95" s="33"/>
      <c r="DL95" s="33"/>
      <c r="DM95" s="33"/>
      <c r="DN95" s="33"/>
      <c r="DO95" s="33"/>
      <c r="DP95" s="33"/>
      <c r="DQ95" s="33"/>
      <c r="DR95" s="33"/>
      <c r="DS95" s="33"/>
      <c r="DT95" s="33"/>
      <c r="DU95" s="33"/>
      <c r="DV95" s="33"/>
      <c r="DW95" s="33"/>
      <c r="DX95" s="33"/>
      <c r="DY95" s="33"/>
      <c r="DZ95" s="33"/>
      <c r="EA95" s="33"/>
      <c r="EB95" s="33"/>
      <c r="EC95" s="33"/>
      <c r="ED95" s="33"/>
      <c r="EE95" s="33"/>
      <c r="EF95" s="33"/>
      <c r="EG95" s="33"/>
      <c r="EH95" s="33"/>
      <c r="EI95" s="33"/>
      <c r="EJ95" s="33"/>
      <c r="EK95" s="33"/>
      <c r="EL95" s="33"/>
      <c r="EM95" s="33"/>
      <c r="EN95" s="33"/>
      <c r="EO95" s="33"/>
      <c r="EP95" s="33"/>
      <c r="EQ95" s="33"/>
      <c r="ER95" s="33"/>
      <c r="ES95" s="33"/>
      <c r="ET95" s="33"/>
      <c r="EU95" s="33"/>
      <c r="EV95" s="33"/>
      <c r="EW95" s="33"/>
      <c r="EX95" s="33"/>
      <c r="EY95" s="33"/>
      <c r="EZ95" s="33"/>
      <c r="FA95" s="33"/>
      <c r="FB95" s="33"/>
      <c r="FC95" s="33"/>
      <c r="FD95" s="33"/>
      <c r="FE95" s="33"/>
      <c r="FF95" s="33"/>
      <c r="FG95" s="33"/>
      <c r="FH95" s="33"/>
      <c r="FI95" s="33"/>
      <c r="FJ95" s="33"/>
      <c r="FK95" s="33"/>
      <c r="FL95" s="33"/>
      <c r="FM95" s="33"/>
      <c r="FN95" s="33"/>
      <c r="FO95" s="33"/>
      <c r="FP95" s="33"/>
      <c r="FQ95" s="33"/>
      <c r="FR95" s="33"/>
      <c r="FS95" s="33"/>
      <c r="FT95" s="33"/>
      <c r="FU95" s="33"/>
      <c r="FV95" s="33"/>
      <c r="FW95" s="33"/>
      <c r="FX95" s="33"/>
      <c r="FY95" s="33"/>
      <c r="FZ95" s="33"/>
      <c r="GA95" s="33"/>
      <c r="GB95" s="33"/>
      <c r="GC95" s="33"/>
      <c r="GD95" s="33"/>
      <c r="GE95" s="33"/>
      <c r="GF95" s="33"/>
      <c r="GG95" s="33"/>
      <c r="GH95" s="33"/>
      <c r="GI95" s="34"/>
    </row>
    <row r="96" spans="1:191" x14ac:dyDescent="0.15">
      <c r="A96" s="35">
        <f>A95</f>
        <v>42</v>
      </c>
      <c r="B96" s="36" t="str">
        <f>B95</f>
        <v>PG</v>
      </c>
      <c r="C96" s="36" t="str">
        <f>C95</f>
        <v>Webアプリ実装レビュー</v>
      </c>
      <c r="D96" s="37" t="str">
        <f>D95</f>
        <v>伊藤</v>
      </c>
      <c r="E96" s="53" t="s">
        <v>0</v>
      </c>
      <c r="F96" s="54"/>
      <c r="G96" s="54"/>
      <c r="H96" s="55">
        <f t="shared" si="8"/>
        <v>0</v>
      </c>
      <c r="I96" s="56">
        <f>IF(OR(H95="",H96=""),"",H96-H95)</f>
        <v>0</v>
      </c>
      <c r="J96" s="57"/>
      <c r="K96" s="58"/>
      <c r="L96" s="58"/>
      <c r="M96" s="58"/>
      <c r="N96" s="58"/>
      <c r="O96" s="58"/>
      <c r="P96" s="58"/>
      <c r="Q96" s="58"/>
      <c r="R96" s="58"/>
      <c r="S96" s="58"/>
      <c r="T96" s="58"/>
      <c r="U96" s="58"/>
      <c r="V96" s="58"/>
      <c r="W96" s="58"/>
      <c r="X96" s="58"/>
      <c r="Y96" s="58"/>
      <c r="Z96" s="58"/>
      <c r="AA96" s="58"/>
      <c r="AB96" s="58"/>
      <c r="AC96" s="58"/>
      <c r="AD96" s="58"/>
      <c r="AE96" s="58"/>
      <c r="AF96" s="58"/>
      <c r="AG96" s="58"/>
      <c r="AH96" s="58"/>
      <c r="AI96" s="58"/>
      <c r="AJ96" s="58"/>
      <c r="AK96" s="58"/>
      <c r="AL96" s="58"/>
      <c r="AM96" s="58"/>
      <c r="AN96" s="58"/>
      <c r="AO96" s="58"/>
      <c r="AP96" s="59"/>
      <c r="AQ96" s="59"/>
      <c r="AR96" s="59"/>
      <c r="AS96" s="59"/>
      <c r="AT96" s="59"/>
      <c r="AU96" s="59"/>
      <c r="AV96" s="59"/>
      <c r="AW96" s="59"/>
      <c r="AX96" s="59"/>
      <c r="AY96" s="59"/>
      <c r="AZ96" s="59"/>
      <c r="BA96" s="59"/>
      <c r="BB96" s="59"/>
      <c r="BC96" s="59"/>
      <c r="BD96" s="59"/>
      <c r="BE96" s="59"/>
      <c r="BF96" s="59"/>
      <c r="BG96" s="59"/>
      <c r="BH96" s="59"/>
      <c r="BI96" s="59"/>
      <c r="BJ96" s="59"/>
      <c r="BK96" s="59"/>
      <c r="BL96" s="59"/>
      <c r="BM96" s="59"/>
      <c r="BN96" s="59"/>
      <c r="BO96" s="59"/>
      <c r="BP96" s="59"/>
      <c r="BQ96" s="59"/>
      <c r="BR96" s="59"/>
      <c r="BS96" s="59"/>
      <c r="BT96" s="59"/>
      <c r="BU96" s="59"/>
      <c r="BV96" s="59"/>
      <c r="BW96" s="59"/>
      <c r="BX96" s="59"/>
      <c r="BY96" s="59"/>
      <c r="BZ96" s="59"/>
      <c r="CA96" s="59"/>
      <c r="CB96" s="59"/>
      <c r="CC96" s="59"/>
      <c r="CD96" s="59"/>
      <c r="CE96" s="59"/>
      <c r="CF96" s="59"/>
      <c r="CG96" s="59"/>
      <c r="CH96" s="59"/>
      <c r="CI96" s="59"/>
      <c r="CJ96" s="59"/>
      <c r="CK96" s="59"/>
      <c r="CL96" s="59"/>
      <c r="CM96" s="59"/>
      <c r="CN96" s="59"/>
      <c r="CO96" s="59"/>
      <c r="CP96" s="59"/>
      <c r="CQ96" s="59"/>
      <c r="CR96" s="59"/>
      <c r="CS96" s="59"/>
      <c r="CT96" s="59"/>
      <c r="CU96" s="59"/>
      <c r="CV96" s="59"/>
      <c r="CW96" s="59"/>
      <c r="CX96" s="59"/>
      <c r="CY96" s="59"/>
      <c r="CZ96" s="59"/>
      <c r="DA96" s="59"/>
      <c r="DB96" s="59"/>
      <c r="DC96" s="59"/>
      <c r="DD96" s="59"/>
      <c r="DE96" s="59"/>
      <c r="DF96" s="59"/>
      <c r="DG96" s="59"/>
      <c r="DH96" s="59"/>
      <c r="DI96" s="59"/>
      <c r="DJ96" s="59"/>
      <c r="DK96" s="59"/>
      <c r="DL96" s="59"/>
      <c r="DM96" s="59"/>
      <c r="DN96" s="59"/>
      <c r="DO96" s="59"/>
      <c r="DP96" s="59"/>
      <c r="DQ96" s="59"/>
      <c r="DR96" s="59"/>
      <c r="DS96" s="59"/>
      <c r="DT96" s="59"/>
      <c r="DU96" s="59"/>
      <c r="DV96" s="59"/>
      <c r="DW96" s="59"/>
      <c r="DX96" s="59"/>
      <c r="DY96" s="59"/>
      <c r="DZ96" s="59"/>
      <c r="EA96" s="59"/>
      <c r="EB96" s="59"/>
      <c r="EC96" s="59"/>
      <c r="ED96" s="59"/>
      <c r="EE96" s="59"/>
      <c r="EF96" s="59"/>
      <c r="EG96" s="59"/>
      <c r="EH96" s="59"/>
      <c r="EI96" s="59"/>
      <c r="EJ96" s="59"/>
      <c r="EK96" s="59"/>
      <c r="EL96" s="59"/>
      <c r="EM96" s="59"/>
      <c r="EN96" s="59"/>
      <c r="EO96" s="59"/>
      <c r="EP96" s="59"/>
      <c r="EQ96" s="59"/>
      <c r="ER96" s="59"/>
      <c r="ES96" s="59"/>
      <c r="ET96" s="59"/>
      <c r="EU96" s="59"/>
      <c r="EV96" s="59"/>
      <c r="EW96" s="59"/>
      <c r="EX96" s="59"/>
      <c r="EY96" s="59"/>
      <c r="EZ96" s="59"/>
      <c r="FA96" s="59"/>
      <c r="FB96" s="59"/>
      <c r="FC96" s="59"/>
      <c r="FD96" s="59"/>
      <c r="FE96" s="59"/>
      <c r="FF96" s="59"/>
      <c r="FG96" s="59"/>
      <c r="FH96" s="59"/>
      <c r="FI96" s="59"/>
      <c r="FJ96" s="59"/>
      <c r="FK96" s="59"/>
      <c r="FL96" s="59"/>
      <c r="FM96" s="59"/>
      <c r="FN96" s="59"/>
      <c r="FO96" s="59"/>
      <c r="FP96" s="59"/>
      <c r="FQ96" s="59"/>
      <c r="FR96" s="59"/>
      <c r="FS96" s="59"/>
      <c r="FT96" s="59"/>
      <c r="FU96" s="59"/>
      <c r="FV96" s="59"/>
      <c r="FW96" s="59"/>
      <c r="FX96" s="59"/>
      <c r="FY96" s="59"/>
      <c r="FZ96" s="59"/>
      <c r="GA96" s="59"/>
      <c r="GB96" s="59"/>
      <c r="GC96" s="59"/>
      <c r="GD96" s="59"/>
      <c r="GE96" s="59"/>
      <c r="GF96" s="59"/>
      <c r="GG96" s="59"/>
      <c r="GH96" s="59"/>
      <c r="GI96" s="60"/>
    </row>
    <row r="97" spans="1:191" x14ac:dyDescent="0.15">
      <c r="A97" s="23">
        <v>43</v>
      </c>
      <c r="B97" s="24" t="s">
        <v>154</v>
      </c>
      <c r="C97" s="45" t="s">
        <v>157</v>
      </c>
      <c r="D97" s="26" t="s">
        <v>114</v>
      </c>
      <c r="E97" s="27" t="s">
        <v>13</v>
      </c>
      <c r="F97" s="28">
        <v>42947</v>
      </c>
      <c r="G97" s="28">
        <v>42953</v>
      </c>
      <c r="H97" s="29">
        <f t="shared" si="8"/>
        <v>0</v>
      </c>
      <c r="I97" s="30"/>
      <c r="J97" s="31"/>
      <c r="K97" s="32"/>
      <c r="L97" s="32"/>
      <c r="M97" s="32"/>
      <c r="N97" s="32"/>
      <c r="O97" s="32"/>
      <c r="P97" s="32"/>
      <c r="Q97" s="32"/>
      <c r="R97" s="32"/>
      <c r="S97" s="32"/>
      <c r="T97" s="32"/>
      <c r="U97" s="32"/>
      <c r="V97" s="32"/>
      <c r="W97" s="32"/>
      <c r="X97" s="32"/>
      <c r="Y97" s="32"/>
      <c r="Z97" s="32"/>
      <c r="AA97" s="32"/>
      <c r="AB97" s="32"/>
      <c r="AC97" s="32"/>
      <c r="AD97" s="32"/>
      <c r="AE97" s="32"/>
      <c r="AF97" s="32"/>
      <c r="AG97" s="32"/>
      <c r="AH97" s="32"/>
      <c r="AI97" s="32"/>
      <c r="AJ97" s="32"/>
      <c r="AK97" s="32"/>
      <c r="AL97" s="32"/>
      <c r="AM97" s="32"/>
      <c r="AN97" s="32"/>
      <c r="AO97" s="32"/>
      <c r="AP97" s="33"/>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33"/>
      <c r="CA97" s="33"/>
      <c r="CB97" s="33"/>
      <c r="CC97" s="33"/>
      <c r="CD97" s="33"/>
      <c r="CE97" s="33"/>
      <c r="CF97" s="33"/>
      <c r="CG97" s="33"/>
      <c r="CH97" s="33"/>
      <c r="CI97" s="33"/>
      <c r="CJ97" s="33"/>
      <c r="CK97" s="33"/>
      <c r="CL97" s="33"/>
      <c r="CM97" s="33"/>
      <c r="CN97" s="33"/>
      <c r="CO97" s="33"/>
      <c r="CP97" s="33"/>
      <c r="CQ97" s="33"/>
      <c r="CR97" s="33"/>
      <c r="CS97" s="33"/>
      <c r="CT97" s="33"/>
      <c r="CU97" s="33"/>
      <c r="CV97" s="33"/>
      <c r="CW97" s="33"/>
      <c r="CX97" s="33"/>
      <c r="CY97" s="33"/>
      <c r="CZ97" s="33"/>
      <c r="DA97" s="33"/>
      <c r="DB97" s="33"/>
      <c r="DC97" s="33"/>
      <c r="DD97" s="33"/>
      <c r="DE97" s="33"/>
      <c r="DF97" s="33"/>
      <c r="DG97" s="33"/>
      <c r="DH97" s="33"/>
      <c r="DI97" s="33"/>
      <c r="DJ97" s="33"/>
      <c r="DK97" s="33"/>
      <c r="DL97" s="33"/>
      <c r="DM97" s="33"/>
      <c r="DN97" s="33"/>
      <c r="DO97" s="33"/>
      <c r="DP97" s="33"/>
      <c r="DQ97" s="33"/>
      <c r="DR97" s="33"/>
      <c r="DS97" s="33"/>
      <c r="DT97" s="33"/>
      <c r="DU97" s="33"/>
      <c r="DV97" s="33"/>
      <c r="DW97" s="33"/>
      <c r="DX97" s="33"/>
      <c r="DY97" s="33"/>
      <c r="DZ97" s="33"/>
      <c r="EA97" s="33"/>
      <c r="EB97" s="33"/>
      <c r="EC97" s="33"/>
      <c r="ED97" s="33"/>
      <c r="EE97" s="33"/>
      <c r="EF97" s="33"/>
      <c r="EG97" s="33"/>
      <c r="EH97" s="33"/>
      <c r="EI97" s="33"/>
      <c r="EJ97" s="33"/>
      <c r="EK97" s="33"/>
      <c r="EL97" s="33"/>
      <c r="EM97" s="33"/>
      <c r="EN97" s="33"/>
      <c r="EO97" s="33"/>
      <c r="EP97" s="33"/>
      <c r="EQ97" s="33"/>
      <c r="ER97" s="33"/>
      <c r="ES97" s="33"/>
      <c r="ET97" s="33"/>
      <c r="EU97" s="33"/>
      <c r="EV97" s="33"/>
      <c r="EW97" s="33"/>
      <c r="EX97" s="33"/>
      <c r="EY97" s="33"/>
      <c r="EZ97" s="33"/>
      <c r="FA97" s="33"/>
      <c r="FB97" s="33"/>
      <c r="FC97" s="33"/>
      <c r="FD97" s="33"/>
      <c r="FE97" s="33"/>
      <c r="FF97" s="33"/>
      <c r="FG97" s="33"/>
      <c r="FH97" s="33"/>
      <c r="FI97" s="33"/>
      <c r="FJ97" s="33"/>
      <c r="FK97" s="33"/>
      <c r="FL97" s="33"/>
      <c r="FM97" s="33"/>
      <c r="FN97" s="33"/>
      <c r="FO97" s="33"/>
      <c r="FP97" s="33"/>
      <c r="FQ97" s="33"/>
      <c r="FR97" s="33"/>
      <c r="FS97" s="33"/>
      <c r="FT97" s="33"/>
      <c r="FU97" s="33"/>
      <c r="FV97" s="33"/>
      <c r="FW97" s="33"/>
      <c r="FX97" s="33"/>
      <c r="FY97" s="33"/>
      <c r="FZ97" s="33"/>
      <c r="GA97" s="33"/>
      <c r="GB97" s="33"/>
      <c r="GC97" s="33"/>
      <c r="GD97" s="33"/>
      <c r="GE97" s="33"/>
      <c r="GF97" s="33"/>
      <c r="GG97" s="33"/>
      <c r="GH97" s="33"/>
      <c r="GI97" s="34"/>
    </row>
    <row r="98" spans="1:191" x14ac:dyDescent="0.15">
      <c r="A98" s="35">
        <f>A97</f>
        <v>43</v>
      </c>
      <c r="B98" s="36" t="str">
        <f>B97</f>
        <v>PG</v>
      </c>
      <c r="C98" s="36" t="str">
        <f>C97</f>
        <v>Webアプリ実装レビュー指摘対応</v>
      </c>
      <c r="D98" s="37" t="str">
        <f>D97</f>
        <v>那須</v>
      </c>
      <c r="E98" s="53" t="s">
        <v>0</v>
      </c>
      <c r="F98" s="54"/>
      <c r="G98" s="54"/>
      <c r="H98" s="55">
        <f t="shared" si="8"/>
        <v>0</v>
      </c>
      <c r="I98" s="56">
        <f>IF(OR(H97="",H98=""),"",H98-H97)</f>
        <v>0</v>
      </c>
      <c r="J98" s="57"/>
      <c r="K98" s="58"/>
      <c r="L98" s="58"/>
      <c r="M98" s="58"/>
      <c r="N98" s="58"/>
      <c r="O98" s="58"/>
      <c r="P98" s="58"/>
      <c r="Q98" s="58"/>
      <c r="R98" s="58"/>
      <c r="S98" s="58"/>
      <c r="T98" s="58"/>
      <c r="U98" s="58"/>
      <c r="V98" s="58"/>
      <c r="W98" s="58"/>
      <c r="X98" s="58"/>
      <c r="Y98" s="58"/>
      <c r="Z98" s="58"/>
      <c r="AA98" s="58"/>
      <c r="AB98" s="58"/>
      <c r="AC98" s="58"/>
      <c r="AD98" s="58"/>
      <c r="AE98" s="58"/>
      <c r="AF98" s="58"/>
      <c r="AG98" s="58"/>
      <c r="AH98" s="58"/>
      <c r="AI98" s="58"/>
      <c r="AJ98" s="58"/>
      <c r="AK98" s="58"/>
      <c r="AL98" s="58"/>
      <c r="AM98" s="58"/>
      <c r="AN98" s="58"/>
      <c r="AO98" s="58"/>
      <c r="AP98" s="59"/>
      <c r="AQ98" s="59"/>
      <c r="AR98" s="59"/>
      <c r="AS98" s="59"/>
      <c r="AT98" s="59"/>
      <c r="AU98" s="59"/>
      <c r="AV98" s="59"/>
      <c r="AW98" s="59"/>
      <c r="AX98" s="59"/>
      <c r="AY98" s="59"/>
      <c r="AZ98" s="59"/>
      <c r="BA98" s="59"/>
      <c r="BB98" s="59"/>
      <c r="BC98" s="59"/>
      <c r="BD98" s="59"/>
      <c r="BE98" s="59"/>
      <c r="BF98" s="59"/>
      <c r="BG98" s="59"/>
      <c r="BH98" s="59"/>
      <c r="BI98" s="59"/>
      <c r="BJ98" s="59"/>
      <c r="BK98" s="59"/>
      <c r="BL98" s="59"/>
      <c r="BM98" s="59"/>
      <c r="BN98" s="59"/>
      <c r="BO98" s="59"/>
      <c r="BP98" s="59"/>
      <c r="BQ98" s="59"/>
      <c r="BR98" s="59"/>
      <c r="BS98" s="59"/>
      <c r="BT98" s="59"/>
      <c r="BU98" s="59"/>
      <c r="BV98" s="59"/>
      <c r="BW98" s="59"/>
      <c r="BX98" s="59"/>
      <c r="BY98" s="59"/>
      <c r="BZ98" s="59"/>
      <c r="CA98" s="59"/>
      <c r="CB98" s="59"/>
      <c r="CC98" s="59"/>
      <c r="CD98" s="59"/>
      <c r="CE98" s="59"/>
      <c r="CF98" s="59"/>
      <c r="CG98" s="59"/>
      <c r="CH98" s="59"/>
      <c r="CI98" s="59"/>
      <c r="CJ98" s="59"/>
      <c r="CK98" s="59"/>
      <c r="CL98" s="59"/>
      <c r="CM98" s="59"/>
      <c r="CN98" s="59"/>
      <c r="CO98" s="59"/>
      <c r="CP98" s="59"/>
      <c r="CQ98" s="59"/>
      <c r="CR98" s="59"/>
      <c r="CS98" s="59"/>
      <c r="CT98" s="59"/>
      <c r="CU98" s="59"/>
      <c r="CV98" s="59"/>
      <c r="CW98" s="59"/>
      <c r="CX98" s="59"/>
      <c r="CY98" s="59"/>
      <c r="CZ98" s="59"/>
      <c r="DA98" s="59"/>
      <c r="DB98" s="59"/>
      <c r="DC98" s="59"/>
      <c r="DD98" s="59"/>
      <c r="DE98" s="59"/>
      <c r="DF98" s="59"/>
      <c r="DG98" s="59"/>
      <c r="DH98" s="59"/>
      <c r="DI98" s="59"/>
      <c r="DJ98" s="59"/>
      <c r="DK98" s="59"/>
      <c r="DL98" s="59"/>
      <c r="DM98" s="59"/>
      <c r="DN98" s="59"/>
      <c r="DO98" s="59"/>
      <c r="DP98" s="59"/>
      <c r="DQ98" s="59"/>
      <c r="DR98" s="59"/>
      <c r="DS98" s="59"/>
      <c r="DT98" s="59"/>
      <c r="DU98" s="59"/>
      <c r="DV98" s="59"/>
      <c r="DW98" s="59"/>
      <c r="DX98" s="59"/>
      <c r="DY98" s="59"/>
      <c r="DZ98" s="59"/>
      <c r="EA98" s="59"/>
      <c r="EB98" s="59"/>
      <c r="EC98" s="59"/>
      <c r="ED98" s="59"/>
      <c r="EE98" s="59"/>
      <c r="EF98" s="59"/>
      <c r="EG98" s="59"/>
      <c r="EH98" s="59"/>
      <c r="EI98" s="59"/>
      <c r="EJ98" s="59"/>
      <c r="EK98" s="59"/>
      <c r="EL98" s="59"/>
      <c r="EM98" s="59"/>
      <c r="EN98" s="59"/>
      <c r="EO98" s="59"/>
      <c r="EP98" s="59"/>
      <c r="EQ98" s="59"/>
      <c r="ER98" s="59"/>
      <c r="ES98" s="59"/>
      <c r="ET98" s="59"/>
      <c r="EU98" s="59"/>
      <c r="EV98" s="59"/>
      <c r="EW98" s="59"/>
      <c r="EX98" s="59"/>
      <c r="EY98" s="59"/>
      <c r="EZ98" s="59"/>
      <c r="FA98" s="59"/>
      <c r="FB98" s="59"/>
      <c r="FC98" s="59"/>
      <c r="FD98" s="59"/>
      <c r="FE98" s="59"/>
      <c r="FF98" s="59"/>
      <c r="FG98" s="59"/>
      <c r="FH98" s="59"/>
      <c r="FI98" s="59"/>
      <c r="FJ98" s="59"/>
      <c r="FK98" s="59"/>
      <c r="FL98" s="59"/>
      <c r="FM98" s="59"/>
      <c r="FN98" s="59"/>
      <c r="FO98" s="59"/>
      <c r="FP98" s="59"/>
      <c r="FQ98" s="59"/>
      <c r="FR98" s="59"/>
      <c r="FS98" s="59"/>
      <c r="FT98" s="59"/>
      <c r="FU98" s="59"/>
      <c r="FV98" s="59"/>
      <c r="FW98" s="59"/>
      <c r="FX98" s="59"/>
      <c r="FY98" s="59"/>
      <c r="FZ98" s="59"/>
      <c r="GA98" s="59"/>
      <c r="GB98" s="59"/>
      <c r="GC98" s="59"/>
      <c r="GD98" s="59"/>
      <c r="GE98" s="59"/>
      <c r="GF98" s="59"/>
      <c r="GG98" s="59"/>
      <c r="GH98" s="59"/>
      <c r="GI98" s="60"/>
    </row>
    <row r="99" spans="1:191" x14ac:dyDescent="0.15">
      <c r="A99" s="23">
        <v>44</v>
      </c>
      <c r="B99" s="24" t="s">
        <v>154</v>
      </c>
      <c r="C99" s="45" t="s">
        <v>158</v>
      </c>
      <c r="D99" s="26" t="s">
        <v>115</v>
      </c>
      <c r="E99" s="27" t="s">
        <v>13</v>
      </c>
      <c r="F99" s="28">
        <v>42912</v>
      </c>
      <c r="G99" s="28">
        <v>42945</v>
      </c>
      <c r="H99" s="29">
        <f t="shared" si="8"/>
        <v>0</v>
      </c>
      <c r="I99" s="30"/>
      <c r="J99" s="31"/>
      <c r="K99" s="32"/>
      <c r="L99" s="32"/>
      <c r="M99" s="32"/>
      <c r="N99" s="32"/>
      <c r="O99" s="32"/>
      <c r="P99" s="32"/>
      <c r="Q99" s="32"/>
      <c r="R99" s="32"/>
      <c r="S99" s="32"/>
      <c r="T99" s="32"/>
      <c r="U99" s="32"/>
      <c r="V99" s="32"/>
      <c r="W99" s="32"/>
      <c r="X99" s="32"/>
      <c r="Y99" s="32"/>
      <c r="Z99" s="32"/>
      <c r="AA99" s="32"/>
      <c r="AB99" s="32"/>
      <c r="AC99" s="32"/>
      <c r="AD99" s="32"/>
      <c r="AE99" s="32"/>
      <c r="AF99" s="32"/>
      <c r="AG99" s="32"/>
      <c r="AH99" s="32"/>
      <c r="AI99" s="32"/>
      <c r="AJ99" s="32"/>
      <c r="AK99" s="32"/>
      <c r="AL99" s="32"/>
      <c r="AM99" s="32"/>
      <c r="AN99" s="32"/>
      <c r="AO99" s="32"/>
      <c r="AP99" s="33"/>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33"/>
      <c r="CA99" s="33"/>
      <c r="CB99" s="33"/>
      <c r="CC99" s="33"/>
      <c r="CD99" s="33"/>
      <c r="CE99" s="33"/>
      <c r="CF99" s="33"/>
      <c r="CG99" s="33"/>
      <c r="CH99" s="33"/>
      <c r="CI99" s="33"/>
      <c r="CJ99" s="33"/>
      <c r="CK99" s="33"/>
      <c r="CL99" s="33"/>
      <c r="CM99" s="33"/>
      <c r="CN99" s="33"/>
      <c r="CO99" s="33"/>
      <c r="CP99" s="33"/>
      <c r="CQ99" s="33"/>
      <c r="CR99" s="33"/>
      <c r="CS99" s="33"/>
      <c r="CT99" s="33"/>
      <c r="CU99" s="33"/>
      <c r="CV99" s="33"/>
      <c r="CW99" s="33"/>
      <c r="CX99" s="33"/>
      <c r="CY99" s="33"/>
      <c r="CZ99" s="33"/>
      <c r="DA99" s="33"/>
      <c r="DB99" s="33"/>
      <c r="DC99" s="33"/>
      <c r="DD99" s="33"/>
      <c r="DE99" s="33"/>
      <c r="DF99" s="33"/>
      <c r="DG99" s="33"/>
      <c r="DH99" s="33"/>
      <c r="DI99" s="33"/>
      <c r="DJ99" s="33"/>
      <c r="DK99" s="33"/>
      <c r="DL99" s="33"/>
      <c r="DM99" s="33"/>
      <c r="DN99" s="33"/>
      <c r="DO99" s="33"/>
      <c r="DP99" s="33"/>
      <c r="DQ99" s="33"/>
      <c r="DR99" s="33"/>
      <c r="DS99" s="33"/>
      <c r="DT99" s="33"/>
      <c r="DU99" s="33"/>
      <c r="DV99" s="33"/>
      <c r="DW99" s="33"/>
      <c r="DX99" s="33"/>
      <c r="DY99" s="33"/>
      <c r="DZ99" s="33"/>
      <c r="EA99" s="33"/>
      <c r="EB99" s="33"/>
      <c r="EC99" s="33"/>
      <c r="ED99" s="33"/>
      <c r="EE99" s="33"/>
      <c r="EF99" s="33"/>
      <c r="EG99" s="33"/>
      <c r="EH99" s="33"/>
      <c r="EI99" s="33"/>
      <c r="EJ99" s="33"/>
      <c r="EK99" s="33"/>
      <c r="EL99" s="33"/>
      <c r="EM99" s="33"/>
      <c r="EN99" s="33"/>
      <c r="EO99" s="33"/>
      <c r="EP99" s="33"/>
      <c r="EQ99" s="33"/>
      <c r="ER99" s="33"/>
      <c r="ES99" s="33"/>
      <c r="ET99" s="33"/>
      <c r="EU99" s="33"/>
      <c r="EV99" s="33"/>
      <c r="EW99" s="33"/>
      <c r="EX99" s="33"/>
      <c r="EY99" s="33"/>
      <c r="EZ99" s="33"/>
      <c r="FA99" s="33"/>
      <c r="FB99" s="33"/>
      <c r="FC99" s="33"/>
      <c r="FD99" s="33"/>
      <c r="FE99" s="33"/>
      <c r="FF99" s="33"/>
      <c r="FG99" s="33"/>
      <c r="FH99" s="33"/>
      <c r="FI99" s="33"/>
      <c r="FJ99" s="33"/>
      <c r="FK99" s="33"/>
      <c r="FL99" s="33"/>
      <c r="FM99" s="33"/>
      <c r="FN99" s="33"/>
      <c r="FO99" s="33"/>
      <c r="FP99" s="33"/>
      <c r="FQ99" s="33"/>
      <c r="FR99" s="33"/>
      <c r="FS99" s="33"/>
      <c r="FT99" s="33"/>
      <c r="FU99" s="33"/>
      <c r="FV99" s="33"/>
      <c r="FW99" s="33"/>
      <c r="FX99" s="33"/>
      <c r="FY99" s="33"/>
      <c r="FZ99" s="33"/>
      <c r="GA99" s="33"/>
      <c r="GB99" s="33"/>
      <c r="GC99" s="33"/>
      <c r="GD99" s="33"/>
      <c r="GE99" s="33"/>
      <c r="GF99" s="33"/>
      <c r="GG99" s="33"/>
      <c r="GH99" s="33"/>
      <c r="GI99" s="34"/>
    </row>
    <row r="100" spans="1:191" x14ac:dyDescent="0.15">
      <c r="A100" s="35">
        <f>A99</f>
        <v>44</v>
      </c>
      <c r="B100" s="36" t="str">
        <f>B99</f>
        <v>PG</v>
      </c>
      <c r="C100" s="36" t="str">
        <f>C99</f>
        <v>監視端末実装</v>
      </c>
      <c r="D100" s="37" t="str">
        <f>D99</f>
        <v>若山</v>
      </c>
      <c r="E100" s="53" t="s">
        <v>0</v>
      </c>
      <c r="F100" s="54"/>
      <c r="G100" s="54"/>
      <c r="H100" s="55">
        <f t="shared" si="8"/>
        <v>0</v>
      </c>
      <c r="I100" s="56">
        <f>IF(OR(H99="",H100=""),"",H100-H99)</f>
        <v>0</v>
      </c>
      <c r="J100" s="57"/>
      <c r="K100" s="58"/>
      <c r="L100" s="58"/>
      <c r="M100" s="58"/>
      <c r="N100" s="58"/>
      <c r="O100" s="58"/>
      <c r="P100" s="58"/>
      <c r="Q100" s="58"/>
      <c r="R100" s="58"/>
      <c r="S100" s="58"/>
      <c r="T100" s="58"/>
      <c r="U100" s="58"/>
      <c r="V100" s="58"/>
      <c r="W100" s="58"/>
      <c r="X100" s="58"/>
      <c r="Y100" s="58"/>
      <c r="Z100" s="58"/>
      <c r="AA100" s="58"/>
      <c r="AB100" s="58"/>
      <c r="AC100" s="58"/>
      <c r="AD100" s="58"/>
      <c r="AE100" s="58"/>
      <c r="AF100" s="58"/>
      <c r="AG100" s="58"/>
      <c r="AH100" s="58"/>
      <c r="AI100" s="58"/>
      <c r="AJ100" s="58"/>
      <c r="AK100" s="58"/>
      <c r="AL100" s="58"/>
      <c r="AM100" s="58"/>
      <c r="AN100" s="58"/>
      <c r="AO100" s="58"/>
      <c r="AP100" s="59"/>
      <c r="AQ100" s="59"/>
      <c r="AR100" s="59"/>
      <c r="AS100" s="59"/>
      <c r="AT100" s="59"/>
      <c r="AU100" s="59"/>
      <c r="AV100" s="59"/>
      <c r="AW100" s="59"/>
      <c r="AX100" s="59"/>
      <c r="AY100" s="59"/>
      <c r="AZ100" s="59"/>
      <c r="BA100" s="59"/>
      <c r="BB100" s="59"/>
      <c r="BC100" s="59"/>
      <c r="BD100" s="59"/>
      <c r="BE100" s="59"/>
      <c r="BF100" s="59"/>
      <c r="BG100" s="59"/>
      <c r="BH100" s="59"/>
      <c r="BI100" s="59"/>
      <c r="BJ100" s="59"/>
      <c r="BK100" s="59"/>
      <c r="BL100" s="59"/>
      <c r="BM100" s="59"/>
      <c r="BN100" s="59"/>
      <c r="BO100" s="59"/>
      <c r="BP100" s="59"/>
      <c r="BQ100" s="59"/>
      <c r="BR100" s="59"/>
      <c r="BS100" s="59"/>
      <c r="BT100" s="59"/>
      <c r="BU100" s="59"/>
      <c r="BV100" s="59"/>
      <c r="BW100" s="59"/>
      <c r="BX100" s="59"/>
      <c r="BY100" s="59"/>
      <c r="BZ100" s="59"/>
      <c r="CA100" s="59"/>
      <c r="CB100" s="59"/>
      <c r="CC100" s="59"/>
      <c r="CD100" s="59"/>
      <c r="CE100" s="59"/>
      <c r="CF100" s="59"/>
      <c r="CG100" s="59"/>
      <c r="CH100" s="59"/>
      <c r="CI100" s="59"/>
      <c r="CJ100" s="59"/>
      <c r="CK100" s="59"/>
      <c r="CL100" s="59"/>
      <c r="CM100" s="59"/>
      <c r="CN100" s="59"/>
      <c r="CO100" s="59"/>
      <c r="CP100" s="59"/>
      <c r="CQ100" s="59"/>
      <c r="CR100" s="59"/>
      <c r="CS100" s="59"/>
      <c r="CT100" s="59"/>
      <c r="CU100" s="59"/>
      <c r="CV100" s="59"/>
      <c r="CW100" s="59"/>
      <c r="CX100" s="59"/>
      <c r="CY100" s="59"/>
      <c r="CZ100" s="59"/>
      <c r="DA100" s="59"/>
      <c r="DB100" s="59"/>
      <c r="DC100" s="59"/>
      <c r="DD100" s="59"/>
      <c r="DE100" s="59"/>
      <c r="DF100" s="59"/>
      <c r="DG100" s="59"/>
      <c r="DH100" s="59"/>
      <c r="DI100" s="59"/>
      <c r="DJ100" s="59"/>
      <c r="DK100" s="59"/>
      <c r="DL100" s="59"/>
      <c r="DM100" s="59"/>
      <c r="DN100" s="59"/>
      <c r="DO100" s="59"/>
      <c r="DP100" s="59"/>
      <c r="DQ100" s="59"/>
      <c r="DR100" s="59"/>
      <c r="DS100" s="59"/>
      <c r="DT100" s="59"/>
      <c r="DU100" s="59"/>
      <c r="DV100" s="59"/>
      <c r="DW100" s="59"/>
      <c r="DX100" s="59"/>
      <c r="DY100" s="59"/>
      <c r="DZ100" s="59"/>
      <c r="EA100" s="59"/>
      <c r="EB100" s="59"/>
      <c r="EC100" s="59"/>
      <c r="ED100" s="59"/>
      <c r="EE100" s="59"/>
      <c r="EF100" s="59"/>
      <c r="EG100" s="59"/>
      <c r="EH100" s="59"/>
      <c r="EI100" s="59"/>
      <c r="EJ100" s="59"/>
      <c r="EK100" s="59"/>
      <c r="EL100" s="59"/>
      <c r="EM100" s="59"/>
      <c r="EN100" s="59"/>
      <c r="EO100" s="59"/>
      <c r="EP100" s="59"/>
      <c r="EQ100" s="59"/>
      <c r="ER100" s="59"/>
      <c r="ES100" s="59"/>
      <c r="ET100" s="59"/>
      <c r="EU100" s="59"/>
      <c r="EV100" s="59"/>
      <c r="EW100" s="59"/>
      <c r="EX100" s="59"/>
      <c r="EY100" s="59"/>
      <c r="EZ100" s="59"/>
      <c r="FA100" s="59"/>
      <c r="FB100" s="59"/>
      <c r="FC100" s="59"/>
      <c r="FD100" s="59"/>
      <c r="FE100" s="59"/>
      <c r="FF100" s="59"/>
      <c r="FG100" s="59"/>
      <c r="FH100" s="59"/>
      <c r="FI100" s="59"/>
      <c r="FJ100" s="59"/>
      <c r="FK100" s="59"/>
      <c r="FL100" s="59"/>
      <c r="FM100" s="59"/>
      <c r="FN100" s="59"/>
      <c r="FO100" s="59"/>
      <c r="FP100" s="59"/>
      <c r="FQ100" s="59"/>
      <c r="FR100" s="59"/>
      <c r="FS100" s="59"/>
      <c r="FT100" s="59"/>
      <c r="FU100" s="59"/>
      <c r="FV100" s="59"/>
      <c r="FW100" s="59"/>
      <c r="FX100" s="59"/>
      <c r="FY100" s="59"/>
      <c r="FZ100" s="59"/>
      <c r="GA100" s="59"/>
      <c r="GB100" s="59"/>
      <c r="GC100" s="59"/>
      <c r="GD100" s="59"/>
      <c r="GE100" s="59"/>
      <c r="GF100" s="59"/>
      <c r="GG100" s="59"/>
      <c r="GH100" s="59"/>
      <c r="GI100" s="60"/>
    </row>
    <row r="101" spans="1:191" x14ac:dyDescent="0.15">
      <c r="A101" s="23">
        <v>45</v>
      </c>
      <c r="B101" s="24" t="s">
        <v>154</v>
      </c>
      <c r="C101" s="45" t="s">
        <v>159</v>
      </c>
      <c r="D101" s="26" t="s">
        <v>170</v>
      </c>
      <c r="E101" s="27" t="s">
        <v>13</v>
      </c>
      <c r="F101" s="28">
        <v>42945</v>
      </c>
      <c r="G101" s="28">
        <v>42946</v>
      </c>
      <c r="H101" s="29">
        <f t="shared" si="8"/>
        <v>0</v>
      </c>
      <c r="I101" s="30"/>
      <c r="J101" s="31"/>
      <c r="K101" s="32"/>
      <c r="L101" s="32"/>
      <c r="M101" s="32"/>
      <c r="N101" s="32"/>
      <c r="O101" s="32"/>
      <c r="P101" s="32"/>
      <c r="Q101" s="32"/>
      <c r="R101" s="32"/>
      <c r="S101" s="32"/>
      <c r="T101" s="32"/>
      <c r="U101" s="32"/>
      <c r="V101" s="32"/>
      <c r="W101" s="32"/>
      <c r="X101" s="32"/>
      <c r="Y101" s="32"/>
      <c r="Z101" s="32"/>
      <c r="AA101" s="32"/>
      <c r="AB101" s="32"/>
      <c r="AC101" s="32"/>
      <c r="AD101" s="32"/>
      <c r="AE101" s="32"/>
      <c r="AF101" s="32"/>
      <c r="AG101" s="32"/>
      <c r="AH101" s="32"/>
      <c r="AI101" s="32"/>
      <c r="AJ101" s="32"/>
      <c r="AK101" s="32"/>
      <c r="AL101" s="32"/>
      <c r="AM101" s="32"/>
      <c r="AN101" s="32"/>
      <c r="AO101" s="32"/>
      <c r="AP101" s="33"/>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33"/>
      <c r="CA101" s="33"/>
      <c r="CB101" s="33"/>
      <c r="CC101" s="33"/>
      <c r="CD101" s="33"/>
      <c r="CE101" s="33"/>
      <c r="CF101" s="33"/>
      <c r="CG101" s="33"/>
      <c r="CH101" s="33"/>
      <c r="CI101" s="33"/>
      <c r="CJ101" s="33"/>
      <c r="CK101" s="33"/>
      <c r="CL101" s="33"/>
      <c r="CM101" s="33"/>
      <c r="CN101" s="33"/>
      <c r="CO101" s="33"/>
      <c r="CP101" s="33"/>
      <c r="CQ101" s="33"/>
      <c r="CR101" s="33"/>
      <c r="CS101" s="33"/>
      <c r="CT101" s="33"/>
      <c r="CU101" s="33"/>
      <c r="CV101" s="33"/>
      <c r="CW101" s="33"/>
      <c r="CX101" s="33"/>
      <c r="CY101" s="33"/>
      <c r="CZ101" s="33"/>
      <c r="DA101" s="33"/>
      <c r="DB101" s="33"/>
      <c r="DC101" s="33"/>
      <c r="DD101" s="33"/>
      <c r="DE101" s="33"/>
      <c r="DF101" s="33"/>
      <c r="DG101" s="33"/>
      <c r="DH101" s="33"/>
      <c r="DI101" s="33"/>
      <c r="DJ101" s="33"/>
      <c r="DK101" s="33"/>
      <c r="DL101" s="33"/>
      <c r="DM101" s="33"/>
      <c r="DN101" s="33"/>
      <c r="DO101" s="33"/>
      <c r="DP101" s="33"/>
      <c r="DQ101" s="33"/>
      <c r="DR101" s="33"/>
      <c r="DS101" s="33"/>
      <c r="DT101" s="33"/>
      <c r="DU101" s="33"/>
      <c r="DV101" s="33"/>
      <c r="DW101" s="33"/>
      <c r="DX101" s="33"/>
      <c r="DY101" s="33"/>
      <c r="DZ101" s="33"/>
      <c r="EA101" s="33"/>
      <c r="EB101" s="33"/>
      <c r="EC101" s="33"/>
      <c r="ED101" s="33"/>
      <c r="EE101" s="33"/>
      <c r="EF101" s="33"/>
      <c r="EG101" s="33"/>
      <c r="EH101" s="33"/>
      <c r="EI101" s="33"/>
      <c r="EJ101" s="33"/>
      <c r="EK101" s="33"/>
      <c r="EL101" s="33"/>
      <c r="EM101" s="33"/>
      <c r="EN101" s="33"/>
      <c r="EO101" s="33"/>
      <c r="EP101" s="33"/>
      <c r="EQ101" s="33"/>
      <c r="ER101" s="33"/>
      <c r="ES101" s="33"/>
      <c r="ET101" s="33"/>
      <c r="EU101" s="33"/>
      <c r="EV101" s="33"/>
      <c r="EW101" s="33"/>
      <c r="EX101" s="33"/>
      <c r="EY101" s="33"/>
      <c r="EZ101" s="33"/>
      <c r="FA101" s="33"/>
      <c r="FB101" s="33"/>
      <c r="FC101" s="33"/>
      <c r="FD101" s="33"/>
      <c r="FE101" s="33"/>
      <c r="FF101" s="33"/>
      <c r="FG101" s="33"/>
      <c r="FH101" s="33"/>
      <c r="FI101" s="33"/>
      <c r="FJ101" s="33"/>
      <c r="FK101" s="33"/>
      <c r="FL101" s="33"/>
      <c r="FM101" s="33"/>
      <c r="FN101" s="33"/>
      <c r="FO101" s="33"/>
      <c r="FP101" s="33"/>
      <c r="FQ101" s="33"/>
      <c r="FR101" s="33"/>
      <c r="FS101" s="33"/>
      <c r="FT101" s="33"/>
      <c r="FU101" s="33"/>
      <c r="FV101" s="33"/>
      <c r="FW101" s="33"/>
      <c r="FX101" s="33"/>
      <c r="FY101" s="33"/>
      <c r="FZ101" s="33"/>
      <c r="GA101" s="33"/>
      <c r="GB101" s="33"/>
      <c r="GC101" s="33"/>
      <c r="GD101" s="33"/>
      <c r="GE101" s="33"/>
      <c r="GF101" s="33"/>
      <c r="GG101" s="33"/>
      <c r="GH101" s="33"/>
      <c r="GI101" s="34"/>
    </row>
    <row r="102" spans="1:191" x14ac:dyDescent="0.15">
      <c r="A102" s="35">
        <f>A101</f>
        <v>45</v>
      </c>
      <c r="B102" s="36" t="str">
        <f>B101</f>
        <v>PG</v>
      </c>
      <c r="C102" s="36" t="str">
        <f>C101</f>
        <v>監視端末実装レビュー</v>
      </c>
      <c r="D102" s="37" t="str">
        <f>D101</f>
        <v>伊藤</v>
      </c>
      <c r="E102" s="53" t="s">
        <v>0</v>
      </c>
      <c r="F102" s="54"/>
      <c r="G102" s="54"/>
      <c r="H102" s="55">
        <f t="shared" si="8"/>
        <v>0</v>
      </c>
      <c r="I102" s="56">
        <f>IF(OR(H101="",H102=""),"",H102-H101)</f>
        <v>0</v>
      </c>
      <c r="J102" s="57"/>
      <c r="K102" s="58"/>
      <c r="L102" s="58"/>
      <c r="M102" s="58"/>
      <c r="N102" s="58"/>
      <c r="O102" s="58"/>
      <c r="P102" s="58"/>
      <c r="Q102" s="58"/>
      <c r="R102" s="58"/>
      <c r="S102" s="58"/>
      <c r="T102" s="58"/>
      <c r="U102" s="58"/>
      <c r="V102" s="58"/>
      <c r="W102" s="58"/>
      <c r="X102" s="58"/>
      <c r="Y102" s="58"/>
      <c r="Z102" s="58"/>
      <c r="AA102" s="58"/>
      <c r="AB102" s="58"/>
      <c r="AC102" s="58"/>
      <c r="AD102" s="58"/>
      <c r="AE102" s="58"/>
      <c r="AF102" s="58"/>
      <c r="AG102" s="58"/>
      <c r="AH102" s="58"/>
      <c r="AI102" s="58"/>
      <c r="AJ102" s="58"/>
      <c r="AK102" s="58"/>
      <c r="AL102" s="58"/>
      <c r="AM102" s="58"/>
      <c r="AN102" s="58"/>
      <c r="AO102" s="58"/>
      <c r="AP102" s="59"/>
      <c r="AQ102" s="59"/>
      <c r="AR102" s="59"/>
      <c r="AS102" s="59"/>
      <c r="AT102" s="59"/>
      <c r="AU102" s="59"/>
      <c r="AV102" s="59"/>
      <c r="AW102" s="59"/>
      <c r="AX102" s="59"/>
      <c r="AY102" s="59"/>
      <c r="AZ102" s="59"/>
      <c r="BA102" s="59"/>
      <c r="BB102" s="59"/>
      <c r="BC102" s="59"/>
      <c r="BD102" s="59"/>
      <c r="BE102" s="59"/>
      <c r="BF102" s="59"/>
      <c r="BG102" s="59"/>
      <c r="BH102" s="59"/>
      <c r="BI102" s="59"/>
      <c r="BJ102" s="59"/>
      <c r="BK102" s="59"/>
      <c r="BL102" s="59"/>
      <c r="BM102" s="59"/>
      <c r="BN102" s="59"/>
      <c r="BO102" s="59"/>
      <c r="BP102" s="59"/>
      <c r="BQ102" s="59"/>
      <c r="BR102" s="59"/>
      <c r="BS102" s="59"/>
      <c r="BT102" s="59"/>
      <c r="BU102" s="59"/>
      <c r="BV102" s="59"/>
      <c r="BW102" s="59"/>
      <c r="BX102" s="59"/>
      <c r="BY102" s="59"/>
      <c r="BZ102" s="59"/>
      <c r="CA102" s="59"/>
      <c r="CB102" s="59"/>
      <c r="CC102" s="59"/>
      <c r="CD102" s="59"/>
      <c r="CE102" s="59"/>
      <c r="CF102" s="59"/>
      <c r="CG102" s="59"/>
      <c r="CH102" s="59"/>
      <c r="CI102" s="59"/>
      <c r="CJ102" s="59"/>
      <c r="CK102" s="59"/>
      <c r="CL102" s="59"/>
      <c r="CM102" s="59"/>
      <c r="CN102" s="59"/>
      <c r="CO102" s="59"/>
      <c r="CP102" s="59"/>
      <c r="CQ102" s="59"/>
      <c r="CR102" s="59"/>
      <c r="CS102" s="59"/>
      <c r="CT102" s="59"/>
      <c r="CU102" s="59"/>
      <c r="CV102" s="59"/>
      <c r="CW102" s="59"/>
      <c r="CX102" s="59"/>
      <c r="CY102" s="59"/>
      <c r="CZ102" s="59"/>
      <c r="DA102" s="59"/>
      <c r="DB102" s="59"/>
      <c r="DC102" s="59"/>
      <c r="DD102" s="59"/>
      <c r="DE102" s="59"/>
      <c r="DF102" s="59"/>
      <c r="DG102" s="59"/>
      <c r="DH102" s="59"/>
      <c r="DI102" s="59"/>
      <c r="DJ102" s="59"/>
      <c r="DK102" s="59"/>
      <c r="DL102" s="59"/>
      <c r="DM102" s="59"/>
      <c r="DN102" s="59"/>
      <c r="DO102" s="59"/>
      <c r="DP102" s="59"/>
      <c r="DQ102" s="59"/>
      <c r="DR102" s="59"/>
      <c r="DS102" s="59"/>
      <c r="DT102" s="59"/>
      <c r="DU102" s="59"/>
      <c r="DV102" s="59"/>
      <c r="DW102" s="59"/>
      <c r="DX102" s="59"/>
      <c r="DY102" s="59"/>
      <c r="DZ102" s="59"/>
      <c r="EA102" s="59"/>
      <c r="EB102" s="59"/>
      <c r="EC102" s="59"/>
      <c r="ED102" s="59"/>
      <c r="EE102" s="59"/>
      <c r="EF102" s="59"/>
      <c r="EG102" s="59"/>
      <c r="EH102" s="59"/>
      <c r="EI102" s="59"/>
      <c r="EJ102" s="59"/>
      <c r="EK102" s="59"/>
      <c r="EL102" s="59"/>
      <c r="EM102" s="59"/>
      <c r="EN102" s="59"/>
      <c r="EO102" s="59"/>
      <c r="EP102" s="59"/>
      <c r="EQ102" s="59"/>
      <c r="ER102" s="59"/>
      <c r="ES102" s="59"/>
      <c r="ET102" s="59"/>
      <c r="EU102" s="59"/>
      <c r="EV102" s="59"/>
      <c r="EW102" s="59"/>
      <c r="EX102" s="59"/>
      <c r="EY102" s="59"/>
      <c r="EZ102" s="59"/>
      <c r="FA102" s="59"/>
      <c r="FB102" s="59"/>
      <c r="FC102" s="59"/>
      <c r="FD102" s="59"/>
      <c r="FE102" s="59"/>
      <c r="FF102" s="59"/>
      <c r="FG102" s="59"/>
      <c r="FH102" s="59"/>
      <c r="FI102" s="59"/>
      <c r="FJ102" s="59"/>
      <c r="FK102" s="59"/>
      <c r="FL102" s="59"/>
      <c r="FM102" s="59"/>
      <c r="FN102" s="59"/>
      <c r="FO102" s="59"/>
      <c r="FP102" s="59"/>
      <c r="FQ102" s="59"/>
      <c r="FR102" s="59"/>
      <c r="FS102" s="59"/>
      <c r="FT102" s="59"/>
      <c r="FU102" s="59"/>
      <c r="FV102" s="59"/>
      <c r="FW102" s="59"/>
      <c r="FX102" s="59"/>
      <c r="FY102" s="59"/>
      <c r="FZ102" s="59"/>
      <c r="GA102" s="59"/>
      <c r="GB102" s="59"/>
      <c r="GC102" s="59"/>
      <c r="GD102" s="59"/>
      <c r="GE102" s="59"/>
      <c r="GF102" s="59"/>
      <c r="GG102" s="59"/>
      <c r="GH102" s="59"/>
      <c r="GI102" s="60"/>
    </row>
    <row r="103" spans="1:191" x14ac:dyDescent="0.15">
      <c r="A103" s="23">
        <v>46</v>
      </c>
      <c r="B103" s="24" t="s">
        <v>154</v>
      </c>
      <c r="C103" s="45" t="s">
        <v>160</v>
      </c>
      <c r="D103" s="26" t="s">
        <v>115</v>
      </c>
      <c r="E103" s="27" t="s">
        <v>13</v>
      </c>
      <c r="F103" s="28">
        <v>42947</v>
      </c>
      <c r="G103" s="28">
        <v>42953</v>
      </c>
      <c r="H103" s="29">
        <f t="shared" si="8"/>
        <v>0</v>
      </c>
      <c r="I103" s="30"/>
      <c r="J103" s="31"/>
      <c r="K103" s="32"/>
      <c r="L103" s="32"/>
      <c r="M103" s="32"/>
      <c r="N103" s="32"/>
      <c r="O103" s="32"/>
      <c r="P103" s="32"/>
      <c r="Q103" s="32"/>
      <c r="R103" s="32"/>
      <c r="S103" s="32"/>
      <c r="T103" s="32"/>
      <c r="U103" s="32"/>
      <c r="V103" s="32"/>
      <c r="W103" s="32"/>
      <c r="X103" s="32"/>
      <c r="Y103" s="32"/>
      <c r="Z103" s="32"/>
      <c r="AA103" s="32"/>
      <c r="AB103" s="32"/>
      <c r="AC103" s="32"/>
      <c r="AD103" s="32"/>
      <c r="AE103" s="32"/>
      <c r="AF103" s="32"/>
      <c r="AG103" s="32"/>
      <c r="AH103" s="32"/>
      <c r="AI103" s="32"/>
      <c r="AJ103" s="32"/>
      <c r="AK103" s="32"/>
      <c r="AL103" s="32"/>
      <c r="AM103" s="32"/>
      <c r="AN103" s="32"/>
      <c r="AO103" s="32"/>
      <c r="AP103" s="33"/>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33"/>
      <c r="CA103" s="33"/>
      <c r="CB103" s="33"/>
      <c r="CC103" s="33"/>
      <c r="CD103" s="33"/>
      <c r="CE103" s="33"/>
      <c r="CF103" s="33"/>
      <c r="CG103" s="33"/>
      <c r="CH103" s="33"/>
      <c r="CI103" s="33"/>
      <c r="CJ103" s="33"/>
      <c r="CK103" s="33"/>
      <c r="CL103" s="33"/>
      <c r="CM103" s="33"/>
      <c r="CN103" s="33"/>
      <c r="CO103" s="33"/>
      <c r="CP103" s="33"/>
      <c r="CQ103" s="33"/>
      <c r="CR103" s="33"/>
      <c r="CS103" s="33"/>
      <c r="CT103" s="33"/>
      <c r="CU103" s="33"/>
      <c r="CV103" s="33"/>
      <c r="CW103" s="33"/>
      <c r="CX103" s="33"/>
      <c r="CY103" s="33"/>
      <c r="CZ103" s="33"/>
      <c r="DA103" s="33"/>
      <c r="DB103" s="33"/>
      <c r="DC103" s="33"/>
      <c r="DD103" s="33"/>
      <c r="DE103" s="33"/>
      <c r="DF103" s="33"/>
      <c r="DG103" s="33"/>
      <c r="DH103" s="33"/>
      <c r="DI103" s="33"/>
      <c r="DJ103" s="33"/>
      <c r="DK103" s="33"/>
      <c r="DL103" s="33"/>
      <c r="DM103" s="33"/>
      <c r="DN103" s="33"/>
      <c r="DO103" s="33"/>
      <c r="DP103" s="33"/>
      <c r="DQ103" s="33"/>
      <c r="DR103" s="33"/>
      <c r="DS103" s="33"/>
      <c r="DT103" s="33"/>
      <c r="DU103" s="33"/>
      <c r="DV103" s="33"/>
      <c r="DW103" s="33"/>
      <c r="DX103" s="33"/>
      <c r="DY103" s="33"/>
      <c r="DZ103" s="33"/>
      <c r="EA103" s="33"/>
      <c r="EB103" s="33"/>
      <c r="EC103" s="33"/>
      <c r="ED103" s="33"/>
      <c r="EE103" s="33"/>
      <c r="EF103" s="33"/>
      <c r="EG103" s="33"/>
      <c r="EH103" s="33"/>
      <c r="EI103" s="33"/>
      <c r="EJ103" s="33"/>
      <c r="EK103" s="33"/>
      <c r="EL103" s="33"/>
      <c r="EM103" s="33"/>
      <c r="EN103" s="33"/>
      <c r="EO103" s="33"/>
      <c r="EP103" s="33"/>
      <c r="EQ103" s="33"/>
      <c r="ER103" s="33"/>
      <c r="ES103" s="33"/>
      <c r="ET103" s="33"/>
      <c r="EU103" s="33"/>
      <c r="EV103" s="33"/>
      <c r="EW103" s="33"/>
      <c r="EX103" s="33"/>
      <c r="EY103" s="33"/>
      <c r="EZ103" s="33"/>
      <c r="FA103" s="33"/>
      <c r="FB103" s="33"/>
      <c r="FC103" s="33"/>
      <c r="FD103" s="33"/>
      <c r="FE103" s="33"/>
      <c r="FF103" s="33"/>
      <c r="FG103" s="33"/>
      <c r="FH103" s="33"/>
      <c r="FI103" s="33"/>
      <c r="FJ103" s="33"/>
      <c r="FK103" s="33"/>
      <c r="FL103" s="33"/>
      <c r="FM103" s="33"/>
      <c r="FN103" s="33"/>
      <c r="FO103" s="33"/>
      <c r="FP103" s="33"/>
      <c r="FQ103" s="33"/>
      <c r="FR103" s="33"/>
      <c r="FS103" s="33"/>
      <c r="FT103" s="33"/>
      <c r="FU103" s="33"/>
      <c r="FV103" s="33"/>
      <c r="FW103" s="33"/>
      <c r="FX103" s="33"/>
      <c r="FY103" s="33"/>
      <c r="FZ103" s="33"/>
      <c r="GA103" s="33"/>
      <c r="GB103" s="33"/>
      <c r="GC103" s="33"/>
      <c r="GD103" s="33"/>
      <c r="GE103" s="33"/>
      <c r="GF103" s="33"/>
      <c r="GG103" s="33"/>
      <c r="GH103" s="33"/>
      <c r="GI103" s="34"/>
    </row>
    <row r="104" spans="1:191" x14ac:dyDescent="0.15">
      <c r="A104" s="35">
        <f>A103</f>
        <v>46</v>
      </c>
      <c r="B104" s="36" t="str">
        <f>B103</f>
        <v>PG</v>
      </c>
      <c r="C104" s="36" t="str">
        <f>C103</f>
        <v>監視端末実装レビュー指摘対応</v>
      </c>
      <c r="D104" s="37" t="str">
        <f>D103</f>
        <v>若山</v>
      </c>
      <c r="E104" s="53" t="s">
        <v>0</v>
      </c>
      <c r="F104" s="54"/>
      <c r="G104" s="54"/>
      <c r="H104" s="55">
        <f t="shared" si="8"/>
        <v>0</v>
      </c>
      <c r="I104" s="56">
        <f>IF(OR(H103="",H104=""),"",H104-H103)</f>
        <v>0</v>
      </c>
      <c r="J104" s="57"/>
      <c r="K104" s="58"/>
      <c r="L104" s="58"/>
      <c r="M104" s="58"/>
      <c r="N104" s="58"/>
      <c r="O104" s="58"/>
      <c r="P104" s="58"/>
      <c r="Q104" s="58"/>
      <c r="R104" s="58"/>
      <c r="S104" s="58"/>
      <c r="T104" s="58"/>
      <c r="U104" s="58"/>
      <c r="V104" s="58"/>
      <c r="W104" s="58"/>
      <c r="X104" s="58"/>
      <c r="Y104" s="58"/>
      <c r="Z104" s="58"/>
      <c r="AA104" s="58"/>
      <c r="AB104" s="58"/>
      <c r="AC104" s="58"/>
      <c r="AD104" s="58"/>
      <c r="AE104" s="58"/>
      <c r="AF104" s="58"/>
      <c r="AG104" s="58"/>
      <c r="AH104" s="58"/>
      <c r="AI104" s="58"/>
      <c r="AJ104" s="58"/>
      <c r="AK104" s="58"/>
      <c r="AL104" s="58"/>
      <c r="AM104" s="58"/>
      <c r="AN104" s="58"/>
      <c r="AO104" s="58"/>
      <c r="AP104" s="59"/>
      <c r="AQ104" s="59"/>
      <c r="AR104" s="59"/>
      <c r="AS104" s="59"/>
      <c r="AT104" s="59"/>
      <c r="AU104" s="59"/>
      <c r="AV104" s="59"/>
      <c r="AW104" s="59"/>
      <c r="AX104" s="59"/>
      <c r="AY104" s="59"/>
      <c r="AZ104" s="59"/>
      <c r="BA104" s="59"/>
      <c r="BB104" s="59"/>
      <c r="BC104" s="59"/>
      <c r="BD104" s="59"/>
      <c r="BE104" s="59"/>
      <c r="BF104" s="59"/>
      <c r="BG104" s="59"/>
      <c r="BH104" s="59"/>
      <c r="BI104" s="59"/>
      <c r="BJ104" s="59"/>
      <c r="BK104" s="59"/>
      <c r="BL104" s="59"/>
      <c r="BM104" s="59"/>
      <c r="BN104" s="59"/>
      <c r="BO104" s="59"/>
      <c r="BP104" s="59"/>
      <c r="BQ104" s="59"/>
      <c r="BR104" s="59"/>
      <c r="BS104" s="59"/>
      <c r="BT104" s="59"/>
      <c r="BU104" s="59"/>
      <c r="BV104" s="59"/>
      <c r="BW104" s="59"/>
      <c r="BX104" s="59"/>
      <c r="BY104" s="59"/>
      <c r="BZ104" s="59"/>
      <c r="CA104" s="59"/>
      <c r="CB104" s="59"/>
      <c r="CC104" s="59"/>
      <c r="CD104" s="59"/>
      <c r="CE104" s="59"/>
      <c r="CF104" s="59"/>
      <c r="CG104" s="59"/>
      <c r="CH104" s="59"/>
      <c r="CI104" s="59"/>
      <c r="CJ104" s="59"/>
      <c r="CK104" s="59"/>
      <c r="CL104" s="59"/>
      <c r="CM104" s="59"/>
      <c r="CN104" s="59"/>
      <c r="CO104" s="59"/>
      <c r="CP104" s="59"/>
      <c r="CQ104" s="59"/>
      <c r="CR104" s="59"/>
      <c r="CS104" s="59"/>
      <c r="CT104" s="59"/>
      <c r="CU104" s="59"/>
      <c r="CV104" s="59"/>
      <c r="CW104" s="59"/>
      <c r="CX104" s="59"/>
      <c r="CY104" s="59"/>
      <c r="CZ104" s="59"/>
      <c r="DA104" s="59"/>
      <c r="DB104" s="59"/>
      <c r="DC104" s="59"/>
      <c r="DD104" s="59"/>
      <c r="DE104" s="59"/>
      <c r="DF104" s="59"/>
      <c r="DG104" s="59"/>
      <c r="DH104" s="59"/>
      <c r="DI104" s="59"/>
      <c r="DJ104" s="59"/>
      <c r="DK104" s="59"/>
      <c r="DL104" s="59"/>
      <c r="DM104" s="59"/>
      <c r="DN104" s="59"/>
      <c r="DO104" s="59"/>
      <c r="DP104" s="59"/>
      <c r="DQ104" s="59"/>
      <c r="DR104" s="59"/>
      <c r="DS104" s="59"/>
      <c r="DT104" s="59"/>
      <c r="DU104" s="59"/>
      <c r="DV104" s="59"/>
      <c r="DW104" s="59"/>
      <c r="DX104" s="59"/>
      <c r="DY104" s="59"/>
      <c r="DZ104" s="59"/>
      <c r="EA104" s="59"/>
      <c r="EB104" s="59"/>
      <c r="EC104" s="59"/>
      <c r="ED104" s="59"/>
      <c r="EE104" s="59"/>
      <c r="EF104" s="59"/>
      <c r="EG104" s="59"/>
      <c r="EH104" s="59"/>
      <c r="EI104" s="59"/>
      <c r="EJ104" s="59"/>
      <c r="EK104" s="59"/>
      <c r="EL104" s="59"/>
      <c r="EM104" s="59"/>
      <c r="EN104" s="59"/>
      <c r="EO104" s="59"/>
      <c r="EP104" s="59"/>
      <c r="EQ104" s="59"/>
      <c r="ER104" s="59"/>
      <c r="ES104" s="59"/>
      <c r="ET104" s="59"/>
      <c r="EU104" s="59"/>
      <c r="EV104" s="59"/>
      <c r="EW104" s="59"/>
      <c r="EX104" s="59"/>
      <c r="EY104" s="59"/>
      <c r="EZ104" s="59"/>
      <c r="FA104" s="59"/>
      <c r="FB104" s="59"/>
      <c r="FC104" s="59"/>
      <c r="FD104" s="59"/>
      <c r="FE104" s="59"/>
      <c r="FF104" s="59"/>
      <c r="FG104" s="59"/>
      <c r="FH104" s="59"/>
      <c r="FI104" s="59"/>
      <c r="FJ104" s="59"/>
      <c r="FK104" s="59"/>
      <c r="FL104" s="59"/>
      <c r="FM104" s="59"/>
      <c r="FN104" s="59"/>
      <c r="FO104" s="59"/>
      <c r="FP104" s="59"/>
      <c r="FQ104" s="59"/>
      <c r="FR104" s="59"/>
      <c r="FS104" s="59"/>
      <c r="FT104" s="59"/>
      <c r="FU104" s="59"/>
      <c r="FV104" s="59"/>
      <c r="FW104" s="59"/>
      <c r="FX104" s="59"/>
      <c r="FY104" s="59"/>
      <c r="FZ104" s="59"/>
      <c r="GA104" s="59"/>
      <c r="GB104" s="59"/>
      <c r="GC104" s="59"/>
      <c r="GD104" s="59"/>
      <c r="GE104" s="59"/>
      <c r="GF104" s="59"/>
      <c r="GG104" s="59"/>
      <c r="GH104" s="59"/>
      <c r="GI104" s="60"/>
    </row>
    <row r="105" spans="1:191" x14ac:dyDescent="0.15">
      <c r="A105" s="23">
        <v>47</v>
      </c>
      <c r="B105" s="24" t="s">
        <v>161</v>
      </c>
      <c r="C105" s="45" t="s">
        <v>162</v>
      </c>
      <c r="D105" s="26" t="s">
        <v>171</v>
      </c>
      <c r="E105" s="27" t="s">
        <v>13</v>
      </c>
      <c r="F105" s="28">
        <v>42954</v>
      </c>
      <c r="G105" s="28">
        <v>42967</v>
      </c>
      <c r="H105" s="29"/>
      <c r="I105" s="30"/>
      <c r="J105" s="31"/>
      <c r="K105" s="32"/>
      <c r="L105" s="32"/>
      <c r="M105" s="32"/>
      <c r="N105" s="32"/>
      <c r="O105" s="32"/>
      <c r="P105" s="32"/>
      <c r="Q105" s="32"/>
      <c r="R105" s="32"/>
      <c r="S105" s="32"/>
      <c r="T105" s="32"/>
      <c r="U105" s="32"/>
      <c r="V105" s="32"/>
      <c r="W105" s="32"/>
      <c r="X105" s="32"/>
      <c r="Y105" s="32"/>
      <c r="Z105" s="32"/>
      <c r="AA105" s="32"/>
      <c r="AB105" s="32"/>
      <c r="AC105" s="32"/>
      <c r="AD105" s="32"/>
      <c r="AE105" s="32"/>
      <c r="AF105" s="32"/>
      <c r="AG105" s="32"/>
      <c r="AH105" s="32"/>
      <c r="AI105" s="32"/>
      <c r="AJ105" s="32"/>
      <c r="AK105" s="32"/>
      <c r="AL105" s="32"/>
      <c r="AM105" s="32"/>
      <c r="AN105" s="32"/>
      <c r="AO105" s="32"/>
      <c r="AP105" s="33"/>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33"/>
      <c r="CA105" s="33"/>
      <c r="CB105" s="33"/>
      <c r="CC105" s="33"/>
      <c r="CD105" s="33"/>
      <c r="CE105" s="33"/>
      <c r="CF105" s="33"/>
      <c r="CG105" s="33"/>
      <c r="CH105" s="33"/>
      <c r="CI105" s="33"/>
      <c r="CJ105" s="33"/>
      <c r="CK105" s="33"/>
      <c r="CL105" s="33"/>
      <c r="CM105" s="33"/>
      <c r="CN105" s="33"/>
      <c r="CO105" s="33"/>
      <c r="CP105" s="33"/>
      <c r="CQ105" s="33"/>
      <c r="CR105" s="33"/>
      <c r="CS105" s="33"/>
      <c r="CT105" s="33"/>
      <c r="CU105" s="33"/>
      <c r="CV105" s="33"/>
      <c r="CW105" s="33"/>
      <c r="CX105" s="33"/>
      <c r="CY105" s="33"/>
      <c r="CZ105" s="33"/>
      <c r="DA105" s="33"/>
      <c r="DB105" s="33"/>
      <c r="DC105" s="33"/>
      <c r="DD105" s="33"/>
      <c r="DE105" s="33"/>
      <c r="DF105" s="33"/>
      <c r="DG105" s="33"/>
      <c r="DH105" s="33"/>
      <c r="DI105" s="33"/>
      <c r="DJ105" s="33"/>
      <c r="DK105" s="33"/>
      <c r="DL105" s="33"/>
      <c r="DM105" s="33"/>
      <c r="DN105" s="33"/>
      <c r="DO105" s="33"/>
      <c r="DP105" s="33"/>
      <c r="DQ105" s="33"/>
      <c r="DR105" s="33"/>
      <c r="DS105" s="33"/>
      <c r="DT105" s="33"/>
      <c r="DU105" s="33"/>
      <c r="DV105" s="33"/>
      <c r="DW105" s="33"/>
      <c r="DX105" s="33"/>
      <c r="DY105" s="33"/>
      <c r="DZ105" s="33"/>
      <c r="EA105" s="33"/>
      <c r="EB105" s="33"/>
      <c r="EC105" s="33"/>
      <c r="ED105" s="33"/>
      <c r="EE105" s="33"/>
      <c r="EF105" s="33"/>
      <c r="EG105" s="33"/>
      <c r="EH105" s="33"/>
      <c r="EI105" s="33"/>
      <c r="EJ105" s="33"/>
      <c r="EK105" s="33"/>
      <c r="EL105" s="33"/>
      <c r="EM105" s="33"/>
      <c r="EN105" s="33"/>
      <c r="EO105" s="33"/>
      <c r="EP105" s="33"/>
      <c r="EQ105" s="33"/>
      <c r="ER105" s="33"/>
      <c r="ES105" s="33"/>
      <c r="ET105" s="33"/>
      <c r="EU105" s="33"/>
      <c r="EV105" s="33"/>
      <c r="EW105" s="33"/>
      <c r="EX105" s="33"/>
      <c r="EY105" s="33"/>
      <c r="EZ105" s="33"/>
      <c r="FA105" s="33"/>
      <c r="FB105" s="33"/>
      <c r="FC105" s="33"/>
      <c r="FD105" s="33"/>
      <c r="FE105" s="33"/>
      <c r="FF105" s="33"/>
      <c r="FG105" s="33"/>
      <c r="FH105" s="33"/>
      <c r="FI105" s="33"/>
      <c r="FJ105" s="33"/>
      <c r="FK105" s="33"/>
      <c r="FL105" s="33"/>
      <c r="FM105" s="33"/>
      <c r="FN105" s="33"/>
      <c r="FO105" s="33"/>
      <c r="FP105" s="33"/>
      <c r="FQ105" s="33"/>
      <c r="FR105" s="33"/>
      <c r="FS105" s="33"/>
      <c r="FT105" s="33"/>
      <c r="FU105" s="33"/>
      <c r="FV105" s="33"/>
      <c r="FW105" s="33"/>
      <c r="FX105" s="33"/>
      <c r="FY105" s="33"/>
      <c r="FZ105" s="33"/>
      <c r="GA105" s="33"/>
      <c r="GB105" s="33"/>
      <c r="GC105" s="33"/>
      <c r="GD105" s="33"/>
      <c r="GE105" s="33"/>
      <c r="GF105" s="33"/>
      <c r="GG105" s="33"/>
      <c r="GH105" s="33"/>
      <c r="GI105" s="34"/>
    </row>
    <row r="106" spans="1:191" x14ac:dyDescent="0.15">
      <c r="A106" s="35">
        <f>A105</f>
        <v>47</v>
      </c>
      <c r="B106" s="36" t="str">
        <f>B105</f>
        <v>UT</v>
      </c>
      <c r="C106" s="36" t="str">
        <f>C105</f>
        <v>Webアプリ単体評価実施</v>
      </c>
      <c r="D106" s="37" t="str">
        <f>D105</f>
        <v>高澤</v>
      </c>
      <c r="E106" s="53" t="s">
        <v>0</v>
      </c>
      <c r="F106" s="54"/>
      <c r="G106" s="54"/>
      <c r="H106" s="55"/>
      <c r="I106" s="56" t="str">
        <f>IF(OR(H105="",H106=""),"",H106-H105)</f>
        <v/>
      </c>
      <c r="J106" s="57"/>
      <c r="K106" s="58"/>
      <c r="L106" s="58"/>
      <c r="M106" s="58"/>
      <c r="N106" s="58"/>
      <c r="O106" s="58"/>
      <c r="P106" s="58"/>
      <c r="Q106" s="58"/>
      <c r="R106" s="58"/>
      <c r="S106" s="58"/>
      <c r="T106" s="58"/>
      <c r="U106" s="58"/>
      <c r="V106" s="58"/>
      <c r="W106" s="58"/>
      <c r="X106" s="58"/>
      <c r="Y106" s="58"/>
      <c r="Z106" s="58"/>
      <c r="AA106" s="58"/>
      <c r="AB106" s="58"/>
      <c r="AC106" s="58"/>
      <c r="AD106" s="58"/>
      <c r="AE106" s="58"/>
      <c r="AF106" s="58"/>
      <c r="AG106" s="58"/>
      <c r="AH106" s="58"/>
      <c r="AI106" s="58"/>
      <c r="AJ106" s="58"/>
      <c r="AK106" s="58"/>
      <c r="AL106" s="58"/>
      <c r="AM106" s="58"/>
      <c r="AN106" s="58"/>
      <c r="AO106" s="58"/>
      <c r="AP106" s="59"/>
      <c r="AQ106" s="59"/>
      <c r="AR106" s="59"/>
      <c r="AS106" s="59"/>
      <c r="AT106" s="59"/>
      <c r="AU106" s="59"/>
      <c r="AV106" s="59"/>
      <c r="AW106" s="59"/>
      <c r="AX106" s="59"/>
      <c r="AY106" s="59"/>
      <c r="AZ106" s="59"/>
      <c r="BA106" s="59"/>
      <c r="BB106" s="59"/>
      <c r="BC106" s="59"/>
      <c r="BD106" s="59"/>
      <c r="BE106" s="59"/>
      <c r="BF106" s="59"/>
      <c r="BG106" s="59"/>
      <c r="BH106" s="59"/>
      <c r="BI106" s="59"/>
      <c r="BJ106" s="59"/>
      <c r="BK106" s="59"/>
      <c r="BL106" s="59"/>
      <c r="BM106" s="59"/>
      <c r="BN106" s="59"/>
      <c r="BO106" s="59"/>
      <c r="BP106" s="59"/>
      <c r="BQ106" s="59"/>
      <c r="BR106" s="59"/>
      <c r="BS106" s="59"/>
      <c r="BT106" s="59"/>
      <c r="BU106" s="59"/>
      <c r="BV106" s="59"/>
      <c r="BW106" s="59"/>
      <c r="BX106" s="59"/>
      <c r="BY106" s="59"/>
      <c r="BZ106" s="59"/>
      <c r="CA106" s="59"/>
      <c r="CB106" s="59"/>
      <c r="CC106" s="59"/>
      <c r="CD106" s="59"/>
      <c r="CE106" s="59"/>
      <c r="CF106" s="59"/>
      <c r="CG106" s="59"/>
      <c r="CH106" s="59"/>
      <c r="CI106" s="59"/>
      <c r="CJ106" s="59"/>
      <c r="CK106" s="59"/>
      <c r="CL106" s="59"/>
      <c r="CM106" s="59"/>
      <c r="CN106" s="59"/>
      <c r="CO106" s="59"/>
      <c r="CP106" s="59"/>
      <c r="CQ106" s="59"/>
      <c r="CR106" s="59"/>
      <c r="CS106" s="59"/>
      <c r="CT106" s="59"/>
      <c r="CU106" s="59"/>
      <c r="CV106" s="59"/>
      <c r="CW106" s="59"/>
      <c r="CX106" s="59"/>
      <c r="CY106" s="59"/>
      <c r="CZ106" s="59"/>
      <c r="DA106" s="59"/>
      <c r="DB106" s="59"/>
      <c r="DC106" s="59"/>
      <c r="DD106" s="59"/>
      <c r="DE106" s="59"/>
      <c r="DF106" s="59"/>
      <c r="DG106" s="59"/>
      <c r="DH106" s="59"/>
      <c r="DI106" s="59"/>
      <c r="DJ106" s="59"/>
      <c r="DK106" s="59"/>
      <c r="DL106" s="59"/>
      <c r="DM106" s="59"/>
      <c r="DN106" s="59"/>
      <c r="DO106" s="59"/>
      <c r="DP106" s="59"/>
      <c r="DQ106" s="59"/>
      <c r="DR106" s="59"/>
      <c r="DS106" s="59"/>
      <c r="DT106" s="59"/>
      <c r="DU106" s="59"/>
      <c r="DV106" s="59"/>
      <c r="DW106" s="59"/>
      <c r="DX106" s="59"/>
      <c r="DY106" s="59"/>
      <c r="DZ106" s="59"/>
      <c r="EA106" s="59"/>
      <c r="EB106" s="59"/>
      <c r="EC106" s="59"/>
      <c r="ED106" s="59"/>
      <c r="EE106" s="59"/>
      <c r="EF106" s="59"/>
      <c r="EG106" s="59"/>
      <c r="EH106" s="59"/>
      <c r="EI106" s="59"/>
      <c r="EJ106" s="59"/>
      <c r="EK106" s="59"/>
      <c r="EL106" s="59"/>
      <c r="EM106" s="59"/>
      <c r="EN106" s="59"/>
      <c r="EO106" s="59"/>
      <c r="EP106" s="59"/>
      <c r="EQ106" s="59"/>
      <c r="ER106" s="59"/>
      <c r="ES106" s="59"/>
      <c r="ET106" s="59"/>
      <c r="EU106" s="59"/>
      <c r="EV106" s="59"/>
      <c r="EW106" s="59"/>
      <c r="EX106" s="59"/>
      <c r="EY106" s="59"/>
      <c r="EZ106" s="59"/>
      <c r="FA106" s="59"/>
      <c r="FB106" s="59"/>
      <c r="FC106" s="59"/>
      <c r="FD106" s="59"/>
      <c r="FE106" s="59"/>
      <c r="FF106" s="59"/>
      <c r="FG106" s="59"/>
      <c r="FH106" s="59"/>
      <c r="FI106" s="59"/>
      <c r="FJ106" s="59"/>
      <c r="FK106" s="59"/>
      <c r="FL106" s="59"/>
      <c r="FM106" s="59"/>
      <c r="FN106" s="59"/>
      <c r="FO106" s="59"/>
      <c r="FP106" s="59"/>
      <c r="FQ106" s="59"/>
      <c r="FR106" s="59"/>
      <c r="FS106" s="59"/>
      <c r="FT106" s="59"/>
      <c r="FU106" s="59"/>
      <c r="FV106" s="59"/>
      <c r="FW106" s="59"/>
      <c r="FX106" s="59"/>
      <c r="FY106" s="59"/>
      <c r="FZ106" s="59"/>
      <c r="GA106" s="59"/>
      <c r="GB106" s="59"/>
      <c r="GC106" s="59"/>
      <c r="GD106" s="59"/>
      <c r="GE106" s="59"/>
      <c r="GF106" s="59"/>
      <c r="GG106" s="59"/>
      <c r="GH106" s="59"/>
      <c r="GI106" s="60"/>
    </row>
    <row r="107" spans="1:191" x14ac:dyDescent="0.15">
      <c r="A107" s="23">
        <v>48</v>
      </c>
      <c r="B107" s="24" t="s">
        <v>161</v>
      </c>
      <c r="C107" s="45" t="s">
        <v>163</v>
      </c>
      <c r="D107" s="26" t="s">
        <v>172</v>
      </c>
      <c r="E107" s="27" t="s">
        <v>13</v>
      </c>
      <c r="F107" s="28">
        <v>42954</v>
      </c>
      <c r="G107" s="28">
        <v>42967</v>
      </c>
      <c r="H107" s="29"/>
      <c r="I107" s="30"/>
      <c r="J107" s="31"/>
      <c r="K107" s="32"/>
      <c r="L107" s="32"/>
      <c r="M107" s="32"/>
      <c r="N107" s="32"/>
      <c r="O107" s="32"/>
      <c r="P107" s="32"/>
      <c r="Q107" s="32"/>
      <c r="R107" s="32"/>
      <c r="S107" s="32"/>
      <c r="T107" s="32"/>
      <c r="U107" s="32"/>
      <c r="V107" s="32"/>
      <c r="W107" s="32"/>
      <c r="X107" s="32"/>
      <c r="Y107" s="32"/>
      <c r="Z107" s="32"/>
      <c r="AA107" s="32"/>
      <c r="AB107" s="32"/>
      <c r="AC107" s="32"/>
      <c r="AD107" s="32"/>
      <c r="AE107" s="32"/>
      <c r="AF107" s="32"/>
      <c r="AG107" s="32"/>
      <c r="AH107" s="32"/>
      <c r="AI107" s="32"/>
      <c r="AJ107" s="32"/>
      <c r="AK107" s="32"/>
      <c r="AL107" s="32"/>
      <c r="AM107" s="32"/>
      <c r="AN107" s="32"/>
      <c r="AO107" s="32"/>
      <c r="AP107" s="33"/>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33"/>
      <c r="CA107" s="33"/>
      <c r="CB107" s="33"/>
      <c r="CC107" s="33"/>
      <c r="CD107" s="33"/>
      <c r="CE107" s="33"/>
      <c r="CF107" s="33"/>
      <c r="CG107" s="33"/>
      <c r="CH107" s="33"/>
      <c r="CI107" s="33"/>
      <c r="CJ107" s="33"/>
      <c r="CK107" s="33"/>
      <c r="CL107" s="33"/>
      <c r="CM107" s="33"/>
      <c r="CN107" s="33"/>
      <c r="CO107" s="33"/>
      <c r="CP107" s="33"/>
      <c r="CQ107" s="33"/>
      <c r="CR107" s="33"/>
      <c r="CS107" s="33"/>
      <c r="CT107" s="33"/>
      <c r="CU107" s="33"/>
      <c r="CV107" s="33"/>
      <c r="CW107" s="33"/>
      <c r="CX107" s="33"/>
      <c r="CY107" s="33"/>
      <c r="CZ107" s="33"/>
      <c r="DA107" s="33"/>
      <c r="DB107" s="33"/>
      <c r="DC107" s="33"/>
      <c r="DD107" s="33"/>
      <c r="DE107" s="33"/>
      <c r="DF107" s="33"/>
      <c r="DG107" s="33"/>
      <c r="DH107" s="33"/>
      <c r="DI107" s="33"/>
      <c r="DJ107" s="33"/>
      <c r="DK107" s="33"/>
      <c r="DL107" s="33"/>
      <c r="DM107" s="33"/>
      <c r="DN107" s="33"/>
      <c r="DO107" s="33"/>
      <c r="DP107" s="33"/>
      <c r="DQ107" s="33"/>
      <c r="DR107" s="33"/>
      <c r="DS107" s="33"/>
      <c r="DT107" s="33"/>
      <c r="DU107" s="33"/>
      <c r="DV107" s="33"/>
      <c r="DW107" s="33"/>
      <c r="DX107" s="33"/>
      <c r="DY107" s="33"/>
      <c r="DZ107" s="33"/>
      <c r="EA107" s="33"/>
      <c r="EB107" s="33"/>
      <c r="EC107" s="33"/>
      <c r="ED107" s="33"/>
      <c r="EE107" s="33"/>
      <c r="EF107" s="33"/>
      <c r="EG107" s="33"/>
      <c r="EH107" s="33"/>
      <c r="EI107" s="33"/>
      <c r="EJ107" s="33"/>
      <c r="EK107" s="33"/>
      <c r="EL107" s="33"/>
      <c r="EM107" s="33"/>
      <c r="EN107" s="33"/>
      <c r="EO107" s="33"/>
      <c r="EP107" s="33"/>
      <c r="EQ107" s="33"/>
      <c r="ER107" s="33"/>
      <c r="ES107" s="33"/>
      <c r="ET107" s="33"/>
      <c r="EU107" s="33"/>
      <c r="EV107" s="33"/>
      <c r="EW107" s="33"/>
      <c r="EX107" s="33"/>
      <c r="EY107" s="33"/>
      <c r="EZ107" s="33"/>
      <c r="FA107" s="33"/>
      <c r="FB107" s="33"/>
      <c r="FC107" s="33"/>
      <c r="FD107" s="33"/>
      <c r="FE107" s="33"/>
      <c r="FF107" s="33"/>
      <c r="FG107" s="33"/>
      <c r="FH107" s="33"/>
      <c r="FI107" s="33"/>
      <c r="FJ107" s="33"/>
      <c r="FK107" s="33"/>
      <c r="FL107" s="33"/>
      <c r="FM107" s="33"/>
      <c r="FN107" s="33"/>
      <c r="FO107" s="33"/>
      <c r="FP107" s="33"/>
      <c r="FQ107" s="33"/>
      <c r="FR107" s="33"/>
      <c r="FS107" s="33"/>
      <c r="FT107" s="33"/>
      <c r="FU107" s="33"/>
      <c r="FV107" s="33"/>
      <c r="FW107" s="33"/>
      <c r="FX107" s="33"/>
      <c r="FY107" s="33"/>
      <c r="FZ107" s="33"/>
      <c r="GA107" s="33"/>
      <c r="GB107" s="33"/>
      <c r="GC107" s="33"/>
      <c r="GD107" s="33"/>
      <c r="GE107" s="33"/>
      <c r="GF107" s="33"/>
      <c r="GG107" s="33"/>
      <c r="GH107" s="33"/>
      <c r="GI107" s="34"/>
    </row>
    <row r="108" spans="1:191" x14ac:dyDescent="0.15">
      <c r="A108" s="35">
        <f>A107</f>
        <v>48</v>
      </c>
      <c r="B108" s="36" t="str">
        <f>B107</f>
        <v>UT</v>
      </c>
      <c r="C108" s="36" t="str">
        <f>C107</f>
        <v>監視端末単体評価実施</v>
      </c>
      <c r="D108" s="37" t="str">
        <f>D107</f>
        <v>長田</v>
      </c>
      <c r="E108" s="53" t="s">
        <v>0</v>
      </c>
      <c r="F108" s="54"/>
      <c r="G108" s="54"/>
      <c r="H108" s="55"/>
      <c r="I108" s="56" t="str">
        <f>IF(OR(H107="",H108=""),"",H108-H107)</f>
        <v/>
      </c>
      <c r="J108" s="57"/>
      <c r="K108" s="58"/>
      <c r="L108" s="58"/>
      <c r="M108" s="58"/>
      <c r="N108" s="58"/>
      <c r="O108" s="58"/>
      <c r="P108" s="58"/>
      <c r="Q108" s="58"/>
      <c r="R108" s="58"/>
      <c r="S108" s="58"/>
      <c r="T108" s="58"/>
      <c r="U108" s="58"/>
      <c r="V108" s="58"/>
      <c r="W108" s="58"/>
      <c r="X108" s="58"/>
      <c r="Y108" s="58"/>
      <c r="Z108" s="58"/>
      <c r="AA108" s="58"/>
      <c r="AB108" s="58"/>
      <c r="AC108" s="58"/>
      <c r="AD108" s="58"/>
      <c r="AE108" s="58"/>
      <c r="AF108" s="58"/>
      <c r="AG108" s="58"/>
      <c r="AH108" s="58"/>
      <c r="AI108" s="58"/>
      <c r="AJ108" s="58"/>
      <c r="AK108" s="58"/>
      <c r="AL108" s="58"/>
      <c r="AM108" s="58"/>
      <c r="AN108" s="58"/>
      <c r="AO108" s="58"/>
      <c r="AP108" s="59"/>
      <c r="AQ108" s="59"/>
      <c r="AR108" s="59"/>
      <c r="AS108" s="59"/>
      <c r="AT108" s="59"/>
      <c r="AU108" s="59"/>
      <c r="AV108" s="59"/>
      <c r="AW108" s="59"/>
      <c r="AX108" s="59"/>
      <c r="AY108" s="59"/>
      <c r="AZ108" s="59"/>
      <c r="BA108" s="59"/>
      <c r="BB108" s="59"/>
      <c r="BC108" s="59"/>
      <c r="BD108" s="59"/>
      <c r="BE108" s="59"/>
      <c r="BF108" s="59"/>
      <c r="BG108" s="59"/>
      <c r="BH108" s="59"/>
      <c r="BI108" s="59"/>
      <c r="BJ108" s="59"/>
      <c r="BK108" s="59"/>
      <c r="BL108" s="59"/>
      <c r="BM108" s="59"/>
      <c r="BN108" s="59"/>
      <c r="BO108" s="59"/>
      <c r="BP108" s="59"/>
      <c r="BQ108" s="59"/>
      <c r="BR108" s="59"/>
      <c r="BS108" s="59"/>
      <c r="BT108" s="59"/>
      <c r="BU108" s="59"/>
      <c r="BV108" s="59"/>
      <c r="BW108" s="59"/>
      <c r="BX108" s="59"/>
      <c r="BY108" s="59"/>
      <c r="BZ108" s="59"/>
      <c r="CA108" s="59"/>
      <c r="CB108" s="59"/>
      <c r="CC108" s="59"/>
      <c r="CD108" s="59"/>
      <c r="CE108" s="59"/>
      <c r="CF108" s="59"/>
      <c r="CG108" s="59"/>
      <c r="CH108" s="59"/>
      <c r="CI108" s="59"/>
      <c r="CJ108" s="59"/>
      <c r="CK108" s="59"/>
      <c r="CL108" s="59"/>
      <c r="CM108" s="59"/>
      <c r="CN108" s="59"/>
      <c r="CO108" s="59"/>
      <c r="CP108" s="59"/>
      <c r="CQ108" s="59"/>
      <c r="CR108" s="59"/>
      <c r="CS108" s="59"/>
      <c r="CT108" s="59"/>
      <c r="CU108" s="59"/>
      <c r="CV108" s="59"/>
      <c r="CW108" s="59"/>
      <c r="CX108" s="59"/>
      <c r="CY108" s="59"/>
      <c r="CZ108" s="59"/>
      <c r="DA108" s="59"/>
      <c r="DB108" s="59"/>
      <c r="DC108" s="59"/>
      <c r="DD108" s="59"/>
      <c r="DE108" s="59"/>
      <c r="DF108" s="59"/>
      <c r="DG108" s="59"/>
      <c r="DH108" s="59"/>
      <c r="DI108" s="59"/>
      <c r="DJ108" s="59"/>
      <c r="DK108" s="59"/>
      <c r="DL108" s="59"/>
      <c r="DM108" s="59"/>
      <c r="DN108" s="59"/>
      <c r="DO108" s="59"/>
      <c r="DP108" s="59"/>
      <c r="DQ108" s="59"/>
      <c r="DR108" s="59"/>
      <c r="DS108" s="59"/>
      <c r="DT108" s="59"/>
      <c r="DU108" s="59"/>
      <c r="DV108" s="59"/>
      <c r="DW108" s="59"/>
      <c r="DX108" s="59"/>
      <c r="DY108" s="59"/>
      <c r="DZ108" s="59"/>
      <c r="EA108" s="59"/>
      <c r="EB108" s="59"/>
      <c r="EC108" s="59"/>
      <c r="ED108" s="59"/>
      <c r="EE108" s="59"/>
      <c r="EF108" s="59"/>
      <c r="EG108" s="59"/>
      <c r="EH108" s="59"/>
      <c r="EI108" s="59"/>
      <c r="EJ108" s="59"/>
      <c r="EK108" s="59"/>
      <c r="EL108" s="59"/>
      <c r="EM108" s="59"/>
      <c r="EN108" s="59"/>
      <c r="EO108" s="59"/>
      <c r="EP108" s="59"/>
      <c r="EQ108" s="59"/>
      <c r="ER108" s="59"/>
      <c r="ES108" s="59"/>
      <c r="ET108" s="59"/>
      <c r="EU108" s="59"/>
      <c r="EV108" s="59"/>
      <c r="EW108" s="59"/>
      <c r="EX108" s="59"/>
      <c r="EY108" s="59"/>
      <c r="EZ108" s="59"/>
      <c r="FA108" s="59"/>
      <c r="FB108" s="59"/>
      <c r="FC108" s="59"/>
      <c r="FD108" s="59"/>
      <c r="FE108" s="59"/>
      <c r="FF108" s="59"/>
      <c r="FG108" s="59"/>
      <c r="FH108" s="59"/>
      <c r="FI108" s="59"/>
      <c r="FJ108" s="59"/>
      <c r="FK108" s="59"/>
      <c r="FL108" s="59"/>
      <c r="FM108" s="59"/>
      <c r="FN108" s="59"/>
      <c r="FO108" s="59"/>
      <c r="FP108" s="59"/>
      <c r="FQ108" s="59"/>
      <c r="FR108" s="59"/>
      <c r="FS108" s="59"/>
      <c r="FT108" s="59"/>
      <c r="FU108" s="59"/>
      <c r="FV108" s="59"/>
      <c r="FW108" s="59"/>
      <c r="FX108" s="59"/>
      <c r="FY108" s="59"/>
      <c r="FZ108" s="59"/>
      <c r="GA108" s="59"/>
      <c r="GB108" s="59"/>
      <c r="GC108" s="59"/>
      <c r="GD108" s="59"/>
      <c r="GE108" s="59"/>
      <c r="GF108" s="59"/>
      <c r="GG108" s="59"/>
      <c r="GH108" s="59"/>
      <c r="GI108" s="60"/>
    </row>
    <row r="109" spans="1:191" x14ac:dyDescent="0.15">
      <c r="A109" s="23">
        <v>49</v>
      </c>
      <c r="B109" s="24" t="s">
        <v>164</v>
      </c>
      <c r="C109" s="45" t="s">
        <v>165</v>
      </c>
      <c r="D109" s="26" t="s">
        <v>171</v>
      </c>
      <c r="E109" s="27" t="s">
        <v>13</v>
      </c>
      <c r="F109" s="28">
        <v>42968</v>
      </c>
      <c r="G109" s="28">
        <v>42968</v>
      </c>
      <c r="H109" s="29"/>
      <c r="I109" s="30"/>
      <c r="J109" s="31"/>
      <c r="K109" s="32"/>
      <c r="L109" s="32"/>
      <c r="M109" s="32"/>
      <c r="N109" s="32"/>
      <c r="O109" s="32"/>
      <c r="P109" s="32"/>
      <c r="Q109" s="32"/>
      <c r="R109" s="32"/>
      <c r="S109" s="32"/>
      <c r="T109" s="32"/>
      <c r="U109" s="32"/>
      <c r="V109" s="32"/>
      <c r="W109" s="32"/>
      <c r="X109" s="32"/>
      <c r="Y109" s="32"/>
      <c r="Z109" s="32"/>
      <c r="AA109" s="32"/>
      <c r="AB109" s="32"/>
      <c r="AC109" s="32"/>
      <c r="AD109" s="32"/>
      <c r="AE109" s="32"/>
      <c r="AF109" s="32"/>
      <c r="AG109" s="32"/>
      <c r="AH109" s="32"/>
      <c r="AI109" s="32"/>
      <c r="AJ109" s="32"/>
      <c r="AK109" s="32"/>
      <c r="AL109" s="32"/>
      <c r="AM109" s="32"/>
      <c r="AN109" s="32"/>
      <c r="AO109" s="32"/>
      <c r="AP109" s="33"/>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33"/>
      <c r="CA109" s="33"/>
      <c r="CB109" s="33"/>
      <c r="CC109" s="33"/>
      <c r="CD109" s="33"/>
      <c r="CE109" s="33"/>
      <c r="CF109" s="33"/>
      <c r="CG109" s="33"/>
      <c r="CH109" s="33"/>
      <c r="CI109" s="33"/>
      <c r="CJ109" s="33"/>
      <c r="CK109" s="33"/>
      <c r="CL109" s="33"/>
      <c r="CM109" s="33"/>
      <c r="CN109" s="33"/>
      <c r="CO109" s="33"/>
      <c r="CP109" s="33"/>
      <c r="CQ109" s="33"/>
      <c r="CR109" s="33"/>
      <c r="CS109" s="33"/>
      <c r="CT109" s="33"/>
      <c r="CU109" s="33"/>
      <c r="CV109" s="33"/>
      <c r="CW109" s="33"/>
      <c r="CX109" s="33"/>
      <c r="CY109" s="33"/>
      <c r="CZ109" s="33"/>
      <c r="DA109" s="33"/>
      <c r="DB109" s="33"/>
      <c r="DC109" s="33"/>
      <c r="DD109" s="33"/>
      <c r="DE109" s="33"/>
      <c r="DF109" s="33"/>
      <c r="DG109" s="33"/>
      <c r="DH109" s="33"/>
      <c r="DI109" s="33"/>
      <c r="DJ109" s="33"/>
      <c r="DK109" s="33"/>
      <c r="DL109" s="33"/>
      <c r="DM109" s="33"/>
      <c r="DN109" s="33"/>
      <c r="DO109" s="33"/>
      <c r="DP109" s="33"/>
      <c r="DQ109" s="33"/>
      <c r="DR109" s="33"/>
      <c r="DS109" s="33"/>
      <c r="DT109" s="33"/>
      <c r="DU109" s="33"/>
      <c r="DV109" s="33"/>
      <c r="DW109" s="33"/>
      <c r="DX109" s="33"/>
      <c r="DY109" s="33"/>
      <c r="DZ109" s="33"/>
      <c r="EA109" s="33"/>
      <c r="EB109" s="33"/>
      <c r="EC109" s="33"/>
      <c r="ED109" s="33"/>
      <c r="EE109" s="33"/>
      <c r="EF109" s="33"/>
      <c r="EG109" s="33"/>
      <c r="EH109" s="33"/>
      <c r="EI109" s="33"/>
      <c r="EJ109" s="33"/>
      <c r="EK109" s="33"/>
      <c r="EL109" s="33"/>
      <c r="EM109" s="33"/>
      <c r="EN109" s="33"/>
      <c r="EO109" s="33"/>
      <c r="EP109" s="33"/>
      <c r="EQ109" s="33"/>
      <c r="ER109" s="33"/>
      <c r="ES109" s="33"/>
      <c r="ET109" s="33"/>
      <c r="EU109" s="33"/>
      <c r="EV109" s="33"/>
      <c r="EW109" s="33"/>
      <c r="EX109" s="33"/>
      <c r="EY109" s="33"/>
      <c r="EZ109" s="33"/>
      <c r="FA109" s="33"/>
      <c r="FB109" s="33"/>
      <c r="FC109" s="33"/>
      <c r="FD109" s="33"/>
      <c r="FE109" s="33"/>
      <c r="FF109" s="33"/>
      <c r="FG109" s="33"/>
      <c r="FH109" s="33"/>
      <c r="FI109" s="33"/>
      <c r="FJ109" s="33"/>
      <c r="FK109" s="33"/>
      <c r="FL109" s="33"/>
      <c r="FM109" s="33"/>
      <c r="FN109" s="33"/>
      <c r="FO109" s="33"/>
      <c r="FP109" s="33"/>
      <c r="FQ109" s="33"/>
      <c r="FR109" s="33"/>
      <c r="FS109" s="33"/>
      <c r="FT109" s="33"/>
      <c r="FU109" s="33"/>
      <c r="FV109" s="33"/>
      <c r="FW109" s="33"/>
      <c r="FX109" s="33"/>
      <c r="FY109" s="33"/>
      <c r="FZ109" s="33"/>
      <c r="GA109" s="33"/>
      <c r="GB109" s="33"/>
      <c r="GC109" s="33"/>
      <c r="GD109" s="33"/>
      <c r="GE109" s="33"/>
      <c r="GF109" s="33"/>
      <c r="GG109" s="33"/>
      <c r="GH109" s="33"/>
      <c r="GI109" s="34"/>
    </row>
    <row r="110" spans="1:191" x14ac:dyDescent="0.15">
      <c r="A110" s="35">
        <f>A109</f>
        <v>49</v>
      </c>
      <c r="B110" s="36" t="str">
        <f>B109</f>
        <v>IT</v>
      </c>
      <c r="C110" s="36" t="str">
        <f>C109</f>
        <v>Webアプリ結合評価実施</v>
      </c>
      <c r="D110" s="37" t="str">
        <f>D109</f>
        <v>高澤</v>
      </c>
      <c r="E110" s="53" t="s">
        <v>0</v>
      </c>
      <c r="F110" s="54"/>
      <c r="G110" s="54"/>
      <c r="H110" s="55"/>
      <c r="I110" s="56" t="str">
        <f>IF(OR(H109="",H110=""),"",H110-H109)</f>
        <v/>
      </c>
      <c r="J110" s="57"/>
      <c r="K110" s="58"/>
      <c r="L110" s="58"/>
      <c r="M110" s="58"/>
      <c r="N110" s="58"/>
      <c r="O110" s="58"/>
      <c r="P110" s="58"/>
      <c r="Q110" s="58"/>
      <c r="R110" s="58"/>
      <c r="S110" s="58"/>
      <c r="T110" s="58"/>
      <c r="U110" s="58"/>
      <c r="V110" s="58"/>
      <c r="W110" s="58"/>
      <c r="X110" s="58"/>
      <c r="Y110" s="58"/>
      <c r="Z110" s="58"/>
      <c r="AA110" s="58"/>
      <c r="AB110" s="58"/>
      <c r="AC110" s="58"/>
      <c r="AD110" s="58"/>
      <c r="AE110" s="58"/>
      <c r="AF110" s="58"/>
      <c r="AG110" s="58"/>
      <c r="AH110" s="58"/>
      <c r="AI110" s="58"/>
      <c r="AJ110" s="58"/>
      <c r="AK110" s="58"/>
      <c r="AL110" s="58"/>
      <c r="AM110" s="58"/>
      <c r="AN110" s="58"/>
      <c r="AO110" s="58"/>
      <c r="AP110" s="59"/>
      <c r="AQ110" s="59"/>
      <c r="AR110" s="59"/>
      <c r="AS110" s="59"/>
      <c r="AT110" s="59"/>
      <c r="AU110" s="59"/>
      <c r="AV110" s="59"/>
      <c r="AW110" s="59"/>
      <c r="AX110" s="59"/>
      <c r="AY110" s="59"/>
      <c r="AZ110" s="59"/>
      <c r="BA110" s="59"/>
      <c r="BB110" s="59"/>
      <c r="BC110" s="59"/>
      <c r="BD110" s="59"/>
      <c r="BE110" s="59"/>
      <c r="BF110" s="59"/>
      <c r="BG110" s="59"/>
      <c r="BH110" s="59"/>
      <c r="BI110" s="59"/>
      <c r="BJ110" s="59"/>
      <c r="BK110" s="59"/>
      <c r="BL110" s="59"/>
      <c r="BM110" s="59"/>
      <c r="BN110" s="59"/>
      <c r="BO110" s="59"/>
      <c r="BP110" s="59"/>
      <c r="BQ110" s="59"/>
      <c r="BR110" s="59"/>
      <c r="BS110" s="59"/>
      <c r="BT110" s="59"/>
      <c r="BU110" s="59"/>
      <c r="BV110" s="59"/>
      <c r="BW110" s="59"/>
      <c r="BX110" s="59"/>
      <c r="BY110" s="59"/>
      <c r="BZ110" s="59"/>
      <c r="CA110" s="59"/>
      <c r="CB110" s="59"/>
      <c r="CC110" s="59"/>
      <c r="CD110" s="59"/>
      <c r="CE110" s="59"/>
      <c r="CF110" s="59"/>
      <c r="CG110" s="59"/>
      <c r="CH110" s="59"/>
      <c r="CI110" s="59"/>
      <c r="CJ110" s="59"/>
      <c r="CK110" s="59"/>
      <c r="CL110" s="59"/>
      <c r="CM110" s="59"/>
      <c r="CN110" s="59"/>
      <c r="CO110" s="59"/>
      <c r="CP110" s="59"/>
      <c r="CQ110" s="59"/>
      <c r="CR110" s="59"/>
      <c r="CS110" s="59"/>
      <c r="CT110" s="59"/>
      <c r="CU110" s="59"/>
      <c r="CV110" s="59"/>
      <c r="CW110" s="59"/>
      <c r="CX110" s="59"/>
      <c r="CY110" s="59"/>
      <c r="CZ110" s="59"/>
      <c r="DA110" s="59"/>
      <c r="DB110" s="59"/>
      <c r="DC110" s="59"/>
      <c r="DD110" s="59"/>
      <c r="DE110" s="59"/>
      <c r="DF110" s="59"/>
      <c r="DG110" s="59"/>
      <c r="DH110" s="59"/>
      <c r="DI110" s="59"/>
      <c r="DJ110" s="59"/>
      <c r="DK110" s="59"/>
      <c r="DL110" s="59"/>
      <c r="DM110" s="59"/>
      <c r="DN110" s="59"/>
      <c r="DO110" s="59"/>
      <c r="DP110" s="59"/>
      <c r="DQ110" s="59"/>
      <c r="DR110" s="59"/>
      <c r="DS110" s="59"/>
      <c r="DT110" s="59"/>
      <c r="DU110" s="59"/>
      <c r="DV110" s="59"/>
      <c r="DW110" s="59"/>
      <c r="DX110" s="59"/>
      <c r="DY110" s="59"/>
      <c r="DZ110" s="59"/>
      <c r="EA110" s="59"/>
      <c r="EB110" s="59"/>
      <c r="EC110" s="59"/>
      <c r="ED110" s="59"/>
      <c r="EE110" s="59"/>
      <c r="EF110" s="59"/>
      <c r="EG110" s="59"/>
      <c r="EH110" s="59"/>
      <c r="EI110" s="59"/>
      <c r="EJ110" s="59"/>
      <c r="EK110" s="59"/>
      <c r="EL110" s="59"/>
      <c r="EM110" s="59"/>
      <c r="EN110" s="59"/>
      <c r="EO110" s="59"/>
      <c r="EP110" s="59"/>
      <c r="EQ110" s="59"/>
      <c r="ER110" s="59"/>
      <c r="ES110" s="59"/>
      <c r="ET110" s="59"/>
      <c r="EU110" s="59"/>
      <c r="EV110" s="59"/>
      <c r="EW110" s="59"/>
      <c r="EX110" s="59"/>
      <c r="EY110" s="59"/>
      <c r="EZ110" s="59"/>
      <c r="FA110" s="59"/>
      <c r="FB110" s="59"/>
      <c r="FC110" s="59"/>
      <c r="FD110" s="59"/>
      <c r="FE110" s="59"/>
      <c r="FF110" s="59"/>
      <c r="FG110" s="59"/>
      <c r="FH110" s="59"/>
      <c r="FI110" s="59"/>
      <c r="FJ110" s="59"/>
      <c r="FK110" s="59"/>
      <c r="FL110" s="59"/>
      <c r="FM110" s="59"/>
      <c r="FN110" s="59"/>
      <c r="FO110" s="59"/>
      <c r="FP110" s="59"/>
      <c r="FQ110" s="59"/>
      <c r="FR110" s="59"/>
      <c r="FS110" s="59"/>
      <c r="FT110" s="59"/>
      <c r="FU110" s="59"/>
      <c r="FV110" s="59"/>
      <c r="FW110" s="59"/>
      <c r="FX110" s="59"/>
      <c r="FY110" s="59"/>
      <c r="FZ110" s="59"/>
      <c r="GA110" s="59"/>
      <c r="GB110" s="59"/>
      <c r="GC110" s="59"/>
      <c r="GD110" s="59"/>
      <c r="GE110" s="59"/>
      <c r="GF110" s="59"/>
      <c r="GG110" s="59"/>
      <c r="GH110" s="59"/>
      <c r="GI110" s="60"/>
    </row>
    <row r="111" spans="1:191" x14ac:dyDescent="0.15">
      <c r="A111" s="23">
        <v>50</v>
      </c>
      <c r="B111" s="24" t="s">
        <v>164</v>
      </c>
      <c r="C111" s="45" t="s">
        <v>166</v>
      </c>
      <c r="D111" s="26" t="s">
        <v>172</v>
      </c>
      <c r="E111" s="27" t="s">
        <v>13</v>
      </c>
      <c r="F111" s="28">
        <v>42981</v>
      </c>
      <c r="G111" s="28">
        <v>42981</v>
      </c>
      <c r="H111" s="29"/>
      <c r="I111" s="30"/>
      <c r="J111" s="31"/>
      <c r="K111" s="32"/>
      <c r="L111" s="32"/>
      <c r="M111" s="32"/>
      <c r="N111" s="32"/>
      <c r="O111" s="32"/>
      <c r="P111" s="32"/>
      <c r="Q111" s="32"/>
      <c r="R111" s="32"/>
      <c r="S111" s="32"/>
      <c r="T111" s="32"/>
      <c r="U111" s="32"/>
      <c r="V111" s="32"/>
      <c r="W111" s="32"/>
      <c r="X111" s="32"/>
      <c r="Y111" s="32"/>
      <c r="Z111" s="32"/>
      <c r="AA111" s="32"/>
      <c r="AB111" s="32"/>
      <c r="AC111" s="32"/>
      <c r="AD111" s="32"/>
      <c r="AE111" s="32"/>
      <c r="AF111" s="32"/>
      <c r="AG111" s="32"/>
      <c r="AH111" s="32"/>
      <c r="AI111" s="32"/>
      <c r="AJ111" s="32"/>
      <c r="AK111" s="32"/>
      <c r="AL111" s="32"/>
      <c r="AM111" s="32"/>
      <c r="AN111" s="32"/>
      <c r="AO111" s="32"/>
      <c r="AP111" s="33"/>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33"/>
      <c r="BT111" s="33"/>
      <c r="BU111" s="33"/>
      <c r="BV111" s="33"/>
      <c r="BW111" s="33"/>
      <c r="BX111" s="33"/>
      <c r="BY111" s="33"/>
      <c r="BZ111" s="33"/>
      <c r="CA111" s="33"/>
      <c r="CB111" s="33"/>
      <c r="CC111" s="33"/>
      <c r="CD111" s="33"/>
      <c r="CE111" s="33"/>
      <c r="CF111" s="33"/>
      <c r="CG111" s="33"/>
      <c r="CH111" s="33"/>
      <c r="CI111" s="33"/>
      <c r="CJ111" s="33"/>
      <c r="CK111" s="33"/>
      <c r="CL111" s="33"/>
      <c r="CM111" s="33"/>
      <c r="CN111" s="33"/>
      <c r="CO111" s="33"/>
      <c r="CP111" s="33"/>
      <c r="CQ111" s="33"/>
      <c r="CR111" s="33"/>
      <c r="CS111" s="33"/>
      <c r="CT111" s="33"/>
      <c r="CU111" s="33"/>
      <c r="CV111" s="33"/>
      <c r="CW111" s="33"/>
      <c r="CX111" s="33"/>
      <c r="CY111" s="33"/>
      <c r="CZ111" s="33"/>
      <c r="DA111" s="33"/>
      <c r="DB111" s="33"/>
      <c r="DC111" s="33"/>
      <c r="DD111" s="33"/>
      <c r="DE111" s="33"/>
      <c r="DF111" s="33"/>
      <c r="DG111" s="33"/>
      <c r="DH111" s="33"/>
      <c r="DI111" s="33"/>
      <c r="DJ111" s="33"/>
      <c r="DK111" s="33"/>
      <c r="DL111" s="33"/>
      <c r="DM111" s="33"/>
      <c r="DN111" s="33"/>
      <c r="DO111" s="33"/>
      <c r="DP111" s="33"/>
      <c r="DQ111" s="33"/>
      <c r="DR111" s="33"/>
      <c r="DS111" s="33"/>
      <c r="DT111" s="33"/>
      <c r="DU111" s="33"/>
      <c r="DV111" s="33"/>
      <c r="DW111" s="33"/>
      <c r="DX111" s="33"/>
      <c r="DY111" s="33"/>
      <c r="DZ111" s="33"/>
      <c r="EA111" s="33"/>
      <c r="EB111" s="33"/>
      <c r="EC111" s="33"/>
      <c r="ED111" s="33"/>
      <c r="EE111" s="33"/>
      <c r="EF111" s="33"/>
      <c r="EG111" s="33"/>
      <c r="EH111" s="33"/>
      <c r="EI111" s="33"/>
      <c r="EJ111" s="33"/>
      <c r="EK111" s="33"/>
      <c r="EL111" s="33"/>
      <c r="EM111" s="33"/>
      <c r="EN111" s="33"/>
      <c r="EO111" s="33"/>
      <c r="EP111" s="33"/>
      <c r="EQ111" s="33"/>
      <c r="ER111" s="33"/>
      <c r="ES111" s="33"/>
      <c r="ET111" s="33"/>
      <c r="EU111" s="33"/>
      <c r="EV111" s="33"/>
      <c r="EW111" s="33"/>
      <c r="EX111" s="33"/>
      <c r="EY111" s="33"/>
      <c r="EZ111" s="33"/>
      <c r="FA111" s="33"/>
      <c r="FB111" s="33"/>
      <c r="FC111" s="33"/>
      <c r="FD111" s="33"/>
      <c r="FE111" s="33"/>
      <c r="FF111" s="33"/>
      <c r="FG111" s="33"/>
      <c r="FH111" s="33"/>
      <c r="FI111" s="33"/>
      <c r="FJ111" s="33"/>
      <c r="FK111" s="33"/>
      <c r="FL111" s="33"/>
      <c r="FM111" s="33"/>
      <c r="FN111" s="33"/>
      <c r="FO111" s="33"/>
      <c r="FP111" s="33"/>
      <c r="FQ111" s="33"/>
      <c r="FR111" s="33"/>
      <c r="FS111" s="33"/>
      <c r="FT111" s="33"/>
      <c r="FU111" s="33"/>
      <c r="FV111" s="33"/>
      <c r="FW111" s="33"/>
      <c r="FX111" s="33"/>
      <c r="FY111" s="33"/>
      <c r="FZ111" s="33"/>
      <c r="GA111" s="33"/>
      <c r="GB111" s="33"/>
      <c r="GC111" s="33"/>
      <c r="GD111" s="33"/>
      <c r="GE111" s="33"/>
      <c r="GF111" s="33"/>
      <c r="GG111" s="33"/>
      <c r="GH111" s="33"/>
      <c r="GI111" s="34"/>
    </row>
    <row r="112" spans="1:191" x14ac:dyDescent="0.15">
      <c r="A112" s="35">
        <f>A111</f>
        <v>50</v>
      </c>
      <c r="B112" s="36" t="str">
        <f>B111</f>
        <v>IT</v>
      </c>
      <c r="C112" s="36" t="str">
        <f>C111</f>
        <v>監視端末結合評価実施</v>
      </c>
      <c r="D112" s="37" t="str">
        <f>D111</f>
        <v>長田</v>
      </c>
      <c r="E112" s="53" t="s">
        <v>0</v>
      </c>
      <c r="F112" s="54"/>
      <c r="G112" s="54"/>
      <c r="H112" s="63"/>
      <c r="I112" s="64" t="str">
        <f>IF(OR(H111="",H112=""),"",H112-H111)</f>
        <v/>
      </c>
      <c r="J112" s="65"/>
      <c r="K112" s="66"/>
      <c r="L112" s="66"/>
      <c r="M112" s="66"/>
      <c r="N112" s="66"/>
      <c r="O112" s="66"/>
      <c r="P112" s="66"/>
      <c r="Q112" s="66"/>
      <c r="R112" s="66"/>
      <c r="S112" s="66"/>
      <c r="T112" s="66"/>
      <c r="U112" s="66"/>
      <c r="V112" s="66"/>
      <c r="W112" s="66"/>
      <c r="X112" s="66"/>
      <c r="Y112" s="66"/>
      <c r="Z112" s="66"/>
      <c r="AA112" s="66"/>
      <c r="AB112" s="66"/>
      <c r="AC112" s="66"/>
      <c r="AD112" s="66"/>
      <c r="AE112" s="66"/>
      <c r="AF112" s="66"/>
      <c r="AG112" s="66"/>
      <c r="AH112" s="66"/>
      <c r="AI112" s="66"/>
      <c r="AJ112" s="66"/>
      <c r="AK112" s="66"/>
      <c r="AL112" s="66"/>
      <c r="AM112" s="66"/>
      <c r="AN112" s="66"/>
      <c r="AO112" s="66"/>
      <c r="AP112" s="67"/>
      <c r="AQ112" s="67"/>
      <c r="AR112" s="67"/>
      <c r="AS112" s="67"/>
      <c r="AT112" s="67"/>
      <c r="AU112" s="67"/>
      <c r="AV112" s="67"/>
      <c r="AW112" s="67"/>
      <c r="AX112" s="67"/>
      <c r="AY112" s="67"/>
      <c r="AZ112" s="67"/>
      <c r="BA112" s="67"/>
      <c r="BB112" s="67"/>
      <c r="BC112" s="67"/>
      <c r="BD112" s="67"/>
      <c r="BE112" s="67"/>
      <c r="BF112" s="67"/>
      <c r="BG112" s="67"/>
      <c r="BH112" s="67"/>
      <c r="BI112" s="67"/>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c r="DK112" s="67"/>
      <c r="DL112" s="67"/>
      <c r="DM112" s="67"/>
      <c r="DN112" s="67"/>
      <c r="DO112" s="67"/>
      <c r="DP112" s="67"/>
      <c r="DQ112" s="67"/>
      <c r="DR112" s="67"/>
      <c r="DS112" s="67"/>
      <c r="DT112" s="67"/>
      <c r="DU112" s="67"/>
      <c r="DV112" s="67"/>
      <c r="DW112" s="67"/>
      <c r="DX112" s="67"/>
      <c r="DY112" s="67"/>
      <c r="DZ112" s="67"/>
      <c r="EA112" s="67"/>
      <c r="EB112" s="67"/>
      <c r="EC112" s="67"/>
      <c r="ED112" s="67"/>
      <c r="EE112" s="67"/>
      <c r="EF112" s="67"/>
      <c r="EG112" s="67"/>
      <c r="EH112" s="67"/>
      <c r="EI112" s="67"/>
      <c r="EJ112" s="67"/>
      <c r="EK112" s="67"/>
      <c r="EL112" s="67"/>
      <c r="EM112" s="67"/>
      <c r="EN112" s="67"/>
      <c r="EO112" s="67"/>
      <c r="EP112" s="67"/>
      <c r="EQ112" s="67"/>
      <c r="ER112" s="67"/>
      <c r="ES112" s="67"/>
      <c r="ET112" s="67"/>
      <c r="EU112" s="67"/>
      <c r="EV112" s="67"/>
      <c r="EW112" s="67"/>
      <c r="EX112" s="67"/>
      <c r="EY112" s="67"/>
      <c r="EZ112" s="67"/>
      <c r="FA112" s="67"/>
      <c r="FB112" s="67"/>
      <c r="FC112" s="67"/>
      <c r="FD112" s="67"/>
      <c r="FE112" s="67"/>
      <c r="FF112" s="67"/>
      <c r="FG112" s="67"/>
      <c r="FH112" s="67"/>
      <c r="FI112" s="67"/>
      <c r="FJ112" s="67"/>
      <c r="FK112" s="67"/>
      <c r="FL112" s="67"/>
      <c r="FM112" s="67"/>
      <c r="FN112" s="67"/>
      <c r="FO112" s="67"/>
      <c r="FP112" s="67"/>
      <c r="FQ112" s="67"/>
      <c r="FR112" s="67"/>
      <c r="FS112" s="67"/>
      <c r="FT112" s="67"/>
      <c r="FU112" s="67"/>
      <c r="FV112" s="67"/>
      <c r="FW112" s="67"/>
      <c r="FX112" s="67"/>
      <c r="FY112" s="67"/>
      <c r="FZ112" s="67"/>
      <c r="GA112" s="67"/>
      <c r="GB112" s="67"/>
      <c r="GC112" s="67"/>
      <c r="GD112" s="67"/>
      <c r="GE112" s="67"/>
      <c r="GF112" s="67"/>
      <c r="GG112" s="67"/>
      <c r="GH112" s="67"/>
      <c r="GI112" s="68"/>
    </row>
    <row r="113" spans="1:191" x14ac:dyDescent="0.15">
      <c r="A113" s="23">
        <v>51</v>
      </c>
      <c r="B113" s="24" t="s">
        <v>167</v>
      </c>
      <c r="C113" s="45" t="s">
        <v>168</v>
      </c>
      <c r="D113" s="26" t="s">
        <v>171</v>
      </c>
      <c r="E113" s="27" t="s">
        <v>13</v>
      </c>
      <c r="F113" s="28">
        <v>42982</v>
      </c>
      <c r="G113" s="28">
        <v>43002</v>
      </c>
      <c r="H113" s="29"/>
      <c r="I113" s="30"/>
      <c r="J113" s="31"/>
      <c r="K113" s="32"/>
      <c r="L113" s="32"/>
      <c r="M113" s="32"/>
      <c r="N113" s="32"/>
      <c r="O113" s="32"/>
      <c r="P113" s="32"/>
      <c r="Q113" s="32"/>
      <c r="R113" s="32"/>
      <c r="S113" s="32"/>
      <c r="T113" s="32"/>
      <c r="U113" s="32"/>
      <c r="V113" s="32"/>
      <c r="W113" s="32"/>
      <c r="X113" s="32"/>
      <c r="Y113" s="32"/>
      <c r="Z113" s="32"/>
      <c r="AA113" s="32"/>
      <c r="AB113" s="32"/>
      <c r="AC113" s="32"/>
      <c r="AD113" s="32"/>
      <c r="AE113" s="32"/>
      <c r="AF113" s="32"/>
      <c r="AG113" s="32"/>
      <c r="AH113" s="32"/>
      <c r="AI113" s="32"/>
      <c r="AJ113" s="32"/>
      <c r="AK113" s="32"/>
      <c r="AL113" s="32"/>
      <c r="AM113" s="32"/>
      <c r="AN113" s="32"/>
      <c r="AO113" s="32"/>
      <c r="AP113" s="33"/>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33"/>
      <c r="BT113" s="33"/>
      <c r="BU113" s="33"/>
      <c r="BV113" s="33"/>
      <c r="BW113" s="33"/>
      <c r="BX113" s="33"/>
      <c r="BY113" s="33"/>
      <c r="BZ113" s="33"/>
      <c r="CA113" s="33"/>
      <c r="CB113" s="33"/>
      <c r="CC113" s="33"/>
      <c r="CD113" s="33"/>
      <c r="CE113" s="33"/>
      <c r="CF113" s="33"/>
      <c r="CG113" s="33"/>
      <c r="CH113" s="33"/>
      <c r="CI113" s="33"/>
      <c r="CJ113" s="33"/>
      <c r="CK113" s="33"/>
      <c r="CL113" s="33"/>
      <c r="CM113" s="33"/>
      <c r="CN113" s="33"/>
      <c r="CO113" s="33"/>
      <c r="CP113" s="33"/>
      <c r="CQ113" s="33"/>
      <c r="CR113" s="33"/>
      <c r="CS113" s="33"/>
      <c r="CT113" s="33"/>
      <c r="CU113" s="33"/>
      <c r="CV113" s="33"/>
      <c r="CW113" s="33"/>
      <c r="CX113" s="33"/>
      <c r="CY113" s="33"/>
      <c r="CZ113" s="33"/>
      <c r="DA113" s="33"/>
      <c r="DB113" s="33"/>
      <c r="DC113" s="33"/>
      <c r="DD113" s="33"/>
      <c r="DE113" s="33"/>
      <c r="DF113" s="33"/>
      <c r="DG113" s="33"/>
      <c r="DH113" s="33"/>
      <c r="DI113" s="33"/>
      <c r="DJ113" s="33"/>
      <c r="DK113" s="33"/>
      <c r="DL113" s="33"/>
      <c r="DM113" s="33"/>
      <c r="DN113" s="33"/>
      <c r="DO113" s="33"/>
      <c r="DP113" s="33"/>
      <c r="DQ113" s="33"/>
      <c r="DR113" s="33"/>
      <c r="DS113" s="33"/>
      <c r="DT113" s="33"/>
      <c r="DU113" s="33"/>
      <c r="DV113" s="33"/>
      <c r="DW113" s="33"/>
      <c r="DX113" s="33"/>
      <c r="DY113" s="33"/>
      <c r="DZ113" s="33"/>
      <c r="EA113" s="33"/>
      <c r="EB113" s="33"/>
      <c r="EC113" s="33"/>
      <c r="ED113" s="33"/>
      <c r="EE113" s="33"/>
      <c r="EF113" s="33"/>
      <c r="EG113" s="33"/>
      <c r="EH113" s="33"/>
      <c r="EI113" s="33"/>
      <c r="EJ113" s="33"/>
      <c r="EK113" s="33"/>
      <c r="EL113" s="33"/>
      <c r="EM113" s="33"/>
      <c r="EN113" s="33"/>
      <c r="EO113" s="33"/>
      <c r="EP113" s="33"/>
      <c r="EQ113" s="33"/>
      <c r="ER113" s="33"/>
      <c r="ES113" s="33"/>
      <c r="ET113" s="33"/>
      <c r="EU113" s="33"/>
      <c r="EV113" s="33"/>
      <c r="EW113" s="33"/>
      <c r="EX113" s="33"/>
      <c r="EY113" s="33"/>
      <c r="EZ113" s="33"/>
      <c r="FA113" s="33"/>
      <c r="FB113" s="33"/>
      <c r="FC113" s="33"/>
      <c r="FD113" s="33"/>
      <c r="FE113" s="33"/>
      <c r="FF113" s="33"/>
      <c r="FG113" s="33"/>
      <c r="FH113" s="33"/>
      <c r="FI113" s="33"/>
      <c r="FJ113" s="33"/>
      <c r="FK113" s="33"/>
      <c r="FL113" s="33"/>
      <c r="FM113" s="33"/>
      <c r="FN113" s="33"/>
      <c r="FO113" s="33"/>
      <c r="FP113" s="33"/>
      <c r="FQ113" s="33"/>
      <c r="FR113" s="33"/>
      <c r="FS113" s="33"/>
      <c r="FT113" s="33"/>
      <c r="FU113" s="33"/>
      <c r="FV113" s="33"/>
      <c r="FW113" s="33"/>
      <c r="FX113" s="33"/>
      <c r="FY113" s="33"/>
      <c r="FZ113" s="33"/>
      <c r="GA113" s="33"/>
      <c r="GB113" s="33"/>
      <c r="GC113" s="33"/>
      <c r="GD113" s="33"/>
      <c r="GE113" s="33"/>
      <c r="GF113" s="33"/>
      <c r="GG113" s="33"/>
      <c r="GH113" s="33"/>
      <c r="GI113" s="34"/>
    </row>
    <row r="114" spans="1:191" x14ac:dyDescent="0.15">
      <c r="A114" s="35">
        <v>51</v>
      </c>
      <c r="B114" s="36" t="str">
        <f>B113</f>
        <v>FT</v>
      </c>
      <c r="C114" s="36" t="str">
        <f>C113</f>
        <v>機能評価実施</v>
      </c>
      <c r="D114" s="37" t="str">
        <f>D113</f>
        <v>高澤</v>
      </c>
      <c r="E114" s="53" t="s">
        <v>0</v>
      </c>
      <c r="F114" s="54"/>
      <c r="G114" s="54"/>
      <c r="H114" s="63"/>
      <c r="I114" s="64" t="str">
        <f>IF(OR(H113="",H114=""),"",H114-H113)</f>
        <v/>
      </c>
      <c r="J114" s="65"/>
      <c r="K114" s="66"/>
      <c r="L114" s="66"/>
      <c r="M114" s="66"/>
      <c r="N114" s="66"/>
      <c r="O114" s="66"/>
      <c r="P114" s="66"/>
      <c r="Q114" s="66"/>
      <c r="R114" s="66"/>
      <c r="S114" s="66"/>
      <c r="T114" s="66"/>
      <c r="U114" s="66"/>
      <c r="V114" s="66"/>
      <c r="W114" s="66"/>
      <c r="X114" s="66"/>
      <c r="Y114" s="66"/>
      <c r="Z114" s="66"/>
      <c r="AA114" s="66"/>
      <c r="AB114" s="66"/>
      <c r="AC114" s="66"/>
      <c r="AD114" s="66"/>
      <c r="AE114" s="66"/>
      <c r="AF114" s="66"/>
      <c r="AG114" s="66"/>
      <c r="AH114" s="66"/>
      <c r="AI114" s="66"/>
      <c r="AJ114" s="66"/>
      <c r="AK114" s="66"/>
      <c r="AL114" s="66"/>
      <c r="AM114" s="66"/>
      <c r="AN114" s="66"/>
      <c r="AO114" s="66"/>
      <c r="AP114" s="67"/>
      <c r="AQ114" s="67"/>
      <c r="AR114" s="67"/>
      <c r="AS114" s="67"/>
      <c r="AT114" s="67"/>
      <c r="AU114" s="67"/>
      <c r="AV114" s="67"/>
      <c r="AW114" s="67"/>
      <c r="AX114" s="67"/>
      <c r="AY114" s="67"/>
      <c r="AZ114" s="67"/>
      <c r="BA114" s="67"/>
      <c r="BB114" s="67"/>
      <c r="BC114" s="67"/>
      <c r="BD114" s="67"/>
      <c r="BE114" s="67"/>
      <c r="BF114" s="67"/>
      <c r="BG114" s="67"/>
      <c r="BH114" s="67"/>
      <c r="BI114" s="67"/>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c r="DK114" s="67"/>
      <c r="DL114" s="67"/>
      <c r="DM114" s="67"/>
      <c r="DN114" s="67"/>
      <c r="DO114" s="67"/>
      <c r="DP114" s="67"/>
      <c r="DQ114" s="67"/>
      <c r="DR114" s="67"/>
      <c r="DS114" s="67"/>
      <c r="DT114" s="67"/>
      <c r="DU114" s="67"/>
      <c r="DV114" s="67"/>
      <c r="DW114" s="67"/>
      <c r="DX114" s="67"/>
      <c r="DY114" s="67"/>
      <c r="DZ114" s="67"/>
      <c r="EA114" s="67"/>
      <c r="EB114" s="67"/>
      <c r="EC114" s="67"/>
      <c r="ED114" s="67"/>
      <c r="EE114" s="67"/>
      <c r="EF114" s="67"/>
      <c r="EG114" s="67"/>
      <c r="EH114" s="67"/>
      <c r="EI114" s="67"/>
      <c r="EJ114" s="67"/>
      <c r="EK114" s="67"/>
      <c r="EL114" s="67"/>
      <c r="EM114" s="67"/>
      <c r="EN114" s="67"/>
      <c r="EO114" s="67"/>
      <c r="EP114" s="67"/>
      <c r="EQ114" s="67"/>
      <c r="ER114" s="67"/>
      <c r="ES114" s="67"/>
      <c r="ET114" s="67"/>
      <c r="EU114" s="67"/>
      <c r="EV114" s="67"/>
      <c r="EW114" s="67"/>
      <c r="EX114" s="67"/>
      <c r="EY114" s="67"/>
      <c r="EZ114" s="67"/>
      <c r="FA114" s="67"/>
      <c r="FB114" s="67"/>
      <c r="FC114" s="67"/>
      <c r="FD114" s="67"/>
      <c r="FE114" s="67"/>
      <c r="FF114" s="67"/>
      <c r="FG114" s="67"/>
      <c r="FH114" s="67"/>
      <c r="FI114" s="67"/>
      <c r="FJ114" s="67"/>
      <c r="FK114" s="67"/>
      <c r="FL114" s="67"/>
      <c r="FM114" s="67"/>
      <c r="FN114" s="67"/>
      <c r="FO114" s="67"/>
      <c r="FP114" s="67"/>
      <c r="FQ114" s="67"/>
      <c r="FR114" s="67"/>
      <c r="FS114" s="67"/>
      <c r="FT114" s="67"/>
      <c r="FU114" s="67"/>
      <c r="FV114" s="67"/>
      <c r="FW114" s="67"/>
      <c r="FX114" s="67"/>
      <c r="FY114" s="67"/>
      <c r="FZ114" s="67"/>
      <c r="GA114" s="67"/>
      <c r="GB114" s="67"/>
      <c r="GC114" s="67"/>
      <c r="GD114" s="67"/>
      <c r="GE114" s="67"/>
      <c r="GF114" s="67"/>
      <c r="GG114" s="67"/>
      <c r="GH114" s="67"/>
      <c r="GI114" s="68"/>
    </row>
    <row r="115" spans="1:191" x14ac:dyDescent="0.15">
      <c r="A115" s="23">
        <v>52</v>
      </c>
      <c r="B115" s="24" t="s">
        <v>167</v>
      </c>
      <c r="C115" s="45" t="s">
        <v>169</v>
      </c>
      <c r="D115" s="26" t="s">
        <v>172</v>
      </c>
      <c r="E115" s="27" t="s">
        <v>13</v>
      </c>
      <c r="F115" s="28">
        <v>42982</v>
      </c>
      <c r="G115" s="28">
        <v>43002</v>
      </c>
      <c r="H115" s="29"/>
      <c r="I115" s="30"/>
      <c r="J115" s="31"/>
      <c r="K115" s="32"/>
      <c r="L115" s="32"/>
      <c r="M115" s="32"/>
      <c r="N115" s="32"/>
      <c r="O115" s="32"/>
      <c r="P115" s="32"/>
      <c r="Q115" s="32"/>
      <c r="R115" s="32"/>
      <c r="S115" s="32"/>
      <c r="T115" s="32"/>
      <c r="U115" s="32"/>
      <c r="V115" s="32"/>
      <c r="W115" s="32"/>
      <c r="X115" s="32"/>
      <c r="Y115" s="32"/>
      <c r="Z115" s="32"/>
      <c r="AA115" s="32"/>
      <c r="AB115" s="32"/>
      <c r="AC115" s="32"/>
      <c r="AD115" s="32"/>
      <c r="AE115" s="32"/>
      <c r="AF115" s="32"/>
      <c r="AG115" s="32"/>
      <c r="AH115" s="32"/>
      <c r="AI115" s="32"/>
      <c r="AJ115" s="32"/>
      <c r="AK115" s="32"/>
      <c r="AL115" s="32"/>
      <c r="AM115" s="32"/>
      <c r="AN115" s="32"/>
      <c r="AO115" s="32"/>
      <c r="AP115" s="33"/>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33"/>
      <c r="BT115" s="33"/>
      <c r="BU115" s="33"/>
      <c r="BV115" s="33"/>
      <c r="BW115" s="33"/>
      <c r="BX115" s="33"/>
      <c r="BY115" s="33"/>
      <c r="BZ115" s="33"/>
      <c r="CA115" s="33"/>
      <c r="CB115" s="33"/>
      <c r="CC115" s="33"/>
      <c r="CD115" s="33"/>
      <c r="CE115" s="33"/>
      <c r="CF115" s="33"/>
      <c r="CG115" s="33"/>
      <c r="CH115" s="33"/>
      <c r="CI115" s="33"/>
      <c r="CJ115" s="33"/>
      <c r="CK115" s="33"/>
      <c r="CL115" s="33"/>
      <c r="CM115" s="33"/>
      <c r="CN115" s="33"/>
      <c r="CO115" s="33"/>
      <c r="CP115" s="33"/>
      <c r="CQ115" s="33"/>
      <c r="CR115" s="33"/>
      <c r="CS115" s="33"/>
      <c r="CT115" s="33"/>
      <c r="CU115" s="33"/>
      <c r="CV115" s="33"/>
      <c r="CW115" s="33"/>
      <c r="CX115" s="33"/>
      <c r="CY115" s="33"/>
      <c r="CZ115" s="33"/>
      <c r="DA115" s="33"/>
      <c r="DB115" s="33"/>
      <c r="DC115" s="33"/>
      <c r="DD115" s="33"/>
      <c r="DE115" s="33"/>
      <c r="DF115" s="33"/>
      <c r="DG115" s="33"/>
      <c r="DH115" s="33"/>
      <c r="DI115" s="33"/>
      <c r="DJ115" s="33"/>
      <c r="DK115" s="33"/>
      <c r="DL115" s="33"/>
      <c r="DM115" s="33"/>
      <c r="DN115" s="33"/>
      <c r="DO115" s="33"/>
      <c r="DP115" s="33"/>
      <c r="DQ115" s="33"/>
      <c r="DR115" s="33"/>
      <c r="DS115" s="33"/>
      <c r="DT115" s="33"/>
      <c r="DU115" s="33"/>
      <c r="DV115" s="33"/>
      <c r="DW115" s="33"/>
      <c r="DX115" s="33"/>
      <c r="DY115" s="33"/>
      <c r="DZ115" s="33"/>
      <c r="EA115" s="33"/>
      <c r="EB115" s="33"/>
      <c r="EC115" s="33"/>
      <c r="ED115" s="33"/>
      <c r="EE115" s="33"/>
      <c r="EF115" s="33"/>
      <c r="EG115" s="33"/>
      <c r="EH115" s="33"/>
      <c r="EI115" s="33"/>
      <c r="EJ115" s="33"/>
      <c r="EK115" s="33"/>
      <c r="EL115" s="33"/>
      <c r="EM115" s="33"/>
      <c r="EN115" s="33"/>
      <c r="EO115" s="33"/>
      <c r="EP115" s="33"/>
      <c r="EQ115" s="33"/>
      <c r="ER115" s="33"/>
      <c r="ES115" s="33"/>
      <c r="ET115" s="33"/>
      <c r="EU115" s="33"/>
      <c r="EV115" s="33"/>
      <c r="EW115" s="33"/>
      <c r="EX115" s="33"/>
      <c r="EY115" s="33"/>
      <c r="EZ115" s="33"/>
      <c r="FA115" s="33"/>
      <c r="FB115" s="33"/>
      <c r="FC115" s="33"/>
      <c r="FD115" s="33"/>
      <c r="FE115" s="33"/>
      <c r="FF115" s="33"/>
      <c r="FG115" s="33"/>
      <c r="FH115" s="33"/>
      <c r="FI115" s="33"/>
      <c r="FJ115" s="33"/>
      <c r="FK115" s="33"/>
      <c r="FL115" s="33"/>
      <c r="FM115" s="33"/>
      <c r="FN115" s="33"/>
      <c r="FO115" s="33"/>
      <c r="FP115" s="33"/>
      <c r="FQ115" s="33"/>
      <c r="FR115" s="33"/>
      <c r="FS115" s="33"/>
      <c r="FT115" s="33"/>
      <c r="FU115" s="33"/>
      <c r="FV115" s="33"/>
      <c r="FW115" s="33"/>
      <c r="FX115" s="33"/>
      <c r="FY115" s="33"/>
      <c r="FZ115" s="33"/>
      <c r="GA115" s="33"/>
      <c r="GB115" s="33"/>
      <c r="GC115" s="33"/>
      <c r="GD115" s="33"/>
      <c r="GE115" s="33"/>
      <c r="GF115" s="33"/>
      <c r="GG115" s="33"/>
      <c r="GH115" s="33"/>
      <c r="GI115" s="34"/>
    </row>
    <row r="116" spans="1:191" x14ac:dyDescent="0.15">
      <c r="A116" s="35">
        <v>52</v>
      </c>
      <c r="B116" s="36" t="str">
        <f>B115</f>
        <v>FT</v>
      </c>
      <c r="C116" s="36" t="str">
        <f>C115</f>
        <v>機能評価実施</v>
      </c>
      <c r="D116" s="37" t="str">
        <f>D115</f>
        <v>長田</v>
      </c>
      <c r="E116" s="53" t="s">
        <v>0</v>
      </c>
      <c r="F116" s="54"/>
      <c r="G116" s="54"/>
      <c r="H116" s="63"/>
      <c r="I116" s="64" t="str">
        <f>IF(OR(H115="",H116=""),"",H116-H115)</f>
        <v/>
      </c>
      <c r="J116" s="65"/>
      <c r="K116" s="66"/>
      <c r="L116" s="66"/>
      <c r="M116" s="66"/>
      <c r="N116" s="66"/>
      <c r="O116" s="66"/>
      <c r="P116" s="66"/>
      <c r="Q116" s="66"/>
      <c r="R116" s="66"/>
      <c r="S116" s="66"/>
      <c r="T116" s="66"/>
      <c r="U116" s="66"/>
      <c r="V116" s="66"/>
      <c r="W116" s="66"/>
      <c r="X116" s="66"/>
      <c r="Y116" s="66"/>
      <c r="Z116" s="66"/>
      <c r="AA116" s="66"/>
      <c r="AB116" s="66"/>
      <c r="AC116" s="66"/>
      <c r="AD116" s="66"/>
      <c r="AE116" s="66"/>
      <c r="AF116" s="66"/>
      <c r="AG116" s="66"/>
      <c r="AH116" s="66"/>
      <c r="AI116" s="66"/>
      <c r="AJ116" s="66"/>
      <c r="AK116" s="66"/>
      <c r="AL116" s="66"/>
      <c r="AM116" s="66"/>
      <c r="AN116" s="66"/>
      <c r="AO116" s="66"/>
      <c r="AP116" s="67"/>
      <c r="AQ116" s="67"/>
      <c r="AR116" s="67"/>
      <c r="AS116" s="67"/>
      <c r="AT116" s="67"/>
      <c r="AU116" s="67"/>
      <c r="AV116" s="67"/>
      <c r="AW116" s="67"/>
      <c r="AX116" s="67"/>
      <c r="AY116" s="67"/>
      <c r="AZ116" s="67"/>
      <c r="BA116" s="67"/>
      <c r="BB116" s="67"/>
      <c r="BC116" s="67"/>
      <c r="BD116" s="67"/>
      <c r="BE116" s="67"/>
      <c r="BF116" s="67"/>
      <c r="BG116" s="67"/>
      <c r="BH116" s="67"/>
      <c r="BI116" s="67"/>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c r="DK116" s="67"/>
      <c r="DL116" s="67"/>
      <c r="DM116" s="67"/>
      <c r="DN116" s="67"/>
      <c r="DO116" s="67"/>
      <c r="DP116" s="67"/>
      <c r="DQ116" s="67"/>
      <c r="DR116" s="67"/>
      <c r="DS116" s="67"/>
      <c r="DT116" s="67"/>
      <c r="DU116" s="67"/>
      <c r="DV116" s="67"/>
      <c r="DW116" s="67"/>
      <c r="DX116" s="67"/>
      <c r="DY116" s="67"/>
      <c r="DZ116" s="67"/>
      <c r="EA116" s="67"/>
      <c r="EB116" s="67"/>
      <c r="EC116" s="67"/>
      <c r="ED116" s="67"/>
      <c r="EE116" s="67"/>
      <c r="EF116" s="67"/>
      <c r="EG116" s="67"/>
      <c r="EH116" s="67"/>
      <c r="EI116" s="67"/>
      <c r="EJ116" s="67"/>
      <c r="EK116" s="67"/>
      <c r="EL116" s="67"/>
      <c r="EM116" s="67"/>
      <c r="EN116" s="67"/>
      <c r="EO116" s="67"/>
      <c r="EP116" s="67"/>
      <c r="EQ116" s="67"/>
      <c r="ER116" s="67"/>
      <c r="ES116" s="67"/>
      <c r="ET116" s="67"/>
      <c r="EU116" s="67"/>
      <c r="EV116" s="67"/>
      <c r="EW116" s="67"/>
      <c r="EX116" s="67"/>
      <c r="EY116" s="67"/>
      <c r="EZ116" s="67"/>
      <c r="FA116" s="67"/>
      <c r="FB116" s="67"/>
      <c r="FC116" s="67"/>
      <c r="FD116" s="67"/>
      <c r="FE116" s="67"/>
      <c r="FF116" s="67"/>
      <c r="FG116" s="67"/>
      <c r="FH116" s="67"/>
      <c r="FI116" s="67"/>
      <c r="FJ116" s="67"/>
      <c r="FK116" s="67"/>
      <c r="FL116" s="67"/>
      <c r="FM116" s="67"/>
      <c r="FN116" s="67"/>
      <c r="FO116" s="67"/>
      <c r="FP116" s="67"/>
      <c r="FQ116" s="67"/>
      <c r="FR116" s="67"/>
      <c r="FS116" s="67"/>
      <c r="FT116" s="67"/>
      <c r="FU116" s="67"/>
      <c r="FV116" s="67"/>
      <c r="FW116" s="67"/>
      <c r="FX116" s="67"/>
      <c r="FY116" s="67"/>
      <c r="FZ116" s="67"/>
      <c r="GA116" s="67"/>
      <c r="GB116" s="67"/>
      <c r="GC116" s="67"/>
      <c r="GD116" s="67"/>
      <c r="GE116" s="67"/>
      <c r="GF116" s="67"/>
      <c r="GG116" s="67"/>
      <c r="GH116" s="67"/>
      <c r="GI116" s="68"/>
    </row>
    <row r="117" spans="1:191" x14ac:dyDescent="0.15">
      <c r="A117" s="23">
        <v>53</v>
      </c>
      <c r="B117" s="24"/>
      <c r="C117" s="45"/>
      <c r="D117" s="26"/>
      <c r="E117" s="27" t="s">
        <v>13</v>
      </c>
      <c r="F117" s="28"/>
      <c r="G117" s="28"/>
      <c r="H117" s="29"/>
      <c r="I117" s="30"/>
      <c r="J117" s="31"/>
      <c r="K117" s="32"/>
      <c r="L117" s="32"/>
      <c r="M117" s="32"/>
      <c r="N117" s="32"/>
      <c r="O117" s="32"/>
      <c r="P117" s="32"/>
      <c r="Q117" s="32"/>
      <c r="R117" s="32"/>
      <c r="S117" s="32"/>
      <c r="T117" s="32"/>
      <c r="U117" s="32"/>
      <c r="V117" s="32"/>
      <c r="W117" s="32"/>
      <c r="X117" s="32"/>
      <c r="Y117" s="32"/>
      <c r="Z117" s="32"/>
      <c r="AA117" s="32"/>
      <c r="AB117" s="32"/>
      <c r="AC117" s="32"/>
      <c r="AD117" s="32"/>
      <c r="AE117" s="32"/>
      <c r="AF117" s="32"/>
      <c r="AG117" s="32"/>
      <c r="AH117" s="32"/>
      <c r="AI117" s="32"/>
      <c r="AJ117" s="32"/>
      <c r="AK117" s="32"/>
      <c r="AL117" s="32"/>
      <c r="AM117" s="32"/>
      <c r="AN117" s="32"/>
      <c r="AO117" s="32"/>
      <c r="AP117" s="33"/>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33"/>
      <c r="BT117" s="33"/>
      <c r="BU117" s="33"/>
      <c r="BV117" s="33"/>
      <c r="BW117" s="33"/>
      <c r="BX117" s="33"/>
      <c r="BY117" s="33"/>
      <c r="BZ117" s="33"/>
      <c r="CA117" s="33"/>
      <c r="CB117" s="33"/>
      <c r="CC117" s="33"/>
      <c r="CD117" s="33"/>
      <c r="CE117" s="33"/>
      <c r="CF117" s="33"/>
      <c r="CG117" s="33"/>
      <c r="CH117" s="33"/>
      <c r="CI117" s="33"/>
      <c r="CJ117" s="33"/>
      <c r="CK117" s="33"/>
      <c r="CL117" s="33"/>
      <c r="CM117" s="33"/>
      <c r="CN117" s="33"/>
      <c r="CO117" s="33"/>
      <c r="CP117" s="33"/>
      <c r="CQ117" s="33"/>
      <c r="CR117" s="33"/>
      <c r="CS117" s="33"/>
      <c r="CT117" s="33"/>
      <c r="CU117" s="33"/>
      <c r="CV117" s="33"/>
      <c r="CW117" s="33"/>
      <c r="CX117" s="33"/>
      <c r="CY117" s="33"/>
      <c r="CZ117" s="33"/>
      <c r="DA117" s="33"/>
      <c r="DB117" s="33"/>
      <c r="DC117" s="33"/>
      <c r="DD117" s="33"/>
      <c r="DE117" s="33"/>
      <c r="DF117" s="33"/>
      <c r="DG117" s="33"/>
      <c r="DH117" s="33"/>
      <c r="DI117" s="33"/>
      <c r="DJ117" s="33"/>
      <c r="DK117" s="33"/>
      <c r="DL117" s="33"/>
      <c r="DM117" s="33"/>
      <c r="DN117" s="33"/>
      <c r="DO117" s="33"/>
      <c r="DP117" s="33"/>
      <c r="DQ117" s="33"/>
      <c r="DR117" s="33"/>
      <c r="DS117" s="33"/>
      <c r="DT117" s="33"/>
      <c r="DU117" s="33"/>
      <c r="DV117" s="33"/>
      <c r="DW117" s="33"/>
      <c r="DX117" s="33"/>
      <c r="DY117" s="33"/>
      <c r="DZ117" s="33"/>
      <c r="EA117" s="33"/>
      <c r="EB117" s="33"/>
      <c r="EC117" s="33"/>
      <c r="ED117" s="33"/>
      <c r="EE117" s="33"/>
      <c r="EF117" s="33"/>
      <c r="EG117" s="33"/>
      <c r="EH117" s="33"/>
      <c r="EI117" s="33"/>
      <c r="EJ117" s="33"/>
      <c r="EK117" s="33"/>
      <c r="EL117" s="33"/>
      <c r="EM117" s="33"/>
      <c r="EN117" s="33"/>
      <c r="EO117" s="33"/>
      <c r="EP117" s="33"/>
      <c r="EQ117" s="33"/>
      <c r="ER117" s="33"/>
      <c r="ES117" s="33"/>
      <c r="ET117" s="33"/>
      <c r="EU117" s="33"/>
      <c r="EV117" s="33"/>
      <c r="EW117" s="33"/>
      <c r="EX117" s="33"/>
      <c r="EY117" s="33"/>
      <c r="EZ117" s="33"/>
      <c r="FA117" s="33"/>
      <c r="FB117" s="33"/>
      <c r="FC117" s="33"/>
      <c r="FD117" s="33"/>
      <c r="FE117" s="33"/>
      <c r="FF117" s="33"/>
      <c r="FG117" s="33"/>
      <c r="FH117" s="33"/>
      <c r="FI117" s="33"/>
      <c r="FJ117" s="33"/>
      <c r="FK117" s="33"/>
      <c r="FL117" s="33"/>
      <c r="FM117" s="33"/>
      <c r="FN117" s="33"/>
      <c r="FO117" s="33"/>
      <c r="FP117" s="33"/>
      <c r="FQ117" s="33"/>
      <c r="FR117" s="33"/>
      <c r="FS117" s="33"/>
      <c r="FT117" s="33"/>
      <c r="FU117" s="33"/>
      <c r="FV117" s="33"/>
      <c r="FW117" s="33"/>
      <c r="FX117" s="33"/>
      <c r="FY117" s="33"/>
      <c r="FZ117" s="33"/>
      <c r="GA117" s="33"/>
      <c r="GB117" s="33"/>
      <c r="GC117" s="33"/>
      <c r="GD117" s="33"/>
      <c r="GE117" s="33"/>
      <c r="GF117" s="33"/>
      <c r="GG117" s="33"/>
      <c r="GH117" s="33"/>
      <c r="GI117" s="34"/>
    </row>
    <row r="118" spans="1:191" x14ac:dyDescent="0.15">
      <c r="A118" s="35">
        <v>53</v>
      </c>
      <c r="B118" s="36">
        <f>B117</f>
        <v>0</v>
      </c>
      <c r="C118" s="36">
        <f>C117</f>
        <v>0</v>
      </c>
      <c r="D118" s="37">
        <f>D117</f>
        <v>0</v>
      </c>
      <c r="E118" s="61" t="s">
        <v>0</v>
      </c>
      <c r="F118" s="62"/>
      <c r="G118" s="62"/>
      <c r="H118" s="63"/>
      <c r="I118" s="64" t="str">
        <f>IF(OR(H117="",H118=""),"",H118-H117)</f>
        <v/>
      </c>
      <c r="J118" s="65"/>
      <c r="K118" s="66"/>
      <c r="L118" s="66"/>
      <c r="M118" s="66"/>
      <c r="N118" s="66"/>
      <c r="O118" s="66"/>
      <c r="P118" s="66"/>
      <c r="Q118" s="66"/>
      <c r="R118" s="66"/>
      <c r="S118" s="66"/>
      <c r="T118" s="66"/>
      <c r="U118" s="66"/>
      <c r="V118" s="66"/>
      <c r="W118" s="66"/>
      <c r="X118" s="66"/>
      <c r="Y118" s="66"/>
      <c r="Z118" s="66"/>
      <c r="AA118" s="66"/>
      <c r="AB118" s="66"/>
      <c r="AC118" s="66"/>
      <c r="AD118" s="66"/>
      <c r="AE118" s="66"/>
      <c r="AF118" s="66"/>
      <c r="AG118" s="66"/>
      <c r="AH118" s="66"/>
      <c r="AI118" s="66"/>
      <c r="AJ118" s="66"/>
      <c r="AK118" s="66"/>
      <c r="AL118" s="66"/>
      <c r="AM118" s="66"/>
      <c r="AN118" s="66"/>
      <c r="AO118" s="66"/>
      <c r="AP118" s="67"/>
      <c r="AQ118" s="67"/>
      <c r="AR118" s="67"/>
      <c r="AS118" s="67"/>
      <c r="AT118" s="67"/>
      <c r="AU118" s="67"/>
      <c r="AV118" s="67"/>
      <c r="AW118" s="67"/>
      <c r="AX118" s="67"/>
      <c r="AY118" s="67"/>
      <c r="AZ118" s="67"/>
      <c r="BA118" s="67"/>
      <c r="BB118" s="67"/>
      <c r="BC118" s="67"/>
      <c r="BD118" s="67"/>
      <c r="BE118" s="67"/>
      <c r="BF118" s="67"/>
      <c r="BG118" s="67"/>
      <c r="BH118" s="67"/>
      <c r="BI118" s="67"/>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c r="DK118" s="67"/>
      <c r="DL118" s="67"/>
      <c r="DM118" s="67"/>
      <c r="DN118" s="67"/>
      <c r="DO118" s="67"/>
      <c r="DP118" s="67"/>
      <c r="DQ118" s="67"/>
      <c r="DR118" s="67"/>
      <c r="DS118" s="67"/>
      <c r="DT118" s="67"/>
      <c r="DU118" s="67"/>
      <c r="DV118" s="67"/>
      <c r="DW118" s="67"/>
      <c r="DX118" s="67"/>
      <c r="DY118" s="67"/>
      <c r="DZ118" s="67"/>
      <c r="EA118" s="67"/>
      <c r="EB118" s="67"/>
      <c r="EC118" s="67"/>
      <c r="ED118" s="67"/>
      <c r="EE118" s="67"/>
      <c r="EF118" s="67"/>
      <c r="EG118" s="67"/>
      <c r="EH118" s="67"/>
      <c r="EI118" s="67"/>
      <c r="EJ118" s="67"/>
      <c r="EK118" s="67"/>
      <c r="EL118" s="67"/>
      <c r="EM118" s="67"/>
      <c r="EN118" s="67"/>
      <c r="EO118" s="67"/>
      <c r="EP118" s="67"/>
      <c r="EQ118" s="67"/>
      <c r="ER118" s="67"/>
      <c r="ES118" s="67"/>
      <c r="ET118" s="67"/>
      <c r="EU118" s="67"/>
      <c r="EV118" s="67"/>
      <c r="EW118" s="67"/>
      <c r="EX118" s="67"/>
      <c r="EY118" s="67"/>
      <c r="EZ118" s="67"/>
      <c r="FA118" s="67"/>
      <c r="FB118" s="67"/>
      <c r="FC118" s="67"/>
      <c r="FD118" s="67"/>
      <c r="FE118" s="67"/>
      <c r="FF118" s="67"/>
      <c r="FG118" s="67"/>
      <c r="FH118" s="67"/>
      <c r="FI118" s="67"/>
      <c r="FJ118" s="67"/>
      <c r="FK118" s="67"/>
      <c r="FL118" s="67"/>
      <c r="FM118" s="67"/>
      <c r="FN118" s="67"/>
      <c r="FO118" s="67"/>
      <c r="FP118" s="67"/>
      <c r="FQ118" s="67"/>
      <c r="FR118" s="67"/>
      <c r="FS118" s="67"/>
      <c r="FT118" s="67"/>
      <c r="FU118" s="67"/>
      <c r="FV118" s="67"/>
      <c r="FW118" s="67"/>
      <c r="FX118" s="67"/>
      <c r="FY118" s="67"/>
      <c r="FZ118" s="67"/>
      <c r="GA118" s="67"/>
      <c r="GB118" s="67"/>
      <c r="GC118" s="67"/>
      <c r="GD118" s="67"/>
      <c r="GE118" s="67"/>
      <c r="GF118" s="67"/>
      <c r="GG118" s="67"/>
      <c r="GH118" s="67"/>
      <c r="GI118" s="68"/>
    </row>
    <row r="119" spans="1:191" x14ac:dyDescent="0.15">
      <c r="A119" s="23">
        <v>54</v>
      </c>
      <c r="B119" s="24"/>
      <c r="C119" s="45"/>
      <c r="D119" s="26"/>
      <c r="E119" s="27" t="s">
        <v>13</v>
      </c>
      <c r="F119" s="28"/>
      <c r="G119" s="28"/>
      <c r="H119" s="29"/>
      <c r="I119" s="30"/>
      <c r="J119" s="31"/>
      <c r="K119" s="32"/>
      <c r="L119" s="32"/>
      <c r="M119" s="32"/>
      <c r="N119" s="32"/>
      <c r="O119" s="32"/>
      <c r="P119" s="32"/>
      <c r="Q119" s="32"/>
      <c r="R119" s="32"/>
      <c r="S119" s="32"/>
      <c r="T119" s="32"/>
      <c r="U119" s="32"/>
      <c r="V119" s="32"/>
      <c r="W119" s="32"/>
      <c r="X119" s="32"/>
      <c r="Y119" s="32"/>
      <c r="Z119" s="32"/>
      <c r="AA119" s="32"/>
      <c r="AB119" s="32"/>
      <c r="AC119" s="32"/>
      <c r="AD119" s="32"/>
      <c r="AE119" s="32"/>
      <c r="AF119" s="32"/>
      <c r="AG119" s="32"/>
      <c r="AH119" s="32"/>
      <c r="AI119" s="32"/>
      <c r="AJ119" s="32"/>
      <c r="AK119" s="32"/>
      <c r="AL119" s="32"/>
      <c r="AM119" s="32"/>
      <c r="AN119" s="32"/>
      <c r="AO119" s="32"/>
      <c r="AP119" s="33"/>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33"/>
      <c r="BT119" s="33"/>
      <c r="BU119" s="33"/>
      <c r="BV119" s="33"/>
      <c r="BW119" s="33"/>
      <c r="BX119" s="33"/>
      <c r="BY119" s="33"/>
      <c r="BZ119" s="33"/>
      <c r="CA119" s="33"/>
      <c r="CB119" s="33"/>
      <c r="CC119" s="33"/>
      <c r="CD119" s="33"/>
      <c r="CE119" s="33"/>
      <c r="CF119" s="33"/>
      <c r="CG119" s="33"/>
      <c r="CH119" s="33"/>
      <c r="CI119" s="33"/>
      <c r="CJ119" s="33"/>
      <c r="CK119" s="33"/>
      <c r="CL119" s="33"/>
      <c r="CM119" s="33"/>
      <c r="CN119" s="33"/>
      <c r="CO119" s="33"/>
      <c r="CP119" s="33"/>
      <c r="CQ119" s="33"/>
      <c r="CR119" s="33"/>
      <c r="CS119" s="33"/>
      <c r="CT119" s="33"/>
      <c r="CU119" s="33"/>
      <c r="CV119" s="33"/>
      <c r="CW119" s="33"/>
      <c r="CX119" s="33"/>
      <c r="CY119" s="33"/>
      <c r="CZ119" s="33"/>
      <c r="DA119" s="33"/>
      <c r="DB119" s="33"/>
      <c r="DC119" s="33"/>
      <c r="DD119" s="33"/>
      <c r="DE119" s="33"/>
      <c r="DF119" s="33"/>
      <c r="DG119" s="33"/>
      <c r="DH119" s="33"/>
      <c r="DI119" s="33"/>
      <c r="DJ119" s="33"/>
      <c r="DK119" s="33"/>
      <c r="DL119" s="33"/>
      <c r="DM119" s="33"/>
      <c r="DN119" s="33"/>
      <c r="DO119" s="33"/>
      <c r="DP119" s="33"/>
      <c r="DQ119" s="33"/>
      <c r="DR119" s="33"/>
      <c r="DS119" s="33"/>
      <c r="DT119" s="33"/>
      <c r="DU119" s="33"/>
      <c r="DV119" s="33"/>
      <c r="DW119" s="33"/>
      <c r="DX119" s="33"/>
      <c r="DY119" s="33"/>
      <c r="DZ119" s="33"/>
      <c r="EA119" s="33"/>
      <c r="EB119" s="33"/>
      <c r="EC119" s="33"/>
      <c r="ED119" s="33"/>
      <c r="EE119" s="33"/>
      <c r="EF119" s="33"/>
      <c r="EG119" s="33"/>
      <c r="EH119" s="33"/>
      <c r="EI119" s="33"/>
      <c r="EJ119" s="33"/>
      <c r="EK119" s="33"/>
      <c r="EL119" s="33"/>
      <c r="EM119" s="33"/>
      <c r="EN119" s="33"/>
      <c r="EO119" s="33"/>
      <c r="EP119" s="33"/>
      <c r="EQ119" s="33"/>
      <c r="ER119" s="33"/>
      <c r="ES119" s="33"/>
      <c r="ET119" s="33"/>
      <c r="EU119" s="33"/>
      <c r="EV119" s="33"/>
      <c r="EW119" s="33"/>
      <c r="EX119" s="33"/>
      <c r="EY119" s="33"/>
      <c r="EZ119" s="33"/>
      <c r="FA119" s="33"/>
      <c r="FB119" s="33"/>
      <c r="FC119" s="33"/>
      <c r="FD119" s="33"/>
      <c r="FE119" s="33"/>
      <c r="FF119" s="33"/>
      <c r="FG119" s="33"/>
      <c r="FH119" s="33"/>
      <c r="FI119" s="33"/>
      <c r="FJ119" s="33"/>
      <c r="FK119" s="33"/>
      <c r="FL119" s="33"/>
      <c r="FM119" s="33"/>
      <c r="FN119" s="33"/>
      <c r="FO119" s="33"/>
      <c r="FP119" s="33"/>
      <c r="FQ119" s="33"/>
      <c r="FR119" s="33"/>
      <c r="FS119" s="33"/>
      <c r="FT119" s="33"/>
      <c r="FU119" s="33"/>
      <c r="FV119" s="33"/>
      <c r="FW119" s="33"/>
      <c r="FX119" s="33"/>
      <c r="FY119" s="33"/>
      <c r="FZ119" s="33"/>
      <c r="GA119" s="33"/>
      <c r="GB119" s="33"/>
      <c r="GC119" s="33"/>
      <c r="GD119" s="33"/>
      <c r="GE119" s="33"/>
      <c r="GF119" s="33"/>
      <c r="GG119" s="33"/>
      <c r="GH119" s="33"/>
      <c r="GI119" s="34"/>
    </row>
    <row r="120" spans="1:191" x14ac:dyDescent="0.15">
      <c r="A120" s="35">
        <v>54</v>
      </c>
      <c r="B120" s="36">
        <f>B119</f>
        <v>0</v>
      </c>
      <c r="C120" s="36">
        <f>C119</f>
        <v>0</v>
      </c>
      <c r="D120" s="37">
        <f>D119</f>
        <v>0</v>
      </c>
      <c r="E120" s="61" t="s">
        <v>0</v>
      </c>
      <c r="F120" s="62"/>
      <c r="G120" s="62"/>
      <c r="H120" s="63"/>
      <c r="I120" s="64" t="str">
        <f>IF(OR(H119="",H120=""),"",H120-H119)</f>
        <v/>
      </c>
      <c r="J120" s="65"/>
      <c r="K120" s="66"/>
      <c r="L120" s="66"/>
      <c r="M120" s="66"/>
      <c r="N120" s="66"/>
      <c r="O120" s="66"/>
      <c r="P120" s="66"/>
      <c r="Q120" s="66"/>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7"/>
      <c r="AQ120" s="67"/>
      <c r="AR120" s="67"/>
      <c r="AS120" s="67"/>
      <c r="AT120" s="67"/>
      <c r="AU120" s="67"/>
      <c r="AV120" s="67"/>
      <c r="AW120" s="67"/>
      <c r="AX120" s="67"/>
      <c r="AY120" s="67"/>
      <c r="AZ120" s="67"/>
      <c r="BA120" s="67"/>
      <c r="BB120" s="67"/>
      <c r="BC120" s="67"/>
      <c r="BD120" s="67"/>
      <c r="BE120" s="67"/>
      <c r="BF120" s="67"/>
      <c r="BG120" s="67"/>
      <c r="BH120" s="67"/>
      <c r="BI120" s="67"/>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c r="DK120" s="67"/>
      <c r="DL120" s="67"/>
      <c r="DM120" s="67"/>
      <c r="DN120" s="67"/>
      <c r="DO120" s="67"/>
      <c r="DP120" s="67"/>
      <c r="DQ120" s="67"/>
      <c r="DR120" s="67"/>
      <c r="DS120" s="67"/>
      <c r="DT120" s="67"/>
      <c r="DU120" s="67"/>
      <c r="DV120" s="67"/>
      <c r="DW120" s="67"/>
      <c r="DX120" s="67"/>
      <c r="DY120" s="67"/>
      <c r="DZ120" s="67"/>
      <c r="EA120" s="67"/>
      <c r="EB120" s="67"/>
      <c r="EC120" s="67"/>
      <c r="ED120" s="67"/>
      <c r="EE120" s="67"/>
      <c r="EF120" s="67"/>
      <c r="EG120" s="67"/>
      <c r="EH120" s="67"/>
      <c r="EI120" s="67"/>
      <c r="EJ120" s="67"/>
      <c r="EK120" s="67"/>
      <c r="EL120" s="67"/>
      <c r="EM120" s="67"/>
      <c r="EN120" s="67"/>
      <c r="EO120" s="67"/>
      <c r="EP120" s="67"/>
      <c r="EQ120" s="67"/>
      <c r="ER120" s="67"/>
      <c r="ES120" s="67"/>
      <c r="ET120" s="67"/>
      <c r="EU120" s="67"/>
      <c r="EV120" s="67"/>
      <c r="EW120" s="67"/>
      <c r="EX120" s="67"/>
      <c r="EY120" s="67"/>
      <c r="EZ120" s="67"/>
      <c r="FA120" s="67"/>
      <c r="FB120" s="67"/>
      <c r="FC120" s="67"/>
      <c r="FD120" s="67"/>
      <c r="FE120" s="67"/>
      <c r="FF120" s="67"/>
      <c r="FG120" s="67"/>
      <c r="FH120" s="67"/>
      <c r="FI120" s="67"/>
      <c r="FJ120" s="67"/>
      <c r="FK120" s="67"/>
      <c r="FL120" s="67"/>
      <c r="FM120" s="67"/>
      <c r="FN120" s="67"/>
      <c r="FO120" s="67"/>
      <c r="FP120" s="67"/>
      <c r="FQ120" s="67"/>
      <c r="FR120" s="67"/>
      <c r="FS120" s="67"/>
      <c r="FT120" s="67"/>
      <c r="FU120" s="67"/>
      <c r="FV120" s="67"/>
      <c r="FW120" s="67"/>
      <c r="FX120" s="67"/>
      <c r="FY120" s="67"/>
      <c r="FZ120" s="67"/>
      <c r="GA120" s="67"/>
      <c r="GB120" s="67"/>
      <c r="GC120" s="67"/>
      <c r="GD120" s="67"/>
      <c r="GE120" s="67"/>
      <c r="GF120" s="67"/>
      <c r="GG120" s="67"/>
      <c r="GH120" s="67"/>
      <c r="GI120" s="68"/>
    </row>
    <row r="121" spans="1:191" x14ac:dyDescent="0.15">
      <c r="A121" s="23">
        <v>55</v>
      </c>
      <c r="B121" s="24"/>
      <c r="C121" s="45"/>
      <c r="D121" s="26"/>
      <c r="E121" s="27" t="s">
        <v>13</v>
      </c>
      <c r="F121" s="28"/>
      <c r="G121" s="28"/>
      <c r="H121" s="29"/>
      <c r="I121" s="30"/>
      <c r="J121" s="31"/>
      <c r="K121" s="32"/>
      <c r="L121" s="32"/>
      <c r="M121" s="32"/>
      <c r="N121" s="32"/>
      <c r="O121" s="32"/>
      <c r="P121" s="32"/>
      <c r="Q121" s="32"/>
      <c r="R121" s="32"/>
      <c r="S121" s="32"/>
      <c r="T121" s="32"/>
      <c r="U121" s="32"/>
      <c r="V121" s="32"/>
      <c r="W121" s="32"/>
      <c r="X121" s="32"/>
      <c r="Y121" s="32"/>
      <c r="Z121" s="32"/>
      <c r="AA121" s="32"/>
      <c r="AB121" s="32"/>
      <c r="AC121" s="32"/>
      <c r="AD121" s="32"/>
      <c r="AE121" s="32"/>
      <c r="AF121" s="32"/>
      <c r="AG121" s="32"/>
      <c r="AH121" s="32"/>
      <c r="AI121" s="32"/>
      <c r="AJ121" s="32"/>
      <c r="AK121" s="32"/>
      <c r="AL121" s="32"/>
      <c r="AM121" s="32"/>
      <c r="AN121" s="32"/>
      <c r="AO121" s="32"/>
      <c r="AP121" s="33"/>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33"/>
      <c r="BT121" s="33"/>
      <c r="BU121" s="33"/>
      <c r="BV121" s="33"/>
      <c r="BW121" s="33"/>
      <c r="BX121" s="33"/>
      <c r="BY121" s="33"/>
      <c r="BZ121" s="33"/>
      <c r="CA121" s="33"/>
      <c r="CB121" s="33"/>
      <c r="CC121" s="33"/>
      <c r="CD121" s="33"/>
      <c r="CE121" s="33"/>
      <c r="CF121" s="33"/>
      <c r="CG121" s="33"/>
      <c r="CH121" s="33"/>
      <c r="CI121" s="33"/>
      <c r="CJ121" s="33"/>
      <c r="CK121" s="33"/>
      <c r="CL121" s="33"/>
      <c r="CM121" s="33"/>
      <c r="CN121" s="33"/>
      <c r="CO121" s="33"/>
      <c r="CP121" s="33"/>
      <c r="CQ121" s="33"/>
      <c r="CR121" s="33"/>
      <c r="CS121" s="33"/>
      <c r="CT121" s="33"/>
      <c r="CU121" s="33"/>
      <c r="CV121" s="33"/>
      <c r="CW121" s="33"/>
      <c r="CX121" s="33"/>
      <c r="CY121" s="33"/>
      <c r="CZ121" s="33"/>
      <c r="DA121" s="33"/>
      <c r="DB121" s="33"/>
      <c r="DC121" s="33"/>
      <c r="DD121" s="33"/>
      <c r="DE121" s="33"/>
      <c r="DF121" s="33"/>
      <c r="DG121" s="33"/>
      <c r="DH121" s="33"/>
      <c r="DI121" s="33"/>
      <c r="DJ121" s="33"/>
      <c r="DK121" s="33"/>
      <c r="DL121" s="33"/>
      <c r="DM121" s="33"/>
      <c r="DN121" s="33"/>
      <c r="DO121" s="33"/>
      <c r="DP121" s="33"/>
      <c r="DQ121" s="33"/>
      <c r="DR121" s="33"/>
      <c r="DS121" s="33"/>
      <c r="DT121" s="33"/>
      <c r="DU121" s="33"/>
      <c r="DV121" s="33"/>
      <c r="DW121" s="33"/>
      <c r="DX121" s="33"/>
      <c r="DY121" s="33"/>
      <c r="DZ121" s="33"/>
      <c r="EA121" s="33"/>
      <c r="EB121" s="33"/>
      <c r="EC121" s="33"/>
      <c r="ED121" s="33"/>
      <c r="EE121" s="33"/>
      <c r="EF121" s="33"/>
      <c r="EG121" s="33"/>
      <c r="EH121" s="33"/>
      <c r="EI121" s="33"/>
      <c r="EJ121" s="33"/>
      <c r="EK121" s="33"/>
      <c r="EL121" s="33"/>
      <c r="EM121" s="33"/>
      <c r="EN121" s="33"/>
      <c r="EO121" s="33"/>
      <c r="EP121" s="33"/>
      <c r="EQ121" s="33"/>
      <c r="ER121" s="33"/>
      <c r="ES121" s="33"/>
      <c r="ET121" s="33"/>
      <c r="EU121" s="33"/>
      <c r="EV121" s="33"/>
      <c r="EW121" s="33"/>
      <c r="EX121" s="33"/>
      <c r="EY121" s="33"/>
      <c r="EZ121" s="33"/>
      <c r="FA121" s="33"/>
      <c r="FB121" s="33"/>
      <c r="FC121" s="33"/>
      <c r="FD121" s="33"/>
      <c r="FE121" s="33"/>
      <c r="FF121" s="33"/>
      <c r="FG121" s="33"/>
      <c r="FH121" s="33"/>
      <c r="FI121" s="33"/>
      <c r="FJ121" s="33"/>
      <c r="FK121" s="33"/>
      <c r="FL121" s="33"/>
      <c r="FM121" s="33"/>
      <c r="FN121" s="33"/>
      <c r="FO121" s="33"/>
      <c r="FP121" s="33"/>
      <c r="FQ121" s="33"/>
      <c r="FR121" s="33"/>
      <c r="FS121" s="33"/>
      <c r="FT121" s="33"/>
      <c r="FU121" s="33"/>
      <c r="FV121" s="33"/>
      <c r="FW121" s="33"/>
      <c r="FX121" s="33"/>
      <c r="FY121" s="33"/>
      <c r="FZ121" s="33"/>
      <c r="GA121" s="33"/>
      <c r="GB121" s="33"/>
      <c r="GC121" s="33"/>
      <c r="GD121" s="33"/>
      <c r="GE121" s="33"/>
      <c r="GF121" s="33"/>
      <c r="GG121" s="33"/>
      <c r="GH121" s="33"/>
      <c r="GI121" s="34"/>
    </row>
    <row r="122" spans="1:191" x14ac:dyDescent="0.15">
      <c r="A122" s="35">
        <v>55</v>
      </c>
      <c r="B122" s="36">
        <f>B121</f>
        <v>0</v>
      </c>
      <c r="C122" s="36">
        <f>C121</f>
        <v>0</v>
      </c>
      <c r="D122" s="37">
        <f>D121</f>
        <v>0</v>
      </c>
      <c r="E122" s="61" t="s">
        <v>0</v>
      </c>
      <c r="F122" s="62"/>
      <c r="G122" s="62"/>
      <c r="H122" s="63"/>
      <c r="I122" s="64" t="str">
        <f>IF(OR(H121="",H122=""),"",H122-H121)</f>
        <v/>
      </c>
      <c r="J122" s="65"/>
      <c r="K122" s="66"/>
      <c r="L122" s="66"/>
      <c r="M122" s="66"/>
      <c r="N122" s="66"/>
      <c r="O122" s="66"/>
      <c r="P122" s="66"/>
      <c r="Q122" s="66"/>
      <c r="R122" s="66"/>
      <c r="S122" s="66"/>
      <c r="T122" s="66"/>
      <c r="U122" s="66"/>
      <c r="V122" s="66"/>
      <c r="W122" s="66"/>
      <c r="X122" s="66"/>
      <c r="Y122" s="66"/>
      <c r="Z122" s="66"/>
      <c r="AA122" s="66"/>
      <c r="AB122" s="66"/>
      <c r="AC122" s="66"/>
      <c r="AD122" s="66"/>
      <c r="AE122" s="66"/>
      <c r="AF122" s="66"/>
      <c r="AG122" s="66"/>
      <c r="AH122" s="66"/>
      <c r="AI122" s="66"/>
      <c r="AJ122" s="66"/>
      <c r="AK122" s="66"/>
      <c r="AL122" s="66"/>
      <c r="AM122" s="66"/>
      <c r="AN122" s="66"/>
      <c r="AO122" s="66"/>
      <c r="AP122" s="67"/>
      <c r="AQ122" s="67"/>
      <c r="AR122" s="67"/>
      <c r="AS122" s="67"/>
      <c r="AT122" s="67"/>
      <c r="AU122" s="67"/>
      <c r="AV122" s="67"/>
      <c r="AW122" s="67"/>
      <c r="AX122" s="67"/>
      <c r="AY122" s="67"/>
      <c r="AZ122" s="67"/>
      <c r="BA122" s="67"/>
      <c r="BB122" s="67"/>
      <c r="BC122" s="67"/>
      <c r="BD122" s="67"/>
      <c r="BE122" s="67"/>
      <c r="BF122" s="67"/>
      <c r="BG122" s="67"/>
      <c r="BH122" s="67"/>
      <c r="BI122" s="67"/>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c r="DK122" s="67"/>
      <c r="DL122" s="67"/>
      <c r="DM122" s="67"/>
      <c r="DN122" s="67"/>
      <c r="DO122" s="67"/>
      <c r="DP122" s="67"/>
      <c r="DQ122" s="67"/>
      <c r="DR122" s="67"/>
      <c r="DS122" s="67"/>
      <c r="DT122" s="67"/>
      <c r="DU122" s="67"/>
      <c r="DV122" s="67"/>
      <c r="DW122" s="67"/>
      <c r="DX122" s="67"/>
      <c r="DY122" s="67"/>
      <c r="DZ122" s="67"/>
      <c r="EA122" s="67"/>
      <c r="EB122" s="67"/>
      <c r="EC122" s="67"/>
      <c r="ED122" s="67"/>
      <c r="EE122" s="67"/>
      <c r="EF122" s="67"/>
      <c r="EG122" s="67"/>
      <c r="EH122" s="67"/>
      <c r="EI122" s="67"/>
      <c r="EJ122" s="67"/>
      <c r="EK122" s="67"/>
      <c r="EL122" s="67"/>
      <c r="EM122" s="67"/>
      <c r="EN122" s="67"/>
      <c r="EO122" s="67"/>
      <c r="EP122" s="67"/>
      <c r="EQ122" s="67"/>
      <c r="ER122" s="67"/>
      <c r="ES122" s="67"/>
      <c r="ET122" s="67"/>
      <c r="EU122" s="67"/>
      <c r="EV122" s="67"/>
      <c r="EW122" s="67"/>
      <c r="EX122" s="67"/>
      <c r="EY122" s="67"/>
      <c r="EZ122" s="67"/>
      <c r="FA122" s="67"/>
      <c r="FB122" s="67"/>
      <c r="FC122" s="67"/>
      <c r="FD122" s="67"/>
      <c r="FE122" s="67"/>
      <c r="FF122" s="67"/>
      <c r="FG122" s="67"/>
      <c r="FH122" s="67"/>
      <c r="FI122" s="67"/>
      <c r="FJ122" s="67"/>
      <c r="FK122" s="67"/>
      <c r="FL122" s="67"/>
      <c r="FM122" s="67"/>
      <c r="FN122" s="67"/>
      <c r="FO122" s="67"/>
      <c r="FP122" s="67"/>
      <c r="FQ122" s="67"/>
      <c r="FR122" s="67"/>
      <c r="FS122" s="67"/>
      <c r="FT122" s="67"/>
      <c r="FU122" s="67"/>
      <c r="FV122" s="67"/>
      <c r="FW122" s="67"/>
      <c r="FX122" s="67"/>
      <c r="FY122" s="67"/>
      <c r="FZ122" s="67"/>
      <c r="GA122" s="67"/>
      <c r="GB122" s="67"/>
      <c r="GC122" s="67"/>
      <c r="GD122" s="67"/>
      <c r="GE122" s="67"/>
      <c r="GF122" s="67"/>
      <c r="GG122" s="67"/>
      <c r="GH122" s="67"/>
      <c r="GI122" s="68"/>
    </row>
    <row r="123" spans="1:191" x14ac:dyDescent="0.15">
      <c r="A123" s="23">
        <v>56</v>
      </c>
      <c r="B123" s="24"/>
      <c r="C123" s="45"/>
      <c r="D123" s="26"/>
      <c r="E123" s="27" t="s">
        <v>13</v>
      </c>
      <c r="F123" s="28"/>
      <c r="G123" s="28"/>
      <c r="H123" s="29"/>
      <c r="I123" s="30"/>
      <c r="J123" s="31"/>
      <c r="K123" s="32"/>
      <c r="L123" s="32"/>
      <c r="M123" s="32"/>
      <c r="N123" s="32"/>
      <c r="O123" s="32"/>
      <c r="P123" s="32"/>
      <c r="Q123" s="32"/>
      <c r="R123" s="32"/>
      <c r="S123" s="32"/>
      <c r="T123" s="32"/>
      <c r="U123" s="32"/>
      <c r="V123" s="32"/>
      <c r="W123" s="32"/>
      <c r="X123" s="32"/>
      <c r="Y123" s="32"/>
      <c r="Z123" s="32"/>
      <c r="AA123" s="32"/>
      <c r="AB123" s="32"/>
      <c r="AC123" s="32"/>
      <c r="AD123" s="32"/>
      <c r="AE123" s="32"/>
      <c r="AF123" s="32"/>
      <c r="AG123" s="32"/>
      <c r="AH123" s="32"/>
      <c r="AI123" s="32"/>
      <c r="AJ123" s="32"/>
      <c r="AK123" s="32"/>
      <c r="AL123" s="32"/>
      <c r="AM123" s="32"/>
      <c r="AN123" s="32"/>
      <c r="AO123" s="32"/>
      <c r="AP123" s="33"/>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33"/>
      <c r="BT123" s="33"/>
      <c r="BU123" s="33"/>
      <c r="BV123" s="33"/>
      <c r="BW123" s="33"/>
      <c r="BX123" s="33"/>
      <c r="BY123" s="33"/>
      <c r="BZ123" s="33"/>
      <c r="CA123" s="33"/>
      <c r="CB123" s="33"/>
      <c r="CC123" s="33"/>
      <c r="CD123" s="33"/>
      <c r="CE123" s="33"/>
      <c r="CF123" s="33"/>
      <c r="CG123" s="33"/>
      <c r="CH123" s="33"/>
      <c r="CI123" s="33"/>
      <c r="CJ123" s="33"/>
      <c r="CK123" s="33"/>
      <c r="CL123" s="33"/>
      <c r="CM123" s="33"/>
      <c r="CN123" s="33"/>
      <c r="CO123" s="33"/>
      <c r="CP123" s="33"/>
      <c r="CQ123" s="33"/>
      <c r="CR123" s="33"/>
      <c r="CS123" s="33"/>
      <c r="CT123" s="33"/>
      <c r="CU123" s="33"/>
      <c r="CV123" s="33"/>
      <c r="CW123" s="33"/>
      <c r="CX123" s="33"/>
      <c r="CY123" s="33"/>
      <c r="CZ123" s="33"/>
      <c r="DA123" s="33"/>
      <c r="DB123" s="33"/>
      <c r="DC123" s="33"/>
      <c r="DD123" s="33"/>
      <c r="DE123" s="33"/>
      <c r="DF123" s="33"/>
      <c r="DG123" s="33"/>
      <c r="DH123" s="33"/>
      <c r="DI123" s="33"/>
      <c r="DJ123" s="33"/>
      <c r="DK123" s="33"/>
      <c r="DL123" s="33"/>
      <c r="DM123" s="33"/>
      <c r="DN123" s="33"/>
      <c r="DO123" s="33"/>
      <c r="DP123" s="33"/>
      <c r="DQ123" s="33"/>
      <c r="DR123" s="33"/>
      <c r="DS123" s="33"/>
      <c r="DT123" s="33"/>
      <c r="DU123" s="33"/>
      <c r="DV123" s="33"/>
      <c r="DW123" s="33"/>
      <c r="DX123" s="33"/>
      <c r="DY123" s="33"/>
      <c r="DZ123" s="33"/>
      <c r="EA123" s="33"/>
      <c r="EB123" s="33"/>
      <c r="EC123" s="33"/>
      <c r="ED123" s="33"/>
      <c r="EE123" s="33"/>
      <c r="EF123" s="33"/>
      <c r="EG123" s="33"/>
      <c r="EH123" s="33"/>
      <c r="EI123" s="33"/>
      <c r="EJ123" s="33"/>
      <c r="EK123" s="33"/>
      <c r="EL123" s="33"/>
      <c r="EM123" s="33"/>
      <c r="EN123" s="33"/>
      <c r="EO123" s="33"/>
      <c r="EP123" s="33"/>
      <c r="EQ123" s="33"/>
      <c r="ER123" s="33"/>
      <c r="ES123" s="33"/>
      <c r="ET123" s="33"/>
      <c r="EU123" s="33"/>
      <c r="EV123" s="33"/>
      <c r="EW123" s="33"/>
      <c r="EX123" s="33"/>
      <c r="EY123" s="33"/>
      <c r="EZ123" s="33"/>
      <c r="FA123" s="33"/>
      <c r="FB123" s="33"/>
      <c r="FC123" s="33"/>
      <c r="FD123" s="33"/>
      <c r="FE123" s="33"/>
      <c r="FF123" s="33"/>
      <c r="FG123" s="33"/>
      <c r="FH123" s="33"/>
      <c r="FI123" s="33"/>
      <c r="FJ123" s="33"/>
      <c r="FK123" s="33"/>
      <c r="FL123" s="33"/>
      <c r="FM123" s="33"/>
      <c r="FN123" s="33"/>
      <c r="FO123" s="33"/>
      <c r="FP123" s="33"/>
      <c r="FQ123" s="33"/>
      <c r="FR123" s="33"/>
      <c r="FS123" s="33"/>
      <c r="FT123" s="33"/>
      <c r="FU123" s="33"/>
      <c r="FV123" s="33"/>
      <c r="FW123" s="33"/>
      <c r="FX123" s="33"/>
      <c r="FY123" s="33"/>
      <c r="FZ123" s="33"/>
      <c r="GA123" s="33"/>
      <c r="GB123" s="33"/>
      <c r="GC123" s="33"/>
      <c r="GD123" s="33"/>
      <c r="GE123" s="33"/>
      <c r="GF123" s="33"/>
      <c r="GG123" s="33"/>
      <c r="GH123" s="33"/>
      <c r="GI123" s="34"/>
    </row>
    <row r="124" spans="1:191" x14ac:dyDescent="0.15">
      <c r="A124" s="35">
        <v>56</v>
      </c>
      <c r="B124" s="36">
        <f>B123</f>
        <v>0</v>
      </c>
      <c r="C124" s="36">
        <f>C123</f>
        <v>0</v>
      </c>
      <c r="D124" s="37">
        <f>D123</f>
        <v>0</v>
      </c>
      <c r="E124" s="61" t="s">
        <v>0</v>
      </c>
      <c r="F124" s="62"/>
      <c r="G124" s="62"/>
      <c r="H124" s="63"/>
      <c r="I124" s="64" t="str">
        <f>IF(OR(H123="",H124=""),"",H124-H123)</f>
        <v/>
      </c>
      <c r="J124" s="65"/>
      <c r="K124" s="66"/>
      <c r="L124" s="66"/>
      <c r="M124" s="66"/>
      <c r="N124" s="66"/>
      <c r="O124" s="66"/>
      <c r="P124" s="66"/>
      <c r="Q124" s="66"/>
      <c r="R124" s="66"/>
      <c r="S124" s="66"/>
      <c r="T124" s="66"/>
      <c r="U124" s="66"/>
      <c r="V124" s="66"/>
      <c r="W124" s="66"/>
      <c r="X124" s="66"/>
      <c r="Y124" s="66"/>
      <c r="Z124" s="66"/>
      <c r="AA124" s="66"/>
      <c r="AB124" s="66"/>
      <c r="AC124" s="66"/>
      <c r="AD124" s="66"/>
      <c r="AE124" s="66"/>
      <c r="AF124" s="66"/>
      <c r="AG124" s="66"/>
      <c r="AH124" s="66"/>
      <c r="AI124" s="66"/>
      <c r="AJ124" s="66"/>
      <c r="AK124" s="66"/>
      <c r="AL124" s="66"/>
      <c r="AM124" s="66"/>
      <c r="AN124" s="66"/>
      <c r="AO124" s="66"/>
      <c r="AP124" s="67"/>
      <c r="AQ124" s="67"/>
      <c r="AR124" s="67"/>
      <c r="AS124" s="67"/>
      <c r="AT124" s="67"/>
      <c r="AU124" s="67"/>
      <c r="AV124" s="67"/>
      <c r="AW124" s="67"/>
      <c r="AX124" s="67"/>
      <c r="AY124" s="67"/>
      <c r="AZ124" s="67"/>
      <c r="BA124" s="67"/>
      <c r="BB124" s="67"/>
      <c r="BC124" s="67"/>
      <c r="BD124" s="67"/>
      <c r="BE124" s="67"/>
      <c r="BF124" s="67"/>
      <c r="BG124" s="67"/>
      <c r="BH124" s="67"/>
      <c r="BI124" s="67"/>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c r="DK124" s="67"/>
      <c r="DL124" s="67"/>
      <c r="DM124" s="67"/>
      <c r="DN124" s="67"/>
      <c r="DO124" s="67"/>
      <c r="DP124" s="67"/>
      <c r="DQ124" s="67"/>
      <c r="DR124" s="67"/>
      <c r="DS124" s="67"/>
      <c r="DT124" s="67"/>
      <c r="DU124" s="67"/>
      <c r="DV124" s="67"/>
      <c r="DW124" s="67"/>
      <c r="DX124" s="67"/>
      <c r="DY124" s="67"/>
      <c r="DZ124" s="67"/>
      <c r="EA124" s="67"/>
      <c r="EB124" s="67"/>
      <c r="EC124" s="67"/>
      <c r="ED124" s="67"/>
      <c r="EE124" s="67"/>
      <c r="EF124" s="67"/>
      <c r="EG124" s="67"/>
      <c r="EH124" s="67"/>
      <c r="EI124" s="67"/>
      <c r="EJ124" s="67"/>
      <c r="EK124" s="67"/>
      <c r="EL124" s="67"/>
      <c r="EM124" s="67"/>
      <c r="EN124" s="67"/>
      <c r="EO124" s="67"/>
      <c r="EP124" s="67"/>
      <c r="EQ124" s="67"/>
      <c r="ER124" s="67"/>
      <c r="ES124" s="67"/>
      <c r="ET124" s="67"/>
      <c r="EU124" s="67"/>
      <c r="EV124" s="67"/>
      <c r="EW124" s="67"/>
      <c r="EX124" s="67"/>
      <c r="EY124" s="67"/>
      <c r="EZ124" s="67"/>
      <c r="FA124" s="67"/>
      <c r="FB124" s="67"/>
      <c r="FC124" s="67"/>
      <c r="FD124" s="67"/>
      <c r="FE124" s="67"/>
      <c r="FF124" s="67"/>
      <c r="FG124" s="67"/>
      <c r="FH124" s="67"/>
      <c r="FI124" s="67"/>
      <c r="FJ124" s="67"/>
      <c r="FK124" s="67"/>
      <c r="FL124" s="67"/>
      <c r="FM124" s="67"/>
      <c r="FN124" s="67"/>
      <c r="FO124" s="67"/>
      <c r="FP124" s="67"/>
      <c r="FQ124" s="67"/>
      <c r="FR124" s="67"/>
      <c r="FS124" s="67"/>
      <c r="FT124" s="67"/>
      <c r="FU124" s="67"/>
      <c r="FV124" s="67"/>
      <c r="FW124" s="67"/>
      <c r="FX124" s="67"/>
      <c r="FY124" s="67"/>
      <c r="FZ124" s="67"/>
      <c r="GA124" s="67"/>
      <c r="GB124" s="67"/>
      <c r="GC124" s="67"/>
      <c r="GD124" s="67"/>
      <c r="GE124" s="67"/>
      <c r="GF124" s="67"/>
      <c r="GG124" s="67"/>
      <c r="GH124" s="67"/>
      <c r="GI124" s="68"/>
    </row>
  </sheetData>
  <sheetProtection selectLockedCells="1"/>
  <phoneticPr fontId="2"/>
  <conditionalFormatting sqref="J13:CT13 J15:CT15 J17:CT17 J19:CT19 J21:CT21 J23:CT23 J25:CT25 J27:CT27 J29:CT29 J31:CT31 J33:CT33 J35:CT35 J37:CT37 J39:CT39 J41:CT41 J43:CT43 J45:CT45 J47:CT47 J49:CT49 J51:CT51 J53:CT53 J55:CT55 J57:CT57 J59:CT59 J61:CT61 J63:CT63 J65:CT65 J67:CT67 J69:CT69 J71:CT71 J73:CT73 J75:CT75 J77:CT77 J79:CT79 J81:CT81 J83:CT83 J85:CT85 J87:CT87 J89:CT89 J91:CT91 J93:CT93 J95:CT95 J97:CT97 J99:CT99 J101:CT101 J103:CT103 J105:CT105 J107:CT107 J109:CT109 J111:CT111 GI111 GI109 GI107 GI105 GI103 GI101 GI99 GI97 GI95 GI93 GI91 GI89 GI87 GI85 GI83 GI81 GI79 GI77 GI75 GI73 GI71 GI69 GI67 GI65 GI63 GI61 GI59 GI57 GI55 GI53 GI51 GI49 GI47 GI45 GI43 GI41 GI39 GI37 GI35 GI33 GI31 GI29 GI27 GI25 GI23 GI21 GI19 GI17 GI15 GI13">
    <cfRule type="expression" dxfId="87" priority="87" stopIfTrue="1">
      <formula>AND(J$12&gt;=$F13,J$12&lt;=$G13)</formula>
    </cfRule>
  </conditionalFormatting>
  <conditionalFormatting sqref="J14:CT14 J16:CT16 J18:CT18 J20:CT20 J22:CT22 J24:CT24 J26:CT26 J28:CT28 J30:CT30 J32:CT32 J34:CT34 J36:CT36 J38:CT38 J40:CT40 J42:CT42 J44:CT44 J46:CT46 J48:CT48 J50:CT50 J52:CT52 J54:CT54 J56:CT56 J58:CT58 J60:CT60 J62:CT62 J64:CT64 J66:CT66 J68:CT68 J70:CT70 J72:CT72 J74:CT74 J76:CT76 J78:CT78 J80:CT80 J82:CT82 J84:CT84 J86:CT86 J88:CT88 J90:CT90 J92:CT92 J94:CT94 J96:CT96 J98:CT98 J100:CT100 J102:CT102 J104:CT104 J106:CT106 J108:CT108 J110:CT110 J112:CT112 GI112 GI110 GI108 GI106 GI104 GI102 GI100 GI98 GI96 GI94 GI92 GI90 GI88 GI86 GI84 GI82 GI80 GI78 GI76 GI74 GI72 GI70 GI68 GI66 GI64 GI62 GI60 GI58 GI56 GI54 GI52 GI50 GI48 GI46 GI44 GI42 GI40 GI38 GI36 GI34 GI32 GI30 GI28 GI26 GI24 GI22 GI20 GI18 GI16 GI14">
    <cfRule type="expression" dxfId="86" priority="88" stopIfTrue="1">
      <formula>AND(J$12&gt;=$F14,J$12&lt;=$G14)</formula>
    </cfRule>
  </conditionalFormatting>
  <conditionalFormatting sqref="J12:CT12">
    <cfRule type="expression" dxfId="85" priority="89" stopIfTrue="1">
      <formula>TEXT(J12,"aaa")="土"</formula>
    </cfRule>
    <cfRule type="expression" dxfId="84" priority="90" stopIfTrue="1">
      <formula>TEXT(J12,"aaa")="日"</formula>
    </cfRule>
  </conditionalFormatting>
  <conditionalFormatting sqref="CU13:DW13 CU15:DW15 CU17:DW17 CU19:DW19 CU21:DW21 CU23:DW23 CU25:DW25 CU27:DW27 CU29:DW29 CU31:DW31 CU33:DW33 CU35:DW35 CU37:DW37 CU39:DW39 CU41:DW41 CU43:DW43 CU45:DW45 CU47:DW47 CU49:DW49 CU51:DW51 CU53:DW53 CU55:DW55 CU57:DW57 CU59:DW59 CU61:DW61 CU63:DW63 CU65:DW65 CU67:DW67 CU69:DW69 CU71:DW71 CU73:DW73 CU75:DW75 CU77:DW77 CU79:DW79 CU81:DW81 CU83:DW83 CU85:DW85 CU87:DW87 CU89:DW89 CU91:DW91 CU93:DW93 CU95:DW95 CU97:DW97 CU99:DW99 CU101:DW101 CU103:DW103 CU105:DW105 CU107:DW107 CU109:DW109 CU111:DW111">
    <cfRule type="expression" dxfId="83" priority="83" stopIfTrue="1">
      <formula>AND(CU$12&gt;=$F13,CU$12&lt;=$G13)</formula>
    </cfRule>
  </conditionalFormatting>
  <conditionalFormatting sqref="CU14:DW14 CU16:DW16 CU18:DW18 CU20:DW20 CU22:DW22 CU24:DW24 CU26:DW26 CU28:DW28 CU30:DW30 CU32:DW32 CU34:DW34 CU36:DW36 CU38:DW38 CU40:DW40 CU42:DW42 CU44:DW44 CU46:DW46 CU48:DW48 CU50:DW50 CU52:DW52 CU54:DW54 CU56:DW56 CU58:DW58 CU60:DW60 CU62:DW62 CU64:DW64 CU66:DW66 CU68:DW68 CU70:DW70 CU72:DW72 CU74:DW74 CU76:DW76 CU78:DW78 CU80:DW80 CU82:DW82 CU84:DW84 CU86:DW86 CU88:DW88 CU90:DW90 CU92:DW92 CU94:DW94 CU96:DW96 CU98:DW98 CU100:DW100 CU102:DW102 CU104:DW104 CU106:DW106 CU108:DW108 CU110:DW110 CU112:DW112">
    <cfRule type="expression" dxfId="82" priority="84" stopIfTrue="1">
      <formula>AND(CU$12&gt;=$F14,CU$12&lt;=$G14)</formula>
    </cfRule>
  </conditionalFormatting>
  <conditionalFormatting sqref="CU12:DW12">
    <cfRule type="expression" dxfId="81" priority="85" stopIfTrue="1">
      <formula>TEXT(CU12,"aaa")="土"</formula>
    </cfRule>
    <cfRule type="expression" dxfId="80" priority="86" stopIfTrue="1">
      <formula>TEXT(CU12,"aaa")="日"</formula>
    </cfRule>
  </conditionalFormatting>
  <conditionalFormatting sqref="DX13:FB13 DX15:FB15 DX17:FB17 DX19:FB19 DX21:FB21 DX23:FB23 DX25:FB25 DX27:FB27 DX29:FB29 DX31:FB31 DX33:FB33 DX35:FB35 DX37:FB37 DX39:FB39 DX41:FB41 DX43:FB43 DX45:FB45 DX47:FB47 DX49:FB49 DX51:FB51 DX53:FB53 DX55:FB55 DX57:FB57 DX59:FB59 DX61:FB61 DX63:FB63 DX65:FB65 DX67:FB67 DX69:FB69 DX71:FB71 DX73:FB73 DX75:FB75 DX77:FB77 DX79:FB79 DX81:FB81 DX83:FB83 DX85:FB85 DX87:FB87 DX89:FB89 DX91:FB91 DX93:FB93 DX95:FB95 DX97:FB97 DX99:FB99 DX101:FB101 DX103:FB103 DX105:FB105 DX107:FB107 DX109:FB109 DX111:FB111">
    <cfRule type="expression" dxfId="79" priority="77" stopIfTrue="1">
      <formula>AND(DX$12&gt;=$F13,DX$12&lt;=$G13)</formula>
    </cfRule>
  </conditionalFormatting>
  <conditionalFormatting sqref="DX14:FB14 DX16:FB16 DX18:FB18 DX20:FB20 DX22:FB22 DX24:FB24 DX26:FB26 DX28:FB28 DX30:FB30 DX32:FB32 DX34:FB34 DX36:FB36 DX38:FB38 DX40:FB40 DX42:FB42 DX44:FB44 DX46:FB46 DX48:FB48 DX50:FB50 DX52:FB52 DX54:FB54 DX56:FB56 DX58:FB58 DX60:FB60 DX62:FB62 DX64:FB64 DX66:FB66 DX68:FB68 DX70:FB70 DX72:FB72 DX74:FB74 DX76:FB76 DX78:FB78 DX80:FB80 DX82:FB82 DX84:FB84 DX86:FB86 DX88:FB88 DX90:FB90 DX92:FB92 DX94:FB94 DX96:FB96 DX98:FB98 DX100:FB100 DX102:FB102 DX104:FB104 DX106:FB106 DX108:FB108 DX110:FB110 DX112:FB112">
    <cfRule type="expression" dxfId="78" priority="78" stopIfTrue="1">
      <formula>AND(DX$12&gt;=$F14,DX$12&lt;=$G14)</formula>
    </cfRule>
  </conditionalFormatting>
  <conditionalFormatting sqref="DX12:FB12">
    <cfRule type="expression" dxfId="77" priority="79" stopIfTrue="1">
      <formula>TEXT(DX12,"aaa")="土"</formula>
    </cfRule>
    <cfRule type="expression" dxfId="76" priority="80" stopIfTrue="1">
      <formula>TEXT(DX12,"aaa")="日"</formula>
    </cfRule>
  </conditionalFormatting>
  <conditionalFormatting sqref="FC13:GB13 FC15:GB15 FC17:GB17 FC19:GB19 FC21:GB21 FC23:GB23 FC25:GB25 FC27:GB27 FC29:GB29 FC31:GB31 FC33:GB33 FC35:GB35 FC37:GB37 FC39:GB39 FC41:GB41 FC43:GB43 FC45:GB45 FC47:GB47 FC49:GB49 FC51:GB51 FC53:GB53 FC55:GB55 FC57:GB57 FC59:GB59 FC61:GB61 FC63:GB63 FC65:GB65 FC67:GB67 FC69:GB69 FC71:GB71 FC73:GB73 FC75:GB75 FC77:GB77 FC79:GB79 FC81:GB81 FC83:GB83 FC85:GB85 FC87:GB87 FC89:GB89 FC91:GB91 FC93:GB93 FC95:GB95 FC97:GB97 FC99:GB99 FC101:GB101 FC103:GB103 FC105:GB105 FC107:GB107 FC109:GB109 FC111:GB111 GF111:GH111 GF109:GH109 GF107:GH107 GF105:GH105 GF103:GH103 GF101:GH101 GF99:GH99 GF97:GH97 GF95:GH95 GF93:GH93 GF91:GH91 GF89:GH89 GF87:GH87 GF85:GH85 GF83:GH83 GF81:GH81 GF79:GH79 GF77:GH77 GF75:GH75 GF73:GH73 GF71:GH71 GF69:GH69 GF67:GH67 GF65:GH65 GF63:GH63 GF61:GH61 GF59:GH59 GF57:GH57 GF55:GH55 GF53:GH53 GF51:GH51 GF49:GH49 GF47:GH47 GF45:GH45 GF43:GH43 GF41:GH41 GF39:GH39 GF37:GH37 GF35:GH35 GF33:GH33 GF31:GH31 GF29:GH29 GF27:GH27 GF25:GH25 GF23:GH23 GF21:GH21 GF19:GH19 GF17:GH17 GF15:GH15 GF13:GH13">
    <cfRule type="expression" dxfId="75" priority="73" stopIfTrue="1">
      <formula>AND(FC$12&gt;=$F13,FC$12&lt;=$G13)</formula>
    </cfRule>
  </conditionalFormatting>
  <conditionalFormatting sqref="FC14:GB14 FC16:GB16 FC18:GB18 FC20:GB20 FC22:GB22 FC24:GB24 FC26:GB26 FC28:GB28 FC30:GB30 FC32:GB32 FC34:GB34 FC36:GB36 FC38:GB38 FC40:GB40 FC42:GB42 FC44:GB44 FC46:GB46 FC48:GB48 FC50:GB50 FC52:GB52 FC54:GB54 FC56:GB56 FC58:GB58 FC60:GB60 FC62:GB62 FC64:GB64 FC66:GB66 FC68:GB68 FC70:GB70 FC72:GB72 FC74:GB74 FC76:GB76 FC78:GB78 FC80:GB80 FC82:GB82 FC84:GB84 FC86:GB86 FC88:GB88 FC90:GB90 FC92:GB92 FC94:GB94 FC96:GB96 FC98:GB98 FC100:GB100 FC102:GB102 FC104:GB104 FC106:GB106 FC108:GB108 FC110:GB110 FC112:GB112 GF112:GH112 GF110:GH110 GF108:GH108 GF106:GH106 GF104:GH104 GF102:GH102 GF100:GH100 GF98:GH98 GF96:GH96 GF94:GH94 GF92:GH92 GF90:GH90 GF88:GH88 GF86:GH86 GF84:GH84 GF82:GH82 GF80:GH80 GF78:GH78 GF76:GH76 GF74:GH74 GF72:GH72 GF70:GH70 GF68:GH68 GF66:GH66 GF64:GH64 GF62:GH62 GF60:GH60 GF58:GH58 GF56:GH56 GF54:GH54 GF52:GH52 GF50:GH50 GF48:GH48 GF46:GH46 GF44:GH44 GF42:GH42 GF40:GH40 GF38:GH38 GF36:GH36 GF34:GH34 GF32:GH32 GF30:GH30 GF28:GH28 GF26:GH26 GF24:GH24 GF22:GH22 GF20:GH20 GF18:GH18 GF16:GH16 GF14:GH14">
    <cfRule type="expression" dxfId="74" priority="74" stopIfTrue="1">
      <formula>AND(FC$12&gt;=$F14,FC$12&lt;=$G14)</formula>
    </cfRule>
  </conditionalFormatting>
  <conditionalFormatting sqref="FC12:GB12 GF12:GH12">
    <cfRule type="expression" dxfId="73" priority="75" stopIfTrue="1">
      <formula>TEXT(FC12,"aaa")="土"</formula>
    </cfRule>
    <cfRule type="expression" dxfId="72" priority="76" stopIfTrue="1">
      <formula>TEXT(FC12,"aaa")="日"</formula>
    </cfRule>
  </conditionalFormatting>
  <conditionalFormatting sqref="GC111:GE111 GC109:GE109 GC107:GE107 GC105:GE105 GC103:GE103 GC101:GE101 GC99:GE99 GC97:GE97 GC95:GE95 GC93:GE93 GC91:GE91 GC89:GE89 GC87:GE87 GC85:GE85 GC83:GE83 GC81:GE81 GC79:GE79 GC77:GE77 GC75:GE75 GC73:GE73 GC71:GE71 GC69:GE69 GC67:GE67 GC65:GE65 GC63:GE63 GC61:GE61 GC59:GE59 GC57:GE57 GC55:GE55 GC53:GE53 GC51:GE51 GC49:GE49 GC47:GE47 GC45:GE45 GC43:GE43 GC41:GE41 GC39:GE39 GC37:GE37 GC35:GE35 GC33:GE33 GC31:GE31 GC29:GE29 GC27:GE27 GC25:GE25 GC23:GE23 GC21:GE21 GC19:GE19 GC17:GE17 GC15:GE15 GC13:GE13">
    <cfRule type="expression" dxfId="71" priority="69" stopIfTrue="1">
      <formula>AND(GC$12&gt;=$F13,GC$12&lt;=$G13)</formula>
    </cfRule>
  </conditionalFormatting>
  <conditionalFormatting sqref="GC112:GE112 GC110:GE110 GC108:GE108 GC106:GE106 GC104:GE104 GC102:GE102 GC100:GE100 GC98:GE98 GC96:GE96 GC94:GE94 GC92:GE92 GC90:GE90 GC88:GE88 GC86:GE86 GC84:GE84 GC82:GE82 GC80:GE80 GC78:GE78 GC76:GE76 GC74:GE74 GC72:GE72 GC70:GE70 GC68:GE68 GC66:GE66 GC64:GE64 GC62:GE62 GC60:GE60 GC58:GE58 GC56:GE56 GC54:GE54 GC52:GE52 GC50:GE50 GC48:GE48 GC46:GE46 GC44:GE44 GC42:GE42 GC40:GE40 GC38:GE38 GC36:GE36 GC34:GE34 GC32:GE32 GC30:GE30 GC28:GE28 GC26:GE26 GC24:GE24 GC22:GE22 GC20:GE20 GC18:GE18 GC16:GE16 GC14:GE14">
    <cfRule type="expression" dxfId="70" priority="70" stopIfTrue="1">
      <formula>AND(GC$12&gt;=$F14,GC$12&lt;=$G14)</formula>
    </cfRule>
  </conditionalFormatting>
  <conditionalFormatting sqref="GC12">
    <cfRule type="expression" dxfId="69" priority="67" stopIfTrue="1">
      <formula>TEXT(GC12,"aaa")="土"</formula>
    </cfRule>
    <cfRule type="expression" dxfId="68" priority="68" stopIfTrue="1">
      <formula>TEXT(GC12,"aaa")="日"</formula>
    </cfRule>
  </conditionalFormatting>
  <conditionalFormatting sqref="GD12">
    <cfRule type="expression" dxfId="67" priority="65" stopIfTrue="1">
      <formula>TEXT(GD12,"aaa")="土"</formula>
    </cfRule>
    <cfRule type="expression" dxfId="66" priority="66" stopIfTrue="1">
      <formula>TEXT(GD12,"aaa")="日"</formula>
    </cfRule>
  </conditionalFormatting>
  <conditionalFormatting sqref="GE12">
    <cfRule type="expression" dxfId="65" priority="63" stopIfTrue="1">
      <formula>TEXT(GE12,"aaa")="土"</formula>
    </cfRule>
    <cfRule type="expression" dxfId="64" priority="64" stopIfTrue="1">
      <formula>TEXT(GE12,"aaa")="日"</formula>
    </cfRule>
  </conditionalFormatting>
  <conditionalFormatting sqref="GI12">
    <cfRule type="expression" dxfId="63" priority="61" stopIfTrue="1">
      <formula>TEXT(GI12,"aaa")="土"</formula>
    </cfRule>
    <cfRule type="expression" dxfId="62" priority="62" stopIfTrue="1">
      <formula>TEXT(GI12,"aaa")="日"</formula>
    </cfRule>
  </conditionalFormatting>
  <conditionalFormatting sqref="J113:CT113 GI113">
    <cfRule type="expression" dxfId="61" priority="59" stopIfTrue="1">
      <formula>AND(J$12&gt;=$F113,J$12&lt;=$G113)</formula>
    </cfRule>
  </conditionalFormatting>
  <conditionalFormatting sqref="J114:CT114 GI114">
    <cfRule type="expression" dxfId="60" priority="60" stopIfTrue="1">
      <formula>AND(J$12&gt;=$F114,J$12&lt;=$G114)</formula>
    </cfRule>
  </conditionalFormatting>
  <conditionalFormatting sqref="CU113:DW113">
    <cfRule type="expression" dxfId="59" priority="57" stopIfTrue="1">
      <formula>AND(CU$12&gt;=$F113,CU$12&lt;=$G113)</formula>
    </cfRule>
  </conditionalFormatting>
  <conditionalFormatting sqref="CU114:DW114">
    <cfRule type="expression" dxfId="58" priority="58" stopIfTrue="1">
      <formula>AND(CU$12&gt;=$F114,CU$12&lt;=$G114)</formula>
    </cfRule>
  </conditionalFormatting>
  <conditionalFormatting sqref="DX113:FB113">
    <cfRule type="expression" dxfId="57" priority="55" stopIfTrue="1">
      <formula>AND(DX$12&gt;=$F113,DX$12&lt;=$G113)</formula>
    </cfRule>
  </conditionalFormatting>
  <conditionalFormatting sqref="DX114:FB114">
    <cfRule type="expression" dxfId="56" priority="56" stopIfTrue="1">
      <formula>AND(DX$12&gt;=$F114,DX$12&lt;=$G114)</formula>
    </cfRule>
  </conditionalFormatting>
  <conditionalFormatting sqref="FC113:GB113 GF113:GH113">
    <cfRule type="expression" dxfId="55" priority="53" stopIfTrue="1">
      <formula>AND(FC$12&gt;=$F113,FC$12&lt;=$G113)</formula>
    </cfRule>
  </conditionalFormatting>
  <conditionalFormatting sqref="FC114:GB114 GF114:GH114">
    <cfRule type="expression" dxfId="54" priority="54" stopIfTrue="1">
      <formula>AND(FC$12&gt;=$F114,FC$12&lt;=$G114)</formula>
    </cfRule>
  </conditionalFormatting>
  <conditionalFormatting sqref="GC113:GE113">
    <cfRule type="expression" dxfId="53" priority="51" stopIfTrue="1">
      <formula>AND(GC$12&gt;=$F113,GC$12&lt;=$G113)</formula>
    </cfRule>
  </conditionalFormatting>
  <conditionalFormatting sqref="GC114:GE114">
    <cfRule type="expression" dxfId="52" priority="52" stopIfTrue="1">
      <formula>AND(GC$12&gt;=$F114,GC$12&lt;=$G114)</formula>
    </cfRule>
  </conditionalFormatting>
  <conditionalFormatting sqref="J115:CT115 GI115">
    <cfRule type="expression" dxfId="51" priority="49" stopIfTrue="1">
      <formula>AND(J$12&gt;=$F115,J$12&lt;=$G115)</formula>
    </cfRule>
  </conditionalFormatting>
  <conditionalFormatting sqref="J116:CT116 GI116">
    <cfRule type="expression" dxfId="50" priority="50" stopIfTrue="1">
      <formula>AND(J$12&gt;=$F116,J$12&lt;=$G116)</formula>
    </cfRule>
  </conditionalFormatting>
  <conditionalFormatting sqref="CU115:DW115">
    <cfRule type="expression" dxfId="49" priority="47" stopIfTrue="1">
      <formula>AND(CU$12&gt;=$F115,CU$12&lt;=$G115)</formula>
    </cfRule>
  </conditionalFormatting>
  <conditionalFormatting sqref="CU116:DW116">
    <cfRule type="expression" dxfId="48" priority="48" stopIfTrue="1">
      <formula>AND(CU$12&gt;=$F116,CU$12&lt;=$G116)</formula>
    </cfRule>
  </conditionalFormatting>
  <conditionalFormatting sqref="DX115:FB115">
    <cfRule type="expression" dxfId="47" priority="45" stopIfTrue="1">
      <formula>AND(DX$12&gt;=$F115,DX$12&lt;=$G115)</formula>
    </cfRule>
  </conditionalFormatting>
  <conditionalFormatting sqref="DX116:FB116">
    <cfRule type="expression" dxfId="46" priority="46" stopIfTrue="1">
      <formula>AND(DX$12&gt;=$F116,DX$12&lt;=$G116)</formula>
    </cfRule>
  </conditionalFormatting>
  <conditionalFormatting sqref="FC115:GB115 GF115:GH115">
    <cfRule type="expression" dxfId="45" priority="43" stopIfTrue="1">
      <formula>AND(FC$12&gt;=$F115,FC$12&lt;=$G115)</formula>
    </cfRule>
  </conditionalFormatting>
  <conditionalFormatting sqref="FC116:GB116 GF116:GH116">
    <cfRule type="expression" dxfId="44" priority="44" stopIfTrue="1">
      <formula>AND(FC$12&gt;=$F116,FC$12&lt;=$G116)</formula>
    </cfRule>
  </conditionalFormatting>
  <conditionalFormatting sqref="GC115:GE115">
    <cfRule type="expression" dxfId="43" priority="41" stopIfTrue="1">
      <formula>AND(GC$12&gt;=$F115,GC$12&lt;=$G115)</formula>
    </cfRule>
  </conditionalFormatting>
  <conditionalFormatting sqref="GC116:GE116">
    <cfRule type="expression" dxfId="42" priority="42" stopIfTrue="1">
      <formula>AND(GC$12&gt;=$F116,GC$12&lt;=$G116)</formula>
    </cfRule>
  </conditionalFormatting>
  <conditionalFormatting sqref="J117:CT117 GI117">
    <cfRule type="expression" dxfId="41" priority="39" stopIfTrue="1">
      <formula>AND(J$12&gt;=$F117,J$12&lt;=$G117)</formula>
    </cfRule>
  </conditionalFormatting>
  <conditionalFormatting sqref="J118:CT118 GI118">
    <cfRule type="expression" dxfId="40" priority="40" stopIfTrue="1">
      <formula>AND(J$12&gt;=$F118,J$12&lt;=$G118)</formula>
    </cfRule>
  </conditionalFormatting>
  <conditionalFormatting sqref="CU117:DW117">
    <cfRule type="expression" dxfId="39" priority="37" stopIfTrue="1">
      <formula>AND(CU$12&gt;=$F117,CU$12&lt;=$G117)</formula>
    </cfRule>
  </conditionalFormatting>
  <conditionalFormatting sqref="CU118:DW118">
    <cfRule type="expression" dxfId="38" priority="38" stopIfTrue="1">
      <formula>AND(CU$12&gt;=$F118,CU$12&lt;=$G118)</formula>
    </cfRule>
  </conditionalFormatting>
  <conditionalFormatting sqref="DX117:FB117">
    <cfRule type="expression" dxfId="37" priority="35" stopIfTrue="1">
      <formula>AND(DX$12&gt;=$F117,DX$12&lt;=$G117)</formula>
    </cfRule>
  </conditionalFormatting>
  <conditionalFormatting sqref="DX118:FB118">
    <cfRule type="expression" dxfId="36" priority="36" stopIfTrue="1">
      <formula>AND(DX$12&gt;=$F118,DX$12&lt;=$G118)</formula>
    </cfRule>
  </conditionalFormatting>
  <conditionalFormatting sqref="FC117:GB117 GF117:GH117">
    <cfRule type="expression" dxfId="35" priority="33" stopIfTrue="1">
      <formula>AND(FC$12&gt;=$F117,FC$12&lt;=$G117)</formula>
    </cfRule>
  </conditionalFormatting>
  <conditionalFormatting sqref="FC118:GB118 GF118:GH118">
    <cfRule type="expression" dxfId="34" priority="34" stopIfTrue="1">
      <formula>AND(FC$12&gt;=$F118,FC$12&lt;=$G118)</formula>
    </cfRule>
  </conditionalFormatting>
  <conditionalFormatting sqref="GC117:GE117">
    <cfRule type="expression" dxfId="33" priority="31" stopIfTrue="1">
      <formula>AND(GC$12&gt;=$F117,GC$12&lt;=$G117)</formula>
    </cfRule>
  </conditionalFormatting>
  <conditionalFormatting sqref="GC118:GE118">
    <cfRule type="expression" dxfId="32" priority="32" stopIfTrue="1">
      <formula>AND(GC$12&gt;=$F118,GC$12&lt;=$G118)</formula>
    </cfRule>
  </conditionalFormatting>
  <conditionalFormatting sqref="J119:CT119 GI119">
    <cfRule type="expression" dxfId="31" priority="29" stopIfTrue="1">
      <formula>AND(J$12&gt;=$F119,J$12&lt;=$G119)</formula>
    </cfRule>
  </conditionalFormatting>
  <conditionalFormatting sqref="J120:CT120 GI120">
    <cfRule type="expression" dxfId="30" priority="30" stopIfTrue="1">
      <formula>AND(J$12&gt;=$F120,J$12&lt;=$G120)</formula>
    </cfRule>
  </conditionalFormatting>
  <conditionalFormatting sqref="CU119:DW119">
    <cfRule type="expression" dxfId="29" priority="27" stopIfTrue="1">
      <formula>AND(CU$12&gt;=$F119,CU$12&lt;=$G119)</formula>
    </cfRule>
  </conditionalFormatting>
  <conditionalFormatting sqref="CU120:DW120">
    <cfRule type="expression" dxfId="28" priority="28" stopIfTrue="1">
      <formula>AND(CU$12&gt;=$F120,CU$12&lt;=$G120)</formula>
    </cfRule>
  </conditionalFormatting>
  <conditionalFormatting sqref="DX119:FB119">
    <cfRule type="expression" dxfId="27" priority="25" stopIfTrue="1">
      <formula>AND(DX$12&gt;=$F119,DX$12&lt;=$G119)</formula>
    </cfRule>
  </conditionalFormatting>
  <conditionalFormatting sqref="DX120:FB120">
    <cfRule type="expression" dxfId="26" priority="26" stopIfTrue="1">
      <formula>AND(DX$12&gt;=$F120,DX$12&lt;=$G120)</formula>
    </cfRule>
  </conditionalFormatting>
  <conditionalFormatting sqref="FC119:GB119 GF119:GH119">
    <cfRule type="expression" dxfId="25" priority="23" stopIfTrue="1">
      <formula>AND(FC$12&gt;=$F119,FC$12&lt;=$G119)</formula>
    </cfRule>
  </conditionalFormatting>
  <conditionalFormatting sqref="FC120:GB120 GF120:GH120">
    <cfRule type="expression" dxfId="24" priority="24" stopIfTrue="1">
      <formula>AND(FC$12&gt;=$F120,FC$12&lt;=$G120)</formula>
    </cfRule>
  </conditionalFormatting>
  <conditionalFormatting sqref="GC119:GE119">
    <cfRule type="expression" dxfId="23" priority="21" stopIfTrue="1">
      <formula>AND(GC$12&gt;=$F119,GC$12&lt;=$G119)</formula>
    </cfRule>
  </conditionalFormatting>
  <conditionalFormatting sqref="GC120:GE120">
    <cfRule type="expression" dxfId="22" priority="22" stopIfTrue="1">
      <formula>AND(GC$12&gt;=$F120,GC$12&lt;=$G120)</formula>
    </cfRule>
  </conditionalFormatting>
  <conditionalFormatting sqref="J121:CT121 GI121">
    <cfRule type="expression" dxfId="21" priority="19" stopIfTrue="1">
      <formula>AND(J$12&gt;=$F121,J$12&lt;=$G121)</formula>
    </cfRule>
  </conditionalFormatting>
  <conditionalFormatting sqref="J122:CT122 GI122">
    <cfRule type="expression" dxfId="20" priority="20" stopIfTrue="1">
      <formula>AND(J$12&gt;=$F122,J$12&lt;=$G122)</formula>
    </cfRule>
  </conditionalFormatting>
  <conditionalFormatting sqref="CU121:DW121">
    <cfRule type="expression" dxfId="19" priority="17" stopIfTrue="1">
      <formula>AND(CU$12&gt;=$F121,CU$12&lt;=$G121)</formula>
    </cfRule>
  </conditionalFormatting>
  <conditionalFormatting sqref="CU122:DW122">
    <cfRule type="expression" dxfId="18" priority="18" stopIfTrue="1">
      <formula>AND(CU$12&gt;=$F122,CU$12&lt;=$G122)</formula>
    </cfRule>
  </conditionalFormatting>
  <conditionalFormatting sqref="DX121:FB121">
    <cfRule type="expression" dxfId="17" priority="15" stopIfTrue="1">
      <formula>AND(DX$12&gt;=$F121,DX$12&lt;=$G121)</formula>
    </cfRule>
  </conditionalFormatting>
  <conditionalFormatting sqref="DX122:FB122">
    <cfRule type="expression" dxfId="16" priority="16" stopIfTrue="1">
      <formula>AND(DX$12&gt;=$F122,DX$12&lt;=$G122)</formula>
    </cfRule>
  </conditionalFormatting>
  <conditionalFormatting sqref="FC121:GB121 GF121:GH121">
    <cfRule type="expression" dxfId="15" priority="13" stopIfTrue="1">
      <formula>AND(FC$12&gt;=$F121,FC$12&lt;=$G121)</formula>
    </cfRule>
  </conditionalFormatting>
  <conditionalFormatting sqref="FC122:GB122 GF122:GH122">
    <cfRule type="expression" dxfId="14" priority="14" stopIfTrue="1">
      <formula>AND(FC$12&gt;=$F122,FC$12&lt;=$G122)</formula>
    </cfRule>
  </conditionalFormatting>
  <conditionalFormatting sqref="GC121:GE121">
    <cfRule type="expression" dxfId="13" priority="11" stopIfTrue="1">
      <formula>AND(GC$12&gt;=$F121,GC$12&lt;=$G121)</formula>
    </cfRule>
  </conditionalFormatting>
  <conditionalFormatting sqref="GC122:GE122">
    <cfRule type="expression" dxfId="12" priority="12" stopIfTrue="1">
      <formula>AND(GC$12&gt;=$F122,GC$12&lt;=$G122)</formula>
    </cfRule>
  </conditionalFormatting>
  <conditionalFormatting sqref="J123:CT123 GI123">
    <cfRule type="expression" dxfId="11" priority="9" stopIfTrue="1">
      <formula>AND(J$12&gt;=$F123,J$12&lt;=$G123)</formula>
    </cfRule>
  </conditionalFormatting>
  <conditionalFormatting sqref="J124:CT124 GI124">
    <cfRule type="expression" dxfId="10" priority="10" stopIfTrue="1">
      <formula>AND(J$12&gt;=$F124,J$12&lt;=$G124)</formula>
    </cfRule>
  </conditionalFormatting>
  <conditionalFormatting sqref="CU123:DW123">
    <cfRule type="expression" dxfId="9" priority="7" stopIfTrue="1">
      <formula>AND(CU$12&gt;=$F123,CU$12&lt;=$G123)</formula>
    </cfRule>
  </conditionalFormatting>
  <conditionalFormatting sqref="CU124:DW124">
    <cfRule type="expression" dxfId="8" priority="8" stopIfTrue="1">
      <formula>AND(CU$12&gt;=$F124,CU$12&lt;=$G124)</formula>
    </cfRule>
  </conditionalFormatting>
  <conditionalFormatting sqref="DX123:FB123">
    <cfRule type="expression" dxfId="7" priority="5" stopIfTrue="1">
      <formula>AND(DX$12&gt;=$F123,DX$12&lt;=$G123)</formula>
    </cfRule>
  </conditionalFormatting>
  <conditionalFormatting sqref="DX124:FB124">
    <cfRule type="expression" dxfId="6" priority="6" stopIfTrue="1">
      <formula>AND(DX$12&gt;=$F124,DX$12&lt;=$G124)</formula>
    </cfRule>
  </conditionalFormatting>
  <conditionalFormatting sqref="FC123:GB123 GF123:GH123">
    <cfRule type="expression" dxfId="5" priority="3" stopIfTrue="1">
      <formula>AND(FC$12&gt;=$F123,FC$12&lt;=$G123)</formula>
    </cfRule>
  </conditionalFormatting>
  <conditionalFormatting sqref="FC124:GB124 GF124:GH124">
    <cfRule type="expression" dxfId="4" priority="4" stopIfTrue="1">
      <formula>AND(FC$12&gt;=$F124,FC$12&lt;=$G124)</formula>
    </cfRule>
  </conditionalFormatting>
  <conditionalFormatting sqref="GC123:GE123">
    <cfRule type="expression" dxfId="3" priority="1" stopIfTrue="1">
      <formula>AND(GC$12&gt;=$F123,GC$12&lt;=$G123)</formula>
    </cfRule>
  </conditionalFormatting>
  <conditionalFormatting sqref="GC124:GE124">
    <cfRule type="expression" dxfId="2" priority="2" stopIfTrue="1">
      <formula>AND(GC$12&gt;=$F124,GC$12&lt;=$G124)</formula>
    </cfRule>
  </conditionalFormatting>
  <dataValidations count="9">
    <dataValidation type="date" imeMode="off" operator="greaterThanOrEqual" allowBlank="1" showInputMessage="1" showErrorMessage="1" sqref="G13:G124">
      <formula1>F13</formula1>
    </dataValidation>
    <dataValidation type="date" imeMode="off" allowBlank="1" showInputMessage="1" showErrorMessage="1" sqref="F13:F124">
      <formula1>$J$12</formula1>
      <formula2>$GI$12</formula2>
    </dataValidation>
    <dataValidation type="date" errorStyle="warning" imeMode="off" operator="greaterThanOrEqual" allowBlank="1" showInputMessage="1" showErrorMessage="1" prompt="管理開始日を入力してください" sqref="C5">
      <formula1>TODAY()</formula1>
    </dataValidation>
    <dataValidation allowBlank="1" showErrorMessage="1" sqref="C11:F11 E3:F4 D3:D6 C6 C3"/>
    <dataValidation type="list" allowBlank="1" showInputMessage="1" showErrorMessage="1" sqref="B19 B123 B117 B119 B49 B53 B51 B55 B45 B47 B37 B41 B39 B43 B33 B35 B25 B29 B27 B31 B21 B23 B13 B17 B15 B121 B109 B113 B111 B115 B105 B107 B97 B101 B99 B103 B93 B95 B85 B89 B87 B91 B81 B83 B73 B77 B75 B79 B69 B71 B61 B65 B63 B67 B57 B59">
      <formula1>分類名</formula1>
    </dataValidation>
    <dataValidation type="list" allowBlank="1" showInputMessage="1" showErrorMessage="1" sqref="D13 D123 D117 D119 D55 D53 D51 D49 D47 D45 D43 D41 D39 D37 D35 D33 D31 D29 D27 D25 D23 D21 D19 D17 D15 D121 D115 D113 D111 D109 D107 D105 D103 D101 D99 D97 D95 D93 D91 D89 D87 D85 D83 D81 D79 D77 D75 D73 D71 D69 D67 D65 D63 D61 D59 D57">
      <formula1>担当名</formula1>
    </dataValidation>
    <dataValidation type="date" errorStyle="warning" imeMode="disabled" operator="greaterThanOrEqual" allowBlank="1" showInputMessage="1" showErrorMessage="1" error="管理開始日を確認してください。" sqref="C4">
      <formula1>TODAY()-180</formula1>
    </dataValidation>
    <dataValidation imeMode="hiragana" allowBlank="1" showInputMessage="1" showErrorMessage="1" sqref="C13 C117 C119 C55 C53 C51 C49 C47 C45 C43 C41 C39 C37 C35 C33 C31 C29 C27 C25 C23 C21 C19 C17 C15 C1 C121 C123 C115 C113 C111 C109 C107 C105 C103 C101 C99 C97 C95 C93 C91 C89 C87 C85 C83 C81 C79 C77 C75 C73 C71 C69 C67 C65 C63 C61 C59 C57"/>
    <dataValidation type="list" imeMode="hiragana" allowBlank="1" showInputMessage="1" sqref="B1">
      <formula1>タイトルリスト</formula1>
    </dataValidation>
  </dataValidations>
  <pageMargins left="0.78740157480314965" right="0.78740157480314965" top="0.78740157480314965" bottom="0.78740157480314965" header="0.51181102362204722" footer="0.51181102362204722"/>
  <pageSetup paperSize="8" scale="45" orientation="landscape" horizontalDpi="4294967293" r:id="rId1"/>
  <headerFooter alignWithMargins="0"/>
  <colBreaks count="1" manualBreakCount="1">
    <brk id="68" max="1048575" man="1"/>
  </colBreak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G15"/>
  <sheetViews>
    <sheetView showGridLines="0" workbookViewId="0">
      <selection activeCell="B6" sqref="B6"/>
    </sheetView>
  </sheetViews>
  <sheetFormatPr defaultRowHeight="13.5" x14ac:dyDescent="0.15"/>
  <cols>
    <col min="1" max="1" width="5.75" customWidth="1"/>
    <col min="2" max="2" width="15.125" customWidth="1"/>
    <col min="4" max="4" width="16.375" customWidth="1"/>
    <col min="6" max="6" width="15.5" style="118" bestFit="1" customWidth="1"/>
  </cols>
  <sheetData>
    <row r="1" spans="2:7" x14ac:dyDescent="0.15">
      <c r="F1"/>
    </row>
    <row r="2" spans="2:7" x14ac:dyDescent="0.15">
      <c r="F2"/>
    </row>
    <row r="3" spans="2:7" x14ac:dyDescent="0.15">
      <c r="F3"/>
    </row>
    <row r="4" spans="2:7" x14ac:dyDescent="0.15">
      <c r="F4"/>
    </row>
    <row r="5" spans="2:7" x14ac:dyDescent="0.15">
      <c r="B5" s="107" t="s">
        <v>2</v>
      </c>
      <c r="D5" s="69" t="s">
        <v>15</v>
      </c>
      <c r="F5" s="69" t="s">
        <v>78</v>
      </c>
      <c r="G5" s="119">
        <f ca="1">MATCH(工程管理表!B1,タイトルリスト,0)</f>
        <v>1</v>
      </c>
    </row>
    <row r="6" spans="2:7" x14ac:dyDescent="0.15">
      <c r="B6" s="71"/>
      <c r="D6" s="71"/>
      <c r="F6" s="72" t="s">
        <v>68</v>
      </c>
    </row>
    <row r="7" spans="2:7" x14ac:dyDescent="0.15">
      <c r="B7" s="71"/>
      <c r="D7" s="71"/>
      <c r="F7" s="116" t="s">
        <v>116</v>
      </c>
    </row>
    <row r="8" spans="2:7" x14ac:dyDescent="0.15">
      <c r="B8" s="71"/>
      <c r="D8" s="71"/>
      <c r="F8" s="116"/>
    </row>
    <row r="9" spans="2:7" x14ac:dyDescent="0.15">
      <c r="B9" s="71"/>
      <c r="D9" s="71"/>
      <c r="F9" s="116"/>
    </row>
    <row r="10" spans="2:7" x14ac:dyDescent="0.15">
      <c r="B10" s="71"/>
      <c r="D10" s="71"/>
      <c r="F10" s="116"/>
    </row>
    <row r="11" spans="2:7" x14ac:dyDescent="0.15">
      <c r="B11" s="71"/>
      <c r="D11" s="71"/>
    </row>
    <row r="12" spans="2:7" x14ac:dyDescent="0.15">
      <c r="B12" s="71"/>
      <c r="D12" s="71"/>
    </row>
    <row r="13" spans="2:7" x14ac:dyDescent="0.15">
      <c r="B13" s="71"/>
      <c r="D13" s="71"/>
    </row>
    <row r="14" spans="2:7" x14ac:dyDescent="0.15">
      <c r="B14" s="71"/>
      <c r="D14" s="71"/>
    </row>
    <row r="15" spans="2:7" x14ac:dyDescent="0.15">
      <c r="B15" s="72"/>
      <c r="D15" s="72"/>
    </row>
  </sheetData>
  <sheetProtection selectLockedCells="1"/>
  <phoneticPr fontId="2"/>
  <conditionalFormatting sqref="F6:F65536">
    <cfRule type="expression" dxfId="1" priority="1" stopIfTrue="1">
      <formula>AND(F6&lt;&gt;"",F7="")</formula>
    </cfRule>
    <cfRule type="expression" dxfId="0" priority="2" stopIfTrue="1">
      <formula>F6&lt;&gt;""</formula>
    </cfRule>
  </conditionalFormatting>
  <dataValidations count="1">
    <dataValidation imeMode="hiragana" allowBlank="1" showInputMessage="1" showErrorMessage="1" sqref="D6:D15 B5:B15 F6:F65536"/>
  </dataValidations>
  <pageMargins left="0.75" right="0.75" top="1" bottom="1" header="0.51200000000000001" footer="0.51200000000000001"/>
  <pageSetup paperSize="9"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autoPageBreaks="0"/>
  </sheetPr>
  <dimension ref="A1:K28"/>
  <sheetViews>
    <sheetView showGridLines="0" workbookViewId="0"/>
  </sheetViews>
  <sheetFormatPr defaultRowHeight="13.5" x14ac:dyDescent="0.15"/>
  <cols>
    <col min="1" max="1" width="9" style="93"/>
    <col min="2" max="2" width="21.5" style="73" bestFit="1" customWidth="1"/>
    <col min="3" max="3" width="3.375" style="94" bestFit="1" customWidth="1"/>
    <col min="4" max="10" width="9" style="73"/>
    <col min="11" max="11" width="6.25" style="95" customWidth="1"/>
    <col min="12" max="16384" width="9" style="73"/>
  </cols>
  <sheetData>
    <row r="1" spans="1:4" x14ac:dyDescent="0.15">
      <c r="A1" s="93" t="s">
        <v>21</v>
      </c>
    </row>
    <row r="2" spans="1:4" x14ac:dyDescent="0.15">
      <c r="B2" s="96" t="s">
        <v>22</v>
      </c>
      <c r="C2" s="97" t="s">
        <v>23</v>
      </c>
      <c r="D2" s="96" t="s">
        <v>24</v>
      </c>
    </row>
    <row r="3" spans="1:4" x14ac:dyDescent="0.15">
      <c r="B3" s="98"/>
      <c r="C3" s="97" t="s">
        <v>25</v>
      </c>
      <c r="D3" s="96" t="s">
        <v>26</v>
      </c>
    </row>
    <row r="4" spans="1:4" x14ac:dyDescent="0.15">
      <c r="B4" s="98"/>
      <c r="C4" s="97"/>
      <c r="D4" s="98"/>
    </row>
    <row r="5" spans="1:4" x14ac:dyDescent="0.15">
      <c r="B5" s="96" t="s">
        <v>79</v>
      </c>
      <c r="C5" s="97" t="s">
        <v>27</v>
      </c>
      <c r="D5" s="96" t="s">
        <v>110</v>
      </c>
    </row>
    <row r="6" spans="1:4" x14ac:dyDescent="0.15">
      <c r="B6" s="96"/>
      <c r="C6" s="120" t="s">
        <v>80</v>
      </c>
      <c r="D6" s="96" t="s">
        <v>81</v>
      </c>
    </row>
    <row r="7" spans="1:4" ht="12.75" customHeight="1" x14ac:dyDescent="0.15">
      <c r="D7" s="101" t="s">
        <v>99</v>
      </c>
    </row>
    <row r="9" spans="1:4" x14ac:dyDescent="0.15">
      <c r="B9" s="101" t="s">
        <v>82</v>
      </c>
      <c r="C9" s="94" t="s">
        <v>28</v>
      </c>
      <c r="D9" s="101" t="s">
        <v>83</v>
      </c>
    </row>
    <row r="11" spans="1:4" x14ac:dyDescent="0.15">
      <c r="A11" s="93" t="s">
        <v>84</v>
      </c>
    </row>
    <row r="12" spans="1:4" x14ac:dyDescent="0.15">
      <c r="B12" s="96" t="s">
        <v>85</v>
      </c>
      <c r="C12" s="97" t="s">
        <v>29</v>
      </c>
      <c r="D12" s="96" t="s">
        <v>86</v>
      </c>
    </row>
    <row r="13" spans="1:4" x14ac:dyDescent="0.15">
      <c r="C13" s="97" t="s">
        <v>30</v>
      </c>
      <c r="D13" s="96" t="s">
        <v>87</v>
      </c>
    </row>
    <row r="14" spans="1:4" x14ac:dyDescent="0.15">
      <c r="C14" s="97"/>
      <c r="D14" s="98"/>
    </row>
    <row r="15" spans="1:4" hidden="1" x14ac:dyDescent="0.15">
      <c r="B15" s="73" t="s">
        <v>31</v>
      </c>
      <c r="C15" s="99" t="s">
        <v>32</v>
      </c>
      <c r="D15" s="100" t="s">
        <v>33</v>
      </c>
    </row>
    <row r="16" spans="1:4" hidden="1" x14ac:dyDescent="0.15">
      <c r="C16" s="97"/>
      <c r="D16" s="98"/>
    </row>
    <row r="17" spans="2:10" x14ac:dyDescent="0.15">
      <c r="B17" s="96" t="s">
        <v>88</v>
      </c>
      <c r="C17" s="97" t="s">
        <v>34</v>
      </c>
      <c r="D17" s="96" t="s">
        <v>89</v>
      </c>
      <c r="J17" s="101" t="s">
        <v>100</v>
      </c>
    </row>
    <row r="18" spans="2:10" x14ac:dyDescent="0.15">
      <c r="B18" s="96"/>
      <c r="C18" s="99"/>
      <c r="D18" s="96"/>
    </row>
    <row r="19" spans="2:10" x14ac:dyDescent="0.15">
      <c r="B19" s="96" t="s">
        <v>62</v>
      </c>
      <c r="C19" s="99" t="s">
        <v>90</v>
      </c>
      <c r="D19" s="96" t="s">
        <v>91</v>
      </c>
      <c r="J19" s="101" t="s">
        <v>101</v>
      </c>
    </row>
    <row r="20" spans="2:10" x14ac:dyDescent="0.15">
      <c r="B20" s="96"/>
      <c r="D20" s="101" t="s">
        <v>92</v>
      </c>
    </row>
    <row r="21" spans="2:10" x14ac:dyDescent="0.15">
      <c r="B21" s="96" t="s">
        <v>93</v>
      </c>
      <c r="C21" s="121" t="s">
        <v>90</v>
      </c>
      <c r="D21" s="96" t="s">
        <v>94</v>
      </c>
      <c r="J21" s="101" t="s">
        <v>102</v>
      </c>
    </row>
    <row r="22" spans="2:10" x14ac:dyDescent="0.15">
      <c r="B22" s="96"/>
      <c r="C22" s="99"/>
      <c r="D22" s="96"/>
    </row>
    <row r="23" spans="2:10" x14ac:dyDescent="0.15">
      <c r="B23" s="96" t="s">
        <v>95</v>
      </c>
      <c r="C23" s="99" t="s">
        <v>90</v>
      </c>
      <c r="D23" s="96" t="s">
        <v>96</v>
      </c>
      <c r="J23" s="101" t="s">
        <v>103</v>
      </c>
    </row>
    <row r="24" spans="2:10" x14ac:dyDescent="0.15">
      <c r="B24" s="96"/>
      <c r="C24" s="99"/>
      <c r="D24" s="101" t="s">
        <v>97</v>
      </c>
    </row>
    <row r="25" spans="2:10" x14ac:dyDescent="0.15">
      <c r="B25" s="96"/>
      <c r="C25" s="99"/>
      <c r="D25" s="101" t="s">
        <v>98</v>
      </c>
    </row>
    <row r="26" spans="2:10" x14ac:dyDescent="0.15">
      <c r="B26" s="96" t="s">
        <v>105</v>
      </c>
      <c r="C26" s="99" t="s">
        <v>104</v>
      </c>
      <c r="D26" s="101" t="s">
        <v>106</v>
      </c>
    </row>
    <row r="27" spans="2:10" x14ac:dyDescent="0.15">
      <c r="B27" s="96"/>
      <c r="C27" s="99"/>
      <c r="D27" s="101" t="s">
        <v>108</v>
      </c>
      <c r="J27" s="101" t="s">
        <v>107</v>
      </c>
    </row>
    <row r="28" spans="2:10" x14ac:dyDescent="0.15">
      <c r="B28" s="96"/>
      <c r="C28" s="99"/>
      <c r="D28" s="101"/>
      <c r="J28" s="101"/>
    </row>
  </sheetData>
  <phoneticPr fontId="2"/>
  <printOptions horizontalCentered="1"/>
  <pageMargins left="0.78740157480314965" right="0.78740157480314965" top="0.59055118110236227" bottom="0.59055118110236227" header="0.51181102362204722" footer="0.51181102362204722"/>
  <pageSetup paperSize="9" orientation="landscape"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autoPageBreaks="0"/>
  </sheetPr>
  <dimension ref="A1:L35"/>
  <sheetViews>
    <sheetView showGridLines="0" zoomScaleNormal="100" workbookViewId="0"/>
  </sheetViews>
  <sheetFormatPr defaultRowHeight="13.5" x14ac:dyDescent="0.15"/>
  <cols>
    <col min="1" max="1" width="11.875" style="98" customWidth="1"/>
    <col min="2" max="9" width="9" style="98"/>
    <col min="10" max="10" width="4.25" style="98" customWidth="1"/>
    <col min="11" max="16384" width="9" style="98"/>
  </cols>
  <sheetData>
    <row r="1" spans="1:12" x14ac:dyDescent="0.15">
      <c r="A1" s="102" t="s">
        <v>36</v>
      </c>
    </row>
    <row r="3" spans="1:12" x14ac:dyDescent="0.15">
      <c r="A3" s="103" t="s">
        <v>37</v>
      </c>
      <c r="K3" s="103" t="s">
        <v>38</v>
      </c>
    </row>
    <row r="4" spans="1:12" x14ac:dyDescent="0.15">
      <c r="A4" s="98" t="s">
        <v>39</v>
      </c>
      <c r="K4" s="98" t="s">
        <v>39</v>
      </c>
    </row>
    <row r="5" spans="1:12" x14ac:dyDescent="0.15">
      <c r="A5" s="104" t="s">
        <v>23</v>
      </c>
      <c r="B5" s="98" t="s">
        <v>40</v>
      </c>
      <c r="K5" s="104" t="s">
        <v>23</v>
      </c>
      <c r="L5" s="98" t="s">
        <v>41</v>
      </c>
    </row>
    <row r="6" spans="1:12" x14ac:dyDescent="0.15">
      <c r="A6" s="104" t="s">
        <v>25</v>
      </c>
      <c r="B6" s="98" t="s">
        <v>42</v>
      </c>
      <c r="K6" s="104" t="s">
        <v>35</v>
      </c>
      <c r="L6" s="98" t="s">
        <v>43</v>
      </c>
    </row>
    <row r="7" spans="1:12" x14ac:dyDescent="0.15">
      <c r="K7" s="104" t="s">
        <v>44</v>
      </c>
      <c r="L7" s="98" t="s">
        <v>45</v>
      </c>
    </row>
    <row r="8" spans="1:12" x14ac:dyDescent="0.15">
      <c r="K8" s="104" t="s">
        <v>46</v>
      </c>
      <c r="L8" s="98" t="s">
        <v>47</v>
      </c>
    </row>
    <row r="9" spans="1:12" x14ac:dyDescent="0.15">
      <c r="K9" s="104" t="s">
        <v>48</v>
      </c>
      <c r="L9" s="98" t="s">
        <v>49</v>
      </c>
    </row>
    <row r="28" spans="1:12" x14ac:dyDescent="0.15">
      <c r="A28" s="98" t="s">
        <v>50</v>
      </c>
      <c r="K28" s="98" t="s">
        <v>50</v>
      </c>
    </row>
    <row r="29" spans="1:12" x14ac:dyDescent="0.15">
      <c r="A29" s="104" t="s">
        <v>51</v>
      </c>
      <c r="B29" s="98" t="s">
        <v>52</v>
      </c>
      <c r="K29" s="104" t="s">
        <v>53</v>
      </c>
      <c r="L29" s="98" t="s">
        <v>54</v>
      </c>
    </row>
    <row r="30" spans="1:12" x14ac:dyDescent="0.15">
      <c r="A30" s="104" t="s">
        <v>55</v>
      </c>
      <c r="B30" s="98" t="s">
        <v>56</v>
      </c>
    </row>
    <row r="35" spans="11:12" x14ac:dyDescent="0.15">
      <c r="K35" s="104" t="s">
        <v>57</v>
      </c>
      <c r="L35" s="98" t="s">
        <v>58</v>
      </c>
    </row>
  </sheetData>
  <phoneticPr fontId="2"/>
  <printOptions horizontalCentered="1"/>
  <pageMargins left="0.59055118110236227" right="0.59055118110236227" top="0.59055118110236227" bottom="0.59055118110236227" header="0.51181102362204722" footer="0.51181102362204722"/>
  <pageSetup paperSize="9"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2</vt:i4>
      </vt:variant>
    </vt:vector>
  </HeadingPairs>
  <TitlesOfParts>
    <vt:vector size="8" baseType="lpstr">
      <vt:lpstr>システム概要</vt:lpstr>
      <vt:lpstr>メニュー</vt:lpstr>
      <vt:lpstr>工程管理表</vt:lpstr>
      <vt:lpstr>マスタ</vt:lpstr>
      <vt:lpstr>操作説明</vt:lpstr>
      <vt:lpstr>マクロに関する設定について</vt:lpstr>
      <vt:lpstr>工程管理表!Print_Titles</vt:lpstr>
      <vt:lpstr>分類タイトル</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hal</dc:creator>
  <cp:lastModifiedBy>FJ-USER</cp:lastModifiedBy>
  <cp:lastPrinted>2017-04-12T12:43:02Z</cp:lastPrinted>
  <dcterms:created xsi:type="dcterms:W3CDTF">2008-08-28T03:42:10Z</dcterms:created>
  <dcterms:modified xsi:type="dcterms:W3CDTF">2017-04-12T12:56:27Z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094adece-ed96-413c-8c4e-c260ad31e346</vt:lpwstr>
  </property>
</Properties>
</file>