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5" windowWidth="10995" windowHeight="8070" tabRatio="700" activeTab="2"/>
  </bookViews>
  <sheets>
    <sheet name="システム概要" sheetId="22" r:id="rId1"/>
    <sheet name="メニュー" sheetId="25" r:id="rId2"/>
    <sheet name="工程管理表" sheetId="20" r:id="rId3"/>
    <sheet name="マスタ" sheetId="21" r:id="rId4"/>
    <sheet name="操作説明" sheetId="23" r:id="rId5"/>
    <sheet name="マクロに関する設定について" sheetId="24" r:id="rId6"/>
  </sheets>
  <definedNames>
    <definedName name="_xlnm.Print_Titles" localSheetId="2">工程管理表!$A:$D,工程管理表!$12:$12</definedName>
    <definedName name="タイトルリスト">OFFSET(マスタ!$F$5,1,0,COUNTA(マスタ!$F:$F)-1,1)</definedName>
    <definedName name="担当名">OFFSET(マスタ!$D$5,1,0,COUNTA(マスタ!$D:$D)-1,1)</definedName>
    <definedName name="分類タイトル">マスタ!$B$5</definedName>
    <definedName name="分類名">OFFSET(マスタ!$B$5,1,0,COUNTA(マスタ!$B:$B)-1,1)</definedName>
  </definedNames>
  <calcPr calcId="145621"/>
</workbook>
</file>

<file path=xl/calcChain.xml><?xml version="1.0" encoding="utf-8"?>
<calcChain xmlns="http://schemas.openxmlformats.org/spreadsheetml/2006/main">
  <c r="B58" i="20" l="1"/>
  <c r="B60" i="20"/>
  <c r="B62" i="20"/>
  <c r="B64" i="20"/>
  <c r="B66" i="20"/>
  <c r="B68" i="20"/>
  <c r="B70" i="20"/>
  <c r="B72" i="20"/>
  <c r="B74" i="20"/>
  <c r="B76" i="20"/>
  <c r="B78" i="20"/>
  <c r="B80" i="20"/>
  <c r="B82" i="20"/>
  <c r="B84" i="20"/>
  <c r="B86" i="20"/>
  <c r="B88" i="20"/>
  <c r="B90" i="20"/>
  <c r="B92" i="20"/>
  <c r="B94" i="20"/>
  <c r="B96" i="20"/>
  <c r="B98" i="20"/>
  <c r="B100" i="20"/>
  <c r="B102" i="20"/>
  <c r="B104" i="20"/>
  <c r="B106" i="20"/>
  <c r="B108" i="20"/>
  <c r="B110" i="20"/>
  <c r="B112" i="20"/>
  <c r="B114" i="20"/>
  <c r="B116" i="20"/>
  <c r="C58" i="20"/>
  <c r="D58" i="20"/>
  <c r="C60" i="20"/>
  <c r="D60" i="20"/>
  <c r="C62" i="20"/>
  <c r="D62" i="20"/>
  <c r="C64" i="20"/>
  <c r="D64" i="20"/>
  <c r="C66" i="20"/>
  <c r="D66" i="20"/>
  <c r="C68" i="20"/>
  <c r="D68" i="20"/>
  <c r="C70" i="20"/>
  <c r="D70" i="20"/>
  <c r="C72" i="20"/>
  <c r="D72" i="20"/>
  <c r="C74" i="20"/>
  <c r="D74" i="20"/>
  <c r="C76" i="20"/>
  <c r="D76" i="20"/>
  <c r="C78" i="20"/>
  <c r="D78" i="20"/>
  <c r="C80" i="20"/>
  <c r="D80" i="20"/>
  <c r="C82" i="20"/>
  <c r="D82" i="20"/>
  <c r="C84" i="20"/>
  <c r="D84" i="20"/>
  <c r="C86" i="20"/>
  <c r="D86" i="20"/>
  <c r="C88" i="20"/>
  <c r="D88" i="20"/>
  <c r="C90" i="20"/>
  <c r="D90" i="20"/>
  <c r="C92" i="20"/>
  <c r="D92" i="20"/>
  <c r="C94" i="20"/>
  <c r="D94" i="20"/>
  <c r="C96" i="20"/>
  <c r="D96" i="20"/>
  <c r="C98" i="20"/>
  <c r="D98" i="20"/>
  <c r="C100" i="20"/>
  <c r="D100" i="20"/>
  <c r="C102" i="20"/>
  <c r="D102" i="20"/>
  <c r="C104" i="20"/>
  <c r="D104" i="20"/>
  <c r="C106" i="20"/>
  <c r="D106" i="20"/>
  <c r="C108" i="20"/>
  <c r="D108" i="20"/>
  <c r="C110" i="20"/>
  <c r="D110" i="20"/>
  <c r="C112" i="20"/>
  <c r="D112" i="20"/>
  <c r="C114" i="20"/>
  <c r="D114" i="20"/>
  <c r="C116" i="20"/>
  <c r="D116" i="20"/>
  <c r="I124" i="20"/>
  <c r="D124" i="20"/>
  <c r="C124" i="20"/>
  <c r="B124" i="20"/>
  <c r="I122" i="20"/>
  <c r="D122" i="20"/>
  <c r="C122" i="20"/>
  <c r="B122" i="20"/>
  <c r="I120" i="20"/>
  <c r="D120" i="20"/>
  <c r="C120" i="20"/>
  <c r="B120" i="20"/>
  <c r="I118" i="20"/>
  <c r="D118" i="20"/>
  <c r="C118" i="20"/>
  <c r="B118" i="20"/>
  <c r="I116" i="20"/>
  <c r="I114" i="20"/>
  <c r="H17" i="20"/>
  <c r="H18" i="20"/>
  <c r="H19" i="20"/>
  <c r="H20" i="20"/>
  <c r="H21" i="20"/>
  <c r="H22" i="20"/>
  <c r="H23" i="20"/>
  <c r="H24" i="20"/>
  <c r="H25"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6" i="20"/>
  <c r="H15" i="20"/>
  <c r="H14" i="20"/>
  <c r="H13" i="20"/>
  <c r="G5" i="21"/>
  <c r="B12" i="20"/>
  <c r="J12" i="20"/>
  <c r="K12" i="20"/>
  <c r="L12" i="20"/>
  <c r="M12" i="20" s="1"/>
  <c r="N12" i="20" s="1"/>
  <c r="O12" i="20" s="1"/>
  <c r="P12" i="20" s="1"/>
  <c r="Q12" i="20" s="1"/>
  <c r="R12" i="20" s="1"/>
  <c r="S12" i="20" s="1"/>
  <c r="T12" i="20" s="1"/>
  <c r="U12" i="20" s="1"/>
  <c r="V12" i="20" s="1"/>
  <c r="W12" i="20" s="1"/>
  <c r="X12" i="20" s="1"/>
  <c r="Y12" i="20" s="1"/>
  <c r="Z12" i="20" s="1"/>
  <c r="AA12" i="20" s="1"/>
  <c r="AB12" i="20" s="1"/>
  <c r="AC12" i="20" s="1"/>
  <c r="AD12" i="20" s="1"/>
  <c r="AE12" i="20" s="1"/>
  <c r="AF12" i="20" s="1"/>
  <c r="AG12" i="20" s="1"/>
  <c r="AH12" i="20" s="1"/>
  <c r="AI12" i="20" s="1"/>
  <c r="AJ12" i="20" s="1"/>
  <c r="AK12" i="20" s="1"/>
  <c r="AL12" i="20" s="1"/>
  <c r="AM12" i="20" s="1"/>
  <c r="AN12" i="20" s="1"/>
  <c r="AO12" i="20" s="1"/>
  <c r="AP12" i="20" s="1"/>
  <c r="AQ12" i="20" s="1"/>
  <c r="AR12" i="20" s="1"/>
  <c r="AS12" i="20" s="1"/>
  <c r="AT12" i="20" s="1"/>
  <c r="AU12" i="20" s="1"/>
  <c r="AV12" i="20" s="1"/>
  <c r="AW12" i="20" s="1"/>
  <c r="AX12" i="20" s="1"/>
  <c r="AY12" i="20" s="1"/>
  <c r="AZ12" i="20" s="1"/>
  <c r="BA12" i="20" s="1"/>
  <c r="BB12" i="20" s="1"/>
  <c r="BC12" i="20" s="1"/>
  <c r="BD12" i="20" s="1"/>
  <c r="BE12" i="20" s="1"/>
  <c r="BF12" i="20" s="1"/>
  <c r="BG12" i="20" s="1"/>
  <c r="BH12" i="20" s="1"/>
  <c r="BI12" i="20" s="1"/>
  <c r="BJ12" i="20" s="1"/>
  <c r="BK12" i="20" s="1"/>
  <c r="BL12" i="20" s="1"/>
  <c r="BM12" i="20" s="1"/>
  <c r="BN12" i="20" s="1"/>
  <c r="BO12" i="20" s="1"/>
  <c r="BP12" i="20" s="1"/>
  <c r="BQ12" i="20" s="1"/>
  <c r="BR12" i="20" s="1"/>
  <c r="BS12" i="20" s="1"/>
  <c r="BT12" i="20" s="1"/>
  <c r="BU12" i="20" s="1"/>
  <c r="BV12" i="20" s="1"/>
  <c r="BW12" i="20" s="1"/>
  <c r="BX12" i="20" s="1"/>
  <c r="BY12" i="20" s="1"/>
  <c r="BZ12" i="20" s="1"/>
  <c r="CA12" i="20" s="1"/>
  <c r="CB12" i="20" s="1"/>
  <c r="CC12" i="20" s="1"/>
  <c r="CD12" i="20" s="1"/>
  <c r="CE12" i="20" s="1"/>
  <c r="CF12" i="20" s="1"/>
  <c r="CG12" i="20" s="1"/>
  <c r="CH12" i="20" s="1"/>
  <c r="CI12" i="20" s="1"/>
  <c r="CJ12" i="20" s="1"/>
  <c r="CK12" i="20" s="1"/>
  <c r="CL12" i="20" s="1"/>
  <c r="CM12" i="20" s="1"/>
  <c r="CN12" i="20" s="1"/>
  <c r="CO12" i="20" s="1"/>
  <c r="CP12" i="20" s="1"/>
  <c r="CQ12" i="20" s="1"/>
  <c r="CR12" i="20" s="1"/>
  <c r="CS12" i="20" s="1"/>
  <c r="CT12" i="20" s="1"/>
  <c r="CU12" i="20" s="1"/>
  <c r="CV12" i="20" s="1"/>
  <c r="CW12" i="20" s="1"/>
  <c r="CX12" i="20" s="1"/>
  <c r="CY12" i="20" s="1"/>
  <c r="CZ12" i="20" s="1"/>
  <c r="DA12" i="20" s="1"/>
  <c r="DB12" i="20" s="1"/>
  <c r="DC12" i="20" s="1"/>
  <c r="DD12" i="20" s="1"/>
  <c r="DE12" i="20" s="1"/>
  <c r="DF12" i="20" s="1"/>
  <c r="DG12" i="20" s="1"/>
  <c r="DH12" i="20" s="1"/>
  <c r="DI12" i="20" s="1"/>
  <c r="DJ12" i="20" s="1"/>
  <c r="DK12" i="20" s="1"/>
  <c r="DL12" i="20" s="1"/>
  <c r="DM12" i="20" s="1"/>
  <c r="DN12" i="20" s="1"/>
  <c r="DO12" i="20" s="1"/>
  <c r="DP12" i="20" s="1"/>
  <c r="DQ12" i="20" s="1"/>
  <c r="DR12" i="20" s="1"/>
  <c r="DS12" i="20" s="1"/>
  <c r="DT12" i="20" s="1"/>
  <c r="DU12" i="20" s="1"/>
  <c r="DV12" i="20" s="1"/>
  <c r="DW12" i="20" s="1"/>
  <c r="DX12" i="20" s="1"/>
  <c r="DY12" i="20" s="1"/>
  <c r="DZ12" i="20" s="1"/>
  <c r="EA12" i="20" s="1"/>
  <c r="EB12" i="20" s="1"/>
  <c r="EC12" i="20" s="1"/>
  <c r="ED12" i="20" s="1"/>
  <c r="EE12" i="20" s="1"/>
  <c r="EF12" i="20" s="1"/>
  <c r="EG12" i="20" s="1"/>
  <c r="EH12" i="20" s="1"/>
  <c r="EI12" i="20" s="1"/>
  <c r="EJ12" i="20" s="1"/>
  <c r="EK12" i="20" s="1"/>
  <c r="EL12" i="20" s="1"/>
  <c r="EM12" i="20" s="1"/>
  <c r="EN12" i="20" s="1"/>
  <c r="EO12" i="20" s="1"/>
  <c r="EP12" i="20" s="1"/>
  <c r="EQ12" i="20" s="1"/>
  <c r="ER12" i="20" s="1"/>
  <c r="ES12" i="20" s="1"/>
  <c r="ET12" i="20" s="1"/>
  <c r="EU12" i="20" s="1"/>
  <c r="EV12" i="20" s="1"/>
  <c r="EW12" i="20" s="1"/>
  <c r="EX12" i="20" s="1"/>
  <c r="EY12" i="20" s="1"/>
  <c r="EZ12" i="20" s="1"/>
  <c r="FA12" i="20" s="1"/>
  <c r="FB12" i="20" s="1"/>
  <c r="FC12" i="20" s="1"/>
  <c r="FD12" i="20" s="1"/>
  <c r="FE12" i="20" s="1"/>
  <c r="FF12" i="20" s="1"/>
  <c r="FG12" i="20" s="1"/>
  <c r="FH12" i="20" s="1"/>
  <c r="FI12" i="20" s="1"/>
  <c r="FJ12" i="20" s="1"/>
  <c r="FK12" i="20" s="1"/>
  <c r="FL12" i="20" s="1"/>
  <c r="FM12" i="20" s="1"/>
  <c r="FN12" i="20" s="1"/>
  <c r="FO12" i="20" s="1"/>
  <c r="FP12" i="20" s="1"/>
  <c r="FQ12" i="20" s="1"/>
  <c r="FR12" i="20" s="1"/>
  <c r="FS12" i="20" s="1"/>
  <c r="FT12" i="20" s="1"/>
  <c r="FU12" i="20" s="1"/>
  <c r="FV12" i="20" s="1"/>
  <c r="FW12" i="20" s="1"/>
  <c r="FX12" i="20" s="1"/>
  <c r="FY12" i="20" s="1"/>
  <c r="FZ12" i="20" s="1"/>
  <c r="GA12" i="20" s="1"/>
  <c r="GB12" i="20" s="1"/>
  <c r="GC12" i="20" s="1"/>
  <c r="GD12" i="20" s="1"/>
  <c r="GE12" i="20" s="1"/>
  <c r="GF12" i="20" s="1"/>
  <c r="GG12" i="20" s="1"/>
  <c r="GH12" i="20" s="1"/>
  <c r="GI12" i="20" s="1"/>
  <c r="B28" i="20"/>
  <c r="B26" i="20"/>
  <c r="B24" i="20"/>
  <c r="B22" i="20"/>
  <c r="B20" i="20"/>
  <c r="B18" i="20"/>
  <c r="C18" i="20"/>
  <c r="C20" i="20"/>
  <c r="C22" i="20"/>
  <c r="C24" i="20"/>
  <c r="C26" i="20"/>
  <c r="I26" i="20"/>
  <c r="C7" i="20"/>
  <c r="C9" i="20" s="1"/>
  <c r="C8" i="20"/>
  <c r="A14" i="20"/>
  <c r="B14" i="20"/>
  <c r="C14" i="20"/>
  <c r="D14" i="20"/>
  <c r="A16" i="20"/>
  <c r="B16" i="20"/>
  <c r="C16" i="20"/>
  <c r="D16" i="20"/>
  <c r="A18" i="20"/>
  <c r="A20" i="20"/>
  <c r="A22" i="20"/>
  <c r="A24" i="20"/>
  <c r="A26" i="20"/>
  <c r="D26" i="20"/>
  <c r="A28" i="20"/>
  <c r="C28" i="20"/>
  <c r="D28" i="20"/>
  <c r="I28" i="20"/>
  <c r="A30" i="20"/>
  <c r="B30" i="20"/>
  <c r="C30" i="20"/>
  <c r="D30" i="20"/>
  <c r="I30" i="20"/>
  <c r="A32" i="20"/>
  <c r="B32" i="20"/>
  <c r="C32" i="20"/>
  <c r="D32" i="20"/>
  <c r="I32" i="20"/>
  <c r="A34" i="20"/>
  <c r="B34" i="20"/>
  <c r="C34" i="20"/>
  <c r="D34" i="20"/>
  <c r="I34" i="20"/>
  <c r="A36" i="20"/>
  <c r="B36" i="20"/>
  <c r="C36" i="20"/>
  <c r="D36" i="20"/>
  <c r="I36" i="20"/>
  <c r="A38" i="20"/>
  <c r="B38" i="20"/>
  <c r="C38" i="20"/>
  <c r="D38" i="20"/>
  <c r="I38" i="20"/>
  <c r="A40" i="20"/>
  <c r="B40" i="20"/>
  <c r="C40" i="20"/>
  <c r="D40" i="20"/>
  <c r="I40" i="20"/>
  <c r="A42" i="20"/>
  <c r="B42" i="20"/>
  <c r="C42" i="20"/>
  <c r="D42" i="20"/>
  <c r="I42" i="20"/>
  <c r="A44" i="20"/>
  <c r="B44" i="20"/>
  <c r="C44" i="20"/>
  <c r="D44" i="20"/>
  <c r="I44" i="20"/>
  <c r="A46" i="20"/>
  <c r="B46" i="20"/>
  <c r="C46" i="20"/>
  <c r="D46" i="20"/>
  <c r="I46" i="20"/>
  <c r="A48" i="20"/>
  <c r="B48" i="20"/>
  <c r="C48" i="20"/>
  <c r="D48" i="20"/>
  <c r="I48" i="20"/>
  <c r="A50" i="20"/>
  <c r="B50" i="20"/>
  <c r="C50" i="20"/>
  <c r="D50" i="20"/>
  <c r="I50" i="20"/>
  <c r="A52" i="20"/>
  <c r="B52" i="20"/>
  <c r="C52" i="20"/>
  <c r="D52" i="20"/>
  <c r="I52" i="20"/>
  <c r="A54" i="20"/>
  <c r="B54" i="20"/>
  <c r="C54" i="20"/>
  <c r="D54" i="20"/>
  <c r="I54" i="20"/>
  <c r="A56" i="20"/>
  <c r="B56" i="20"/>
  <c r="C56" i="20"/>
  <c r="D56" i="20"/>
  <c r="I56" i="20"/>
  <c r="A58" i="20"/>
  <c r="I58" i="20"/>
  <c r="A60" i="20"/>
  <c r="I60" i="20"/>
  <c r="A62" i="20"/>
  <c r="I62" i="20"/>
  <c r="A64" i="20"/>
  <c r="I64" i="20"/>
  <c r="A66" i="20"/>
  <c r="I66" i="20"/>
  <c r="A68" i="20"/>
  <c r="I68" i="20"/>
  <c r="A70" i="20"/>
  <c r="I70" i="20"/>
  <c r="A72" i="20"/>
  <c r="I72" i="20"/>
  <c r="A74" i="20"/>
  <c r="I74" i="20"/>
  <c r="A76" i="20"/>
  <c r="I76" i="20"/>
  <c r="A78" i="20"/>
  <c r="I78" i="20"/>
  <c r="A80" i="20"/>
  <c r="I80" i="20"/>
  <c r="A82" i="20"/>
  <c r="I82" i="20"/>
  <c r="A84" i="20"/>
  <c r="I84" i="20"/>
  <c r="A86" i="20"/>
  <c r="I86" i="20"/>
  <c r="A88" i="20"/>
  <c r="I88" i="20"/>
  <c r="A90" i="20"/>
  <c r="I90" i="20"/>
  <c r="A92" i="20"/>
  <c r="I92" i="20"/>
  <c r="A94" i="20"/>
  <c r="I94" i="20"/>
  <c r="A96" i="20"/>
  <c r="I96" i="20"/>
  <c r="A98" i="20"/>
  <c r="I98" i="20"/>
  <c r="A100" i="20"/>
  <c r="I100" i="20"/>
  <c r="A102" i="20"/>
  <c r="I102" i="20"/>
  <c r="A104" i="20"/>
  <c r="I104" i="20"/>
  <c r="A106" i="20"/>
  <c r="I106" i="20"/>
  <c r="A108" i="20"/>
  <c r="I108" i="20"/>
  <c r="A110" i="20"/>
  <c r="I110" i="20"/>
  <c r="A112" i="20"/>
  <c r="I112" i="20"/>
  <c r="I16" i="20"/>
  <c r="I14" i="20"/>
</calcChain>
</file>

<file path=xl/comments1.xml><?xml version="1.0" encoding="utf-8"?>
<comments xmlns="http://schemas.openxmlformats.org/spreadsheetml/2006/main">
  <authors>
    <author>Reiko Shibuya</author>
    <author>Administrator</author>
  </authors>
  <commentList>
    <comment ref="B1" authorId="0">
      <text>
        <r>
          <rPr>
            <sz val="9"/>
            <color indexed="81"/>
            <rFont val="ＭＳ Ｐゴシック"/>
            <family val="3"/>
            <charset val="128"/>
          </rPr>
          <t xml:space="preserve">
ドロップダウンから選択するか、直接入力できます。</t>
        </r>
      </text>
    </comment>
    <comment ref="C4" authorId="1">
      <text>
        <r>
          <rPr>
            <sz val="9"/>
            <color indexed="81"/>
            <rFont val="ＭＳ Ｐゴシック"/>
            <family val="3"/>
            <charset val="128"/>
          </rPr>
          <t xml:space="preserve">
管理開始日を入力してください。</t>
        </r>
      </text>
    </comment>
    <comment ref="B12" authorId="0">
      <text>
        <r>
          <rPr>
            <sz val="9"/>
            <color indexed="81"/>
            <rFont val="ＭＳ Ｐゴシック"/>
            <family val="3"/>
            <charset val="128"/>
          </rPr>
          <t>ドロップダウンから選択してください。</t>
        </r>
      </text>
    </comment>
    <comment ref="C12" authorId="0">
      <text>
        <r>
          <rPr>
            <sz val="9"/>
            <color indexed="81"/>
            <rFont val="ＭＳ Ｐゴシック"/>
            <family val="3"/>
            <charset val="128"/>
          </rPr>
          <t>作業名を入力してください。</t>
        </r>
      </text>
    </comment>
    <comment ref="D12" authorId="0">
      <text>
        <r>
          <rPr>
            <sz val="9"/>
            <color indexed="81"/>
            <rFont val="ＭＳ Ｐゴシック"/>
            <family val="3"/>
            <charset val="128"/>
          </rPr>
          <t xml:space="preserve">担当者名を入力してください。
</t>
        </r>
      </text>
    </comment>
    <comment ref="F12" authorId="0">
      <text>
        <r>
          <rPr>
            <sz val="9"/>
            <color indexed="81"/>
            <rFont val="ＭＳ Ｐゴシック"/>
            <family val="3"/>
            <charset val="128"/>
          </rPr>
          <t xml:space="preserve">作業開始の日付を入力してください。
</t>
        </r>
      </text>
    </comment>
    <comment ref="G12" authorId="0">
      <text>
        <r>
          <rPr>
            <sz val="9"/>
            <color indexed="81"/>
            <rFont val="ＭＳ Ｐゴシック"/>
            <family val="3"/>
            <charset val="128"/>
          </rPr>
          <t xml:space="preserve">作業終了の日付を入力してください。
</t>
        </r>
      </text>
    </comment>
  </commentList>
</comments>
</file>

<file path=xl/comments2.xml><?xml version="1.0" encoding="utf-8"?>
<comments xmlns="http://schemas.openxmlformats.org/spreadsheetml/2006/main">
  <authors>
    <author>Reiko Shibuya</author>
  </authors>
  <commentList>
    <comment ref="B5" authorId="0">
      <text>
        <r>
          <rPr>
            <sz val="9"/>
            <color indexed="81"/>
            <rFont val="ＭＳ Ｐゴシック"/>
            <family val="3"/>
            <charset val="128"/>
          </rPr>
          <t xml:space="preserve">このセルは編集できます。入力した内容が、「工程管理表」シートのセルB12に反映されます。
</t>
        </r>
      </text>
    </comment>
  </commentList>
</comments>
</file>

<file path=xl/sharedStrings.xml><?xml version="1.0" encoding="utf-8"?>
<sst xmlns="http://schemas.openxmlformats.org/spreadsheetml/2006/main" count="387" uniqueCount="179">
  <si>
    <t>実績</t>
    <rPh sb="0" eb="2">
      <t>ジッセキ</t>
    </rPh>
    <phoneticPr fontId="2"/>
  </si>
  <si>
    <t>管理開始日</t>
    <rPh sb="0" eb="2">
      <t>カンリ</t>
    </rPh>
    <rPh sb="2" eb="5">
      <t>カイシビ</t>
    </rPh>
    <phoneticPr fontId="2"/>
  </si>
  <si>
    <t>分類名</t>
    <rPh sb="0" eb="2">
      <t>ブンルイ</t>
    </rPh>
    <rPh sb="2" eb="3">
      <t>メイ</t>
    </rPh>
    <phoneticPr fontId="2"/>
  </si>
  <si>
    <t>予定合計</t>
    <rPh sb="0" eb="2">
      <t>ヨテイ</t>
    </rPh>
    <rPh sb="2" eb="4">
      <t>ゴウケイ</t>
    </rPh>
    <phoneticPr fontId="2"/>
  </si>
  <si>
    <t>実績合計</t>
    <rPh sb="0" eb="2">
      <t>ジッセキ</t>
    </rPh>
    <rPh sb="2" eb="4">
      <t>ゴウケイ</t>
    </rPh>
    <phoneticPr fontId="2"/>
  </si>
  <si>
    <t>差</t>
    <rPh sb="0" eb="1">
      <t>サ</t>
    </rPh>
    <phoneticPr fontId="2"/>
  </si>
  <si>
    <t>作業名</t>
    <rPh sb="0" eb="2">
      <t>サギョウ</t>
    </rPh>
    <rPh sb="2" eb="3">
      <t>メイ</t>
    </rPh>
    <phoneticPr fontId="2"/>
  </si>
  <si>
    <t>担当者名</t>
    <rPh sb="0" eb="2">
      <t>タントウ</t>
    </rPh>
    <rPh sb="2" eb="3">
      <t>シャ</t>
    </rPh>
    <rPh sb="3" eb="4">
      <t>メイ</t>
    </rPh>
    <phoneticPr fontId="2"/>
  </si>
  <si>
    <t>予定
実績</t>
    <rPh sb="0" eb="2">
      <t>ヨテイ</t>
    </rPh>
    <rPh sb="3" eb="5">
      <t>ジッセキ</t>
    </rPh>
    <phoneticPr fontId="2"/>
  </si>
  <si>
    <t>開始日</t>
    <rPh sb="0" eb="3">
      <t>カイシビ</t>
    </rPh>
    <phoneticPr fontId="2"/>
  </si>
  <si>
    <t>終了日</t>
    <rPh sb="0" eb="3">
      <t>シュウリョウビ</t>
    </rPh>
    <phoneticPr fontId="2"/>
  </si>
  <si>
    <t>工数</t>
    <rPh sb="0" eb="2">
      <t>コウスウ</t>
    </rPh>
    <phoneticPr fontId="2"/>
  </si>
  <si>
    <t>予実差</t>
    <rPh sb="0" eb="1">
      <t>ヨ</t>
    </rPh>
    <rPh sb="1" eb="2">
      <t>ジツ</t>
    </rPh>
    <rPh sb="2" eb="3">
      <t>サ</t>
    </rPh>
    <phoneticPr fontId="2"/>
  </si>
  <si>
    <t>予定</t>
    <rPh sb="0" eb="2">
      <t>ヨテイ</t>
    </rPh>
    <phoneticPr fontId="2"/>
  </si>
  <si>
    <t>No</t>
    <phoneticPr fontId="2"/>
  </si>
  <si>
    <t>担当者名</t>
    <rPh sb="0" eb="3">
      <t>タントウシャ</t>
    </rPh>
    <rPh sb="3" eb="4">
      <t>メイ</t>
    </rPh>
    <phoneticPr fontId="2"/>
  </si>
  <si>
    <t>メニューへ</t>
    <phoneticPr fontId="2"/>
  </si>
  <si>
    <t>概要</t>
    <rPh sb="0" eb="2">
      <t>ガイヨウ</t>
    </rPh>
    <phoneticPr fontId="2"/>
  </si>
  <si>
    <t>機能</t>
    <rPh sb="0" eb="2">
      <t>キノウ</t>
    </rPh>
    <phoneticPr fontId="2"/>
  </si>
  <si>
    <t>マスタの入力</t>
    <rPh sb="4" eb="6">
      <t>ニュウリョク</t>
    </rPh>
    <phoneticPr fontId="2"/>
  </si>
  <si>
    <t>こんな時は</t>
    <rPh sb="3" eb="4">
      <t>トキ</t>
    </rPh>
    <phoneticPr fontId="2"/>
  </si>
  <si>
    <t>１．マスタの登録</t>
    <rPh sb="6" eb="8">
      <t>トウロク</t>
    </rPh>
    <phoneticPr fontId="2"/>
  </si>
  <si>
    <t>マスタ登録シートへ移行</t>
    <rPh sb="3" eb="5">
      <t>トウロク</t>
    </rPh>
    <rPh sb="9" eb="11">
      <t>イコウ</t>
    </rPh>
    <phoneticPr fontId="2"/>
  </si>
  <si>
    <t>①</t>
    <phoneticPr fontId="2"/>
  </si>
  <si>
    <t>メニュー画面で「マスタ」をクリックします。　</t>
    <rPh sb="4" eb="6">
      <t>ガメン</t>
    </rPh>
    <phoneticPr fontId="2"/>
  </si>
  <si>
    <t>②</t>
    <phoneticPr fontId="2"/>
  </si>
  <si>
    <t>マスタシートに移行します。</t>
    <rPh sb="7" eb="9">
      <t>イコウ</t>
    </rPh>
    <phoneticPr fontId="2"/>
  </si>
  <si>
    <t>①</t>
    <phoneticPr fontId="2"/>
  </si>
  <si>
    <t>①</t>
    <phoneticPr fontId="2"/>
  </si>
  <si>
    <t>①</t>
    <phoneticPr fontId="2"/>
  </si>
  <si>
    <t>②</t>
    <phoneticPr fontId="2"/>
  </si>
  <si>
    <t>部門の入力</t>
    <rPh sb="0" eb="2">
      <t>ブモン</t>
    </rPh>
    <rPh sb="3" eb="5">
      <t>ニュウリョク</t>
    </rPh>
    <phoneticPr fontId="2"/>
  </si>
  <si>
    <t>①</t>
    <phoneticPr fontId="2"/>
  </si>
  <si>
    <t>「部門」欄で部門を選択します。</t>
    <rPh sb="1" eb="3">
      <t>ブモン</t>
    </rPh>
    <rPh sb="4" eb="5">
      <t>ラン</t>
    </rPh>
    <rPh sb="6" eb="8">
      <t>ブモン</t>
    </rPh>
    <rPh sb="9" eb="11">
      <t>センタク</t>
    </rPh>
    <phoneticPr fontId="2"/>
  </si>
  <si>
    <t>①</t>
    <phoneticPr fontId="2"/>
  </si>
  <si>
    <t>②</t>
    <phoneticPr fontId="2"/>
  </si>
  <si>
    <t>※このファイルには「マクロ」が含まれています。マクロ機能を有効にするために、以下を確認してください。</t>
    <rPh sb="15" eb="16">
      <t>フク</t>
    </rPh>
    <rPh sb="26" eb="28">
      <t>キノウ</t>
    </rPh>
    <rPh sb="29" eb="31">
      <t>ユウコウ</t>
    </rPh>
    <rPh sb="38" eb="40">
      <t>イカ</t>
    </rPh>
    <rPh sb="41" eb="43">
      <t>カクニン</t>
    </rPh>
    <phoneticPr fontId="2"/>
  </si>
  <si>
    <t>Excel2000～2003の場合</t>
    <rPh sb="15" eb="17">
      <t>バアイ</t>
    </rPh>
    <phoneticPr fontId="2"/>
  </si>
  <si>
    <t>Excel2007の場合</t>
    <rPh sb="10" eb="12">
      <t>バアイ</t>
    </rPh>
    <phoneticPr fontId="2"/>
  </si>
  <si>
    <t>【セキュリティレベルの設定】</t>
    <phoneticPr fontId="2"/>
  </si>
  <si>
    <t>「ツール」メニューの「マクロ」から「セキュリティ」をクリックします。</t>
    <phoneticPr fontId="2"/>
  </si>
  <si>
    <t>Officeボタンをクリックし、「Excelのオプション」をクリックします。</t>
    <phoneticPr fontId="2"/>
  </si>
  <si>
    <t>「セキュリティ」ダイアログが開きます。「中」を選択して「OK」をクリックします。</t>
    <rPh sb="14" eb="15">
      <t>ヒラ</t>
    </rPh>
    <rPh sb="20" eb="21">
      <t>チュウ</t>
    </rPh>
    <rPh sb="23" eb="25">
      <t>センタク</t>
    </rPh>
    <phoneticPr fontId="2"/>
  </si>
  <si>
    <t>「Excelのオプション」画面が開きます。「セキュリティ」をクリックし、</t>
    <rPh sb="13" eb="15">
      <t>ガメン</t>
    </rPh>
    <rPh sb="16" eb="17">
      <t>ヒラ</t>
    </rPh>
    <phoneticPr fontId="2"/>
  </si>
  <si>
    <t>③</t>
    <phoneticPr fontId="2"/>
  </si>
  <si>
    <t>「セキュリティセンター」をクリックします。</t>
    <phoneticPr fontId="2"/>
  </si>
  <si>
    <t>④</t>
    <phoneticPr fontId="2"/>
  </si>
  <si>
    <t>「セキュリティセンター」画面が開きます。マクロの設定をクリックします。</t>
    <rPh sb="12" eb="14">
      <t>ガメン</t>
    </rPh>
    <rPh sb="15" eb="16">
      <t>ヒラ</t>
    </rPh>
    <rPh sb="24" eb="26">
      <t>セッテイ</t>
    </rPh>
    <phoneticPr fontId="2"/>
  </si>
  <si>
    <t>⑤</t>
    <phoneticPr fontId="2"/>
  </si>
  <si>
    <t>「警告を表示してすべてのマクロを無効にする」をクリックします。</t>
    <rPh sb="1" eb="3">
      <t>ケイコク</t>
    </rPh>
    <rPh sb="4" eb="6">
      <t>ヒョウジ</t>
    </rPh>
    <rPh sb="16" eb="18">
      <t>ムコウ</t>
    </rPh>
    <phoneticPr fontId="2"/>
  </si>
  <si>
    <t>【マクロの有効化】</t>
    <rPh sb="5" eb="8">
      <t>ユウコウカ</t>
    </rPh>
    <phoneticPr fontId="2"/>
  </si>
  <si>
    <t>①</t>
    <phoneticPr fontId="2"/>
  </si>
  <si>
    <t>ファイルを開くときに「セキュリティ警告」メッセージが表示されます。</t>
    <rPh sb="5" eb="6">
      <t>ヒラ</t>
    </rPh>
    <rPh sb="17" eb="19">
      <t>ケイコク</t>
    </rPh>
    <rPh sb="26" eb="28">
      <t>ヒョウジ</t>
    </rPh>
    <phoneticPr fontId="2"/>
  </si>
  <si>
    <t>①</t>
    <phoneticPr fontId="2"/>
  </si>
  <si>
    <t>ファイルを開くと「セキュリティ警告」が表示されます。「オプション」をクリックします。</t>
    <rPh sb="5" eb="6">
      <t>ヒラ</t>
    </rPh>
    <rPh sb="15" eb="17">
      <t>ケイコク</t>
    </rPh>
    <rPh sb="19" eb="21">
      <t>ヒョウジ</t>
    </rPh>
    <phoneticPr fontId="2"/>
  </si>
  <si>
    <t>②</t>
    <phoneticPr fontId="2"/>
  </si>
  <si>
    <t>「マクロを有効にする」をクリックします。</t>
    <rPh sb="5" eb="7">
      <t>ユウコウ</t>
    </rPh>
    <phoneticPr fontId="2"/>
  </si>
  <si>
    <t>②</t>
    <phoneticPr fontId="2"/>
  </si>
  <si>
    <t>「このコンテンツを有効にする」を選択し、「OK」をクリックします。</t>
    <rPh sb="9" eb="11">
      <t>ユウコウ</t>
    </rPh>
    <rPh sb="16" eb="18">
      <t>センタク</t>
    </rPh>
    <phoneticPr fontId="2"/>
  </si>
  <si>
    <t>工程管理</t>
    <rPh sb="0" eb="2">
      <t>コウテイ</t>
    </rPh>
    <rPh sb="2" eb="4">
      <t>カンリ</t>
    </rPh>
    <phoneticPr fontId="2"/>
  </si>
  <si>
    <t>本システムは、プロジェクト等の工程を管理すること目的としています。</t>
    <rPh sb="0" eb="1">
      <t>ホン</t>
    </rPh>
    <rPh sb="13" eb="14">
      <t>トウ</t>
    </rPh>
    <rPh sb="15" eb="17">
      <t>コウテイ</t>
    </rPh>
    <rPh sb="18" eb="20">
      <t>カンリ</t>
    </rPh>
    <rPh sb="24" eb="26">
      <t>モクテキ</t>
    </rPh>
    <phoneticPr fontId="2"/>
  </si>
  <si>
    <t>タスクの開始日と終了日を入力することで、所要日数を視覚的に把握することができます。</t>
    <rPh sb="4" eb="7">
      <t>カイシビ</t>
    </rPh>
    <rPh sb="8" eb="11">
      <t>シュウリョウビ</t>
    </rPh>
    <rPh sb="12" eb="14">
      <t>ニュウリョク</t>
    </rPh>
    <rPh sb="20" eb="22">
      <t>ショヨウ</t>
    </rPh>
    <rPh sb="22" eb="24">
      <t>ニッスウ</t>
    </rPh>
    <rPh sb="25" eb="28">
      <t>シカクテキ</t>
    </rPh>
    <rPh sb="29" eb="31">
      <t>ハアク</t>
    </rPh>
    <phoneticPr fontId="2"/>
  </si>
  <si>
    <t>管理開始日の入力</t>
    <rPh sb="0" eb="2">
      <t>カンリ</t>
    </rPh>
    <rPh sb="2" eb="4">
      <t>カイシ</t>
    </rPh>
    <rPh sb="4" eb="5">
      <t>ヒ</t>
    </rPh>
    <rPh sb="6" eb="8">
      <t>ニュウリョク</t>
    </rPh>
    <phoneticPr fontId="2"/>
  </si>
  <si>
    <t>管理対象の開始日を入力します。</t>
    <rPh sb="0" eb="2">
      <t>カンリ</t>
    </rPh>
    <rPh sb="2" eb="4">
      <t>タイショウ</t>
    </rPh>
    <rPh sb="5" eb="8">
      <t>カイシビ</t>
    </rPh>
    <rPh sb="9" eb="11">
      <t>ニュウリョク</t>
    </rPh>
    <phoneticPr fontId="2"/>
  </si>
  <si>
    <t>カレンダーの自動表示</t>
    <rPh sb="6" eb="8">
      <t>ジドウ</t>
    </rPh>
    <rPh sb="8" eb="10">
      <t>ヒョウジ</t>
    </rPh>
    <phoneticPr fontId="2"/>
  </si>
  <si>
    <t>予定と実績の入力</t>
    <rPh sb="0" eb="2">
      <t>ヨテイ</t>
    </rPh>
    <rPh sb="3" eb="5">
      <t>ジッセキ</t>
    </rPh>
    <rPh sb="6" eb="8">
      <t>ニュウリョク</t>
    </rPh>
    <phoneticPr fontId="2"/>
  </si>
  <si>
    <t>タスクの開始日と終了日を入力します。所要日数が数値およびカレンダーに色づけされて表示されます。</t>
    <rPh sb="4" eb="7">
      <t>カイシビ</t>
    </rPh>
    <rPh sb="8" eb="11">
      <t>シュウリョウビ</t>
    </rPh>
    <rPh sb="12" eb="14">
      <t>ニュウリョク</t>
    </rPh>
    <rPh sb="18" eb="20">
      <t>ショヨウ</t>
    </rPh>
    <rPh sb="20" eb="22">
      <t>ニッスウ</t>
    </rPh>
    <rPh sb="23" eb="25">
      <t>スウチ</t>
    </rPh>
    <rPh sb="34" eb="35">
      <t>イロ</t>
    </rPh>
    <rPh sb="40" eb="42">
      <t>ヒョウジ</t>
    </rPh>
    <phoneticPr fontId="2"/>
  </si>
  <si>
    <t>開始日から90日間の日付を自動表示します。</t>
    <rPh sb="0" eb="3">
      <t>カイシビ</t>
    </rPh>
    <rPh sb="7" eb="9">
      <t>ニチカン</t>
    </rPh>
    <rPh sb="10" eb="12">
      <t>ヒヅケ</t>
    </rPh>
    <rPh sb="13" eb="15">
      <t>ジドウ</t>
    </rPh>
    <rPh sb="15" eb="17">
      <t>ヒョウジ</t>
    </rPh>
    <phoneticPr fontId="2"/>
  </si>
  <si>
    <t>プロジェクト名</t>
    <rPh sb="6" eb="7">
      <t>メイ</t>
    </rPh>
    <phoneticPr fontId="2"/>
  </si>
  <si>
    <t>予実の工数差の自動算出</t>
    <rPh sb="0" eb="1">
      <t>ヨ</t>
    </rPh>
    <rPh sb="1" eb="2">
      <t>ジツ</t>
    </rPh>
    <rPh sb="3" eb="5">
      <t>コウスウ</t>
    </rPh>
    <rPh sb="5" eb="6">
      <t>サ</t>
    </rPh>
    <rPh sb="7" eb="9">
      <t>ジドウ</t>
    </rPh>
    <rPh sb="9" eb="11">
      <t>サンシュツ</t>
    </rPh>
    <phoneticPr fontId="2"/>
  </si>
  <si>
    <t>予定と実績との工数の差を自動算出します。</t>
    <rPh sb="0" eb="2">
      <t>ヨテイ</t>
    </rPh>
    <rPh sb="3" eb="5">
      <t>ジッセキ</t>
    </rPh>
    <rPh sb="7" eb="9">
      <t>コウスウ</t>
    </rPh>
    <rPh sb="10" eb="11">
      <t>サ</t>
    </rPh>
    <rPh sb="12" eb="14">
      <t>ジドウ</t>
    </rPh>
    <rPh sb="14" eb="16">
      <t>サンシュツ</t>
    </rPh>
    <phoneticPr fontId="2"/>
  </si>
  <si>
    <t>本システムでは、1日単位での管理を前提にしています。0.5日や時間単位での管理には未対応です。</t>
    <rPh sb="0" eb="1">
      <t>ホン</t>
    </rPh>
    <rPh sb="9" eb="10">
      <t>ニチ</t>
    </rPh>
    <rPh sb="10" eb="12">
      <t>タンイ</t>
    </rPh>
    <rPh sb="14" eb="16">
      <t>カンリ</t>
    </rPh>
    <rPh sb="17" eb="19">
      <t>ゼンテイ</t>
    </rPh>
    <rPh sb="29" eb="30">
      <t>ニチ</t>
    </rPh>
    <rPh sb="31" eb="33">
      <t>ジカン</t>
    </rPh>
    <rPh sb="33" eb="35">
      <t>タンイ</t>
    </rPh>
    <rPh sb="37" eb="39">
      <t>カンリ</t>
    </rPh>
    <rPh sb="41" eb="42">
      <t>ミ</t>
    </rPh>
    <rPh sb="42" eb="44">
      <t>タイオウ</t>
    </rPh>
    <phoneticPr fontId="2"/>
  </si>
  <si>
    <t>工数の管理単位は？</t>
    <rPh sb="0" eb="2">
      <t>コウスウ</t>
    </rPh>
    <rPh sb="3" eb="5">
      <t>カンリ</t>
    </rPh>
    <rPh sb="5" eb="7">
      <t>タンイ</t>
    </rPh>
    <phoneticPr fontId="2"/>
  </si>
  <si>
    <t>工程産管理</t>
    <rPh sb="0" eb="2">
      <t>コウテイ</t>
    </rPh>
    <phoneticPr fontId="2"/>
  </si>
  <si>
    <t>工程管理表</t>
    <rPh sb="0" eb="2">
      <t>コウテイ</t>
    </rPh>
    <rPh sb="2" eb="4">
      <t>カンリ</t>
    </rPh>
    <rPh sb="4" eb="5">
      <t>ヒョウ</t>
    </rPh>
    <phoneticPr fontId="2"/>
  </si>
  <si>
    <t>工程管理表を入力します。</t>
    <rPh sb="0" eb="2">
      <t>コウテイ</t>
    </rPh>
    <rPh sb="2" eb="4">
      <t>カンリ</t>
    </rPh>
    <rPh sb="4" eb="5">
      <t>ヒョウ</t>
    </rPh>
    <rPh sb="6" eb="8">
      <t>ニュウリョク</t>
    </rPh>
    <phoneticPr fontId="2"/>
  </si>
  <si>
    <t>分類や担当者名を入力します。</t>
    <rPh sb="0" eb="2">
      <t>ブンルイ</t>
    </rPh>
    <rPh sb="3" eb="5">
      <t>タントウ</t>
    </rPh>
    <rPh sb="5" eb="6">
      <t>シャ</t>
    </rPh>
    <rPh sb="6" eb="7">
      <t>メイ</t>
    </rPh>
    <rPh sb="8" eb="10">
      <t>ニュウリョク</t>
    </rPh>
    <phoneticPr fontId="2"/>
  </si>
  <si>
    <t>マスタ</t>
    <phoneticPr fontId="2"/>
  </si>
  <si>
    <t>管理対象タイトル</t>
    <rPh sb="0" eb="2">
      <t>カンリ</t>
    </rPh>
    <rPh sb="2" eb="4">
      <t>タイショウ</t>
    </rPh>
    <phoneticPr fontId="2"/>
  </si>
  <si>
    <t>分類名の登録</t>
    <rPh sb="0" eb="2">
      <t>ブンルイ</t>
    </rPh>
    <rPh sb="2" eb="3">
      <t>メイ</t>
    </rPh>
    <rPh sb="4" eb="6">
      <t>トウロク</t>
    </rPh>
    <phoneticPr fontId="2"/>
  </si>
  <si>
    <t>②</t>
    <phoneticPr fontId="2"/>
  </si>
  <si>
    <t>必要に応じて「分類名」（セルB5）を変更します。</t>
    <rPh sb="0" eb="2">
      <t>ヒツヨウ</t>
    </rPh>
    <rPh sb="3" eb="4">
      <t>オウ</t>
    </rPh>
    <rPh sb="7" eb="9">
      <t>ブンルイ</t>
    </rPh>
    <rPh sb="9" eb="10">
      <t>メイ</t>
    </rPh>
    <rPh sb="18" eb="20">
      <t>ヘンコウ</t>
    </rPh>
    <phoneticPr fontId="2"/>
  </si>
  <si>
    <t>担当者名の登録</t>
    <rPh sb="0" eb="3">
      <t>タントウシャ</t>
    </rPh>
    <rPh sb="3" eb="4">
      <t>メイ</t>
    </rPh>
    <rPh sb="5" eb="7">
      <t>トウロク</t>
    </rPh>
    <phoneticPr fontId="2"/>
  </si>
  <si>
    <t>担当者名を「担当者名」欄に入力します。</t>
    <rPh sb="0" eb="2">
      <t>タントウ</t>
    </rPh>
    <rPh sb="2" eb="3">
      <t>シャ</t>
    </rPh>
    <rPh sb="3" eb="4">
      <t>メイ</t>
    </rPh>
    <rPh sb="6" eb="9">
      <t>タントウシャ</t>
    </rPh>
    <rPh sb="9" eb="10">
      <t>メイ</t>
    </rPh>
    <rPh sb="11" eb="12">
      <t>ラン</t>
    </rPh>
    <rPh sb="13" eb="15">
      <t>ニュウリョク</t>
    </rPh>
    <phoneticPr fontId="2"/>
  </si>
  <si>
    <t>２．工程管理表の入力</t>
    <rPh sb="2" eb="4">
      <t>コウテイ</t>
    </rPh>
    <rPh sb="4" eb="6">
      <t>カンリ</t>
    </rPh>
    <rPh sb="6" eb="7">
      <t>ヒョウ</t>
    </rPh>
    <rPh sb="8" eb="10">
      <t>ニュウリョク</t>
    </rPh>
    <phoneticPr fontId="2"/>
  </si>
  <si>
    <t>工程管理表への移行</t>
    <rPh sb="0" eb="2">
      <t>コウテイ</t>
    </rPh>
    <rPh sb="2" eb="4">
      <t>カンリ</t>
    </rPh>
    <rPh sb="4" eb="5">
      <t>ヒョウ</t>
    </rPh>
    <rPh sb="7" eb="9">
      <t>イコウ</t>
    </rPh>
    <phoneticPr fontId="2"/>
  </si>
  <si>
    <t>メニュー画面で工程管理表」をクリックします。　</t>
    <rPh sb="4" eb="6">
      <t>ガメン</t>
    </rPh>
    <rPh sb="7" eb="9">
      <t>コウテイ</t>
    </rPh>
    <rPh sb="9" eb="11">
      <t>カンリ</t>
    </rPh>
    <rPh sb="11" eb="12">
      <t>ヒョウ</t>
    </rPh>
    <phoneticPr fontId="2"/>
  </si>
  <si>
    <t>工程管理表シートに移行します。</t>
    <rPh sb="0" eb="2">
      <t>コウテイ</t>
    </rPh>
    <rPh sb="2" eb="4">
      <t>カンリ</t>
    </rPh>
    <rPh sb="4" eb="5">
      <t>ヒョウ</t>
    </rPh>
    <rPh sb="9" eb="11">
      <t>イコウ</t>
    </rPh>
    <phoneticPr fontId="2"/>
  </si>
  <si>
    <t>プロジェクト名の入力</t>
    <rPh sb="6" eb="7">
      <t>メイ</t>
    </rPh>
    <rPh sb="8" eb="10">
      <t>ニュウリョク</t>
    </rPh>
    <phoneticPr fontId="2"/>
  </si>
  <si>
    <t>セルC1にプロジェクト名を入力します。</t>
    <rPh sb="11" eb="12">
      <t>メイ</t>
    </rPh>
    <rPh sb="13" eb="15">
      <t>ニュウリョク</t>
    </rPh>
    <phoneticPr fontId="2"/>
  </si>
  <si>
    <t>①</t>
    <phoneticPr fontId="2"/>
  </si>
  <si>
    <t>管理の開始日を入力します。</t>
    <rPh sb="0" eb="2">
      <t>カンリ</t>
    </rPh>
    <rPh sb="3" eb="5">
      <t>カイシ</t>
    </rPh>
    <rPh sb="5" eb="6">
      <t>ヒ</t>
    </rPh>
    <rPh sb="7" eb="9">
      <t>ニュウリョク</t>
    </rPh>
    <phoneticPr fontId="2"/>
  </si>
  <si>
    <t>セルJ12以降に、開始日以降の日付が自動表示されます。</t>
    <rPh sb="5" eb="7">
      <t>イコウ</t>
    </rPh>
    <rPh sb="9" eb="11">
      <t>カイシ</t>
    </rPh>
    <rPh sb="11" eb="12">
      <t>ヒ</t>
    </rPh>
    <rPh sb="12" eb="14">
      <t>イコウ</t>
    </rPh>
    <rPh sb="15" eb="17">
      <t>ヒヅケ</t>
    </rPh>
    <rPh sb="18" eb="20">
      <t>ジドウ</t>
    </rPh>
    <rPh sb="20" eb="22">
      <t>ヒョウジ</t>
    </rPh>
    <phoneticPr fontId="2"/>
  </si>
  <si>
    <t>タスクの入力</t>
    <rPh sb="4" eb="6">
      <t>ニュウリョク</t>
    </rPh>
    <phoneticPr fontId="2"/>
  </si>
  <si>
    <t>「分類名」「作業名」「担当者名」を入力します。</t>
    <rPh sb="1" eb="3">
      <t>ブンルイ</t>
    </rPh>
    <rPh sb="3" eb="4">
      <t>メイ</t>
    </rPh>
    <rPh sb="6" eb="8">
      <t>サギョウ</t>
    </rPh>
    <rPh sb="8" eb="9">
      <t>メイ</t>
    </rPh>
    <rPh sb="11" eb="13">
      <t>タントウ</t>
    </rPh>
    <rPh sb="13" eb="14">
      <t>シャ</t>
    </rPh>
    <rPh sb="14" eb="15">
      <t>メイ</t>
    </rPh>
    <rPh sb="17" eb="19">
      <t>ニュウリョク</t>
    </rPh>
    <phoneticPr fontId="2"/>
  </si>
  <si>
    <t>日付の入力</t>
    <rPh sb="0" eb="2">
      <t>ヒヅケ</t>
    </rPh>
    <rPh sb="3" eb="5">
      <t>ニュウリョク</t>
    </rPh>
    <phoneticPr fontId="2"/>
  </si>
  <si>
    <t>予定および実績の「開始日」「終了日」を入力します。</t>
    <rPh sb="0" eb="2">
      <t>ヨテイ</t>
    </rPh>
    <rPh sb="5" eb="7">
      <t>ジッセキ</t>
    </rPh>
    <rPh sb="9" eb="11">
      <t>カイシ</t>
    </rPh>
    <rPh sb="11" eb="12">
      <t>ヒ</t>
    </rPh>
    <rPh sb="14" eb="17">
      <t>シュウリョウビ</t>
    </rPh>
    <rPh sb="19" eb="21">
      <t>ニュウリョク</t>
    </rPh>
    <phoneticPr fontId="2"/>
  </si>
  <si>
    <t>「工数」「予実差」が自動算出されます。</t>
    <rPh sb="1" eb="3">
      <t>コウスウ</t>
    </rPh>
    <rPh sb="5" eb="8">
      <t>ヨジツサ</t>
    </rPh>
    <rPh sb="10" eb="12">
      <t>ジドウ</t>
    </rPh>
    <rPh sb="12" eb="14">
      <t>サンシュツ</t>
    </rPh>
    <phoneticPr fontId="2"/>
  </si>
  <si>
    <t>開始日から終了日まで期間が色づけされます。</t>
    <rPh sb="0" eb="2">
      <t>カイシ</t>
    </rPh>
    <rPh sb="2" eb="3">
      <t>ヒ</t>
    </rPh>
    <rPh sb="5" eb="8">
      <t>シュウリョウビ</t>
    </rPh>
    <rPh sb="10" eb="12">
      <t>キカン</t>
    </rPh>
    <rPh sb="13" eb="14">
      <t>イロ</t>
    </rPh>
    <phoneticPr fontId="2"/>
  </si>
  <si>
    <t>ここで入力した文言が、「工程管理表」シートのセルB12に反映されます。</t>
    <rPh sb="3" eb="5">
      <t>ニュウリョク</t>
    </rPh>
    <phoneticPr fontId="2"/>
  </si>
  <si>
    <t>・・・A</t>
    <phoneticPr fontId="2"/>
  </si>
  <si>
    <t>・・・B</t>
    <phoneticPr fontId="2"/>
  </si>
  <si>
    <t>・・・C</t>
    <phoneticPr fontId="2"/>
  </si>
  <si>
    <t>・・・D</t>
    <phoneticPr fontId="2"/>
  </si>
  <si>
    <t>①</t>
    <phoneticPr fontId="2"/>
  </si>
  <si>
    <t>データ消去</t>
    <rPh sb="3" eb="5">
      <t>ショウキョ</t>
    </rPh>
    <phoneticPr fontId="2"/>
  </si>
  <si>
    <t>「データクリア」をクリックすると、入力した「分類名」「作業名」「担当者名」</t>
    <rPh sb="17" eb="19">
      <t>ニュウリョク</t>
    </rPh>
    <rPh sb="22" eb="24">
      <t>ブンルイ</t>
    </rPh>
    <rPh sb="24" eb="25">
      <t>メイ</t>
    </rPh>
    <rPh sb="27" eb="29">
      <t>サギョウ</t>
    </rPh>
    <rPh sb="29" eb="30">
      <t>メイ</t>
    </rPh>
    <rPh sb="32" eb="34">
      <t>タントウ</t>
    </rPh>
    <rPh sb="34" eb="35">
      <t>シャ</t>
    </rPh>
    <rPh sb="35" eb="36">
      <t>メイ</t>
    </rPh>
    <phoneticPr fontId="2"/>
  </si>
  <si>
    <t>・・・E</t>
    <phoneticPr fontId="2"/>
  </si>
  <si>
    <t>「開始日」「終了日」が消去されます。</t>
    <phoneticPr fontId="2"/>
  </si>
  <si>
    <t>分類名や担当者を入力します。10件まで登録できます。</t>
    <rPh sb="0" eb="2">
      <t>ブンルイ</t>
    </rPh>
    <rPh sb="2" eb="3">
      <t>メイ</t>
    </rPh>
    <rPh sb="4" eb="7">
      <t>タントウシャ</t>
    </rPh>
    <rPh sb="8" eb="10">
      <t>ニュウリョク</t>
    </rPh>
    <rPh sb="16" eb="17">
      <t>ケン</t>
    </rPh>
    <rPh sb="19" eb="21">
      <t>トウロク</t>
    </rPh>
    <phoneticPr fontId="2"/>
  </si>
  <si>
    <t>分類名を「分類名」欄で選択します。</t>
    <rPh sb="0" eb="2">
      <t>ブンルイ</t>
    </rPh>
    <rPh sb="2" eb="3">
      <t>メイ</t>
    </rPh>
    <rPh sb="5" eb="7">
      <t>ブンルイ</t>
    </rPh>
    <rPh sb="7" eb="8">
      <t>ナ</t>
    </rPh>
    <rPh sb="9" eb="10">
      <t>ラン</t>
    </rPh>
    <rPh sb="11" eb="13">
      <t>センタク</t>
    </rPh>
    <phoneticPr fontId="2"/>
  </si>
  <si>
    <t>開発計画書作成</t>
    <phoneticPr fontId="2"/>
  </si>
  <si>
    <t>開発計画書作成</t>
    <phoneticPr fontId="2"/>
  </si>
  <si>
    <t>要件定義書作成</t>
    <phoneticPr fontId="2"/>
  </si>
  <si>
    <t>那須</t>
    <rPh sb="0" eb="2">
      <t>ナス</t>
    </rPh>
    <phoneticPr fontId="2"/>
  </si>
  <si>
    <t>若山</t>
    <rPh sb="0" eb="2">
      <t>ワカヤマ</t>
    </rPh>
    <phoneticPr fontId="2"/>
  </si>
  <si>
    <t>さ</t>
  </si>
  <si>
    <t>SA</t>
    <phoneticPr fontId="2"/>
  </si>
  <si>
    <t>SA</t>
    <phoneticPr fontId="2"/>
  </si>
  <si>
    <t>RD</t>
    <phoneticPr fontId="2"/>
  </si>
  <si>
    <t>FD</t>
    <phoneticPr fontId="2"/>
  </si>
  <si>
    <t>Webアプリ機能設計書作成</t>
    <phoneticPr fontId="2"/>
  </si>
  <si>
    <t>Webアプリ機能設計書レビュー</t>
    <phoneticPr fontId="2"/>
  </si>
  <si>
    <t>Webアプリ機能設計書レビュー指摘対応</t>
    <phoneticPr fontId="2"/>
  </si>
  <si>
    <t>監視端末機能設計書作成</t>
    <phoneticPr fontId="2"/>
  </si>
  <si>
    <t>監視端末機能設計書レビュー</t>
    <phoneticPr fontId="2"/>
  </si>
  <si>
    <t>監視端末機能設計書レビュー指摘対応</t>
    <phoneticPr fontId="2"/>
  </si>
  <si>
    <t>Webアプリ機能評価仕様書作成</t>
    <phoneticPr fontId="2"/>
  </si>
  <si>
    <t>Webアプリ機能評価仕様書レビュー</t>
    <phoneticPr fontId="2"/>
  </si>
  <si>
    <t>Webアプリ機能評価仕様書レビュー指摘対応</t>
    <phoneticPr fontId="2"/>
  </si>
  <si>
    <t>監視端末機能評価仕様書作成</t>
  </si>
  <si>
    <t>SD</t>
    <phoneticPr fontId="2"/>
  </si>
  <si>
    <t>監視端末機能評価仕様書レビュー</t>
    <phoneticPr fontId="2"/>
  </si>
  <si>
    <t>監視端末機能評価仕様書レビュー指摘対応</t>
    <phoneticPr fontId="2"/>
  </si>
  <si>
    <t>Webアプリ構造評価仕様書作成</t>
    <phoneticPr fontId="2"/>
  </si>
  <si>
    <t>Webアプリ構造評価仕様書レビュー</t>
    <phoneticPr fontId="2"/>
  </si>
  <si>
    <t>Webアプリ構造評価仕様書レビュー指摘対応</t>
    <phoneticPr fontId="2"/>
  </si>
  <si>
    <t>監視端末構造評価仕様書作成</t>
    <phoneticPr fontId="2"/>
  </si>
  <si>
    <t>監視端末構造評価仕様書レビュー</t>
    <phoneticPr fontId="2"/>
  </si>
  <si>
    <t>監視端末構造評価仕様書レビュー指摘対応</t>
    <phoneticPr fontId="2"/>
  </si>
  <si>
    <t>DD</t>
    <phoneticPr fontId="2"/>
  </si>
  <si>
    <t>Webアプリ詳細設計書作成</t>
  </si>
  <si>
    <t>Webアプリ詳細設計書レビュー</t>
    <phoneticPr fontId="2"/>
  </si>
  <si>
    <t>Webアプリ詳細設計書レビュー指摘対応</t>
    <rPh sb="15" eb="17">
      <t>シテキ</t>
    </rPh>
    <rPh sb="17" eb="19">
      <t>タイオウ</t>
    </rPh>
    <phoneticPr fontId="2"/>
  </si>
  <si>
    <t>監視端末詳細設計書作成</t>
    <phoneticPr fontId="2"/>
  </si>
  <si>
    <t>監視端末詳細設計書レビュー</t>
    <phoneticPr fontId="2"/>
  </si>
  <si>
    <t>監視端末詳細設計書レビュー指摘対応</t>
    <rPh sb="13" eb="15">
      <t>シテキ</t>
    </rPh>
    <rPh sb="15" eb="17">
      <t>タイオウ</t>
    </rPh>
    <phoneticPr fontId="2"/>
  </si>
  <si>
    <t>Webアプリ詳細評価仕様書作成</t>
    <phoneticPr fontId="2"/>
  </si>
  <si>
    <t>Webアプリ詳細評価仕様書レビュー</t>
  </si>
  <si>
    <t>Webアプリ詳細評価仕様書レビュー指摘対応</t>
    <rPh sb="17" eb="19">
      <t>シテキ</t>
    </rPh>
    <rPh sb="19" eb="21">
      <t>タイオウ</t>
    </rPh>
    <phoneticPr fontId="2"/>
  </si>
  <si>
    <t>監視端末詳細評価仕様書作成</t>
    <phoneticPr fontId="2"/>
  </si>
  <si>
    <t>監視端末詳細評価仕様書レビュー</t>
    <phoneticPr fontId="2"/>
  </si>
  <si>
    <t>監視端末詳細評価仕様書レビュー指摘対応</t>
    <rPh sb="15" eb="17">
      <t>シテキ</t>
    </rPh>
    <rPh sb="17" eb="19">
      <t>タイオウ</t>
    </rPh>
    <phoneticPr fontId="2"/>
  </si>
  <si>
    <t>PG</t>
    <phoneticPr fontId="2"/>
  </si>
  <si>
    <t>PG</t>
    <phoneticPr fontId="2"/>
  </si>
  <si>
    <t>Webアプリ実装</t>
    <phoneticPr fontId="2"/>
  </si>
  <si>
    <t>Webアプリ実装レビュー</t>
    <phoneticPr fontId="2"/>
  </si>
  <si>
    <t>Webアプリ実装レビュー指摘対応</t>
    <rPh sb="12" eb="14">
      <t>シテキ</t>
    </rPh>
    <rPh sb="14" eb="16">
      <t>タイオウ</t>
    </rPh>
    <phoneticPr fontId="2"/>
  </si>
  <si>
    <t>監視端末実装</t>
    <phoneticPr fontId="2"/>
  </si>
  <si>
    <t>監視端末実装レビュー</t>
    <phoneticPr fontId="2"/>
  </si>
  <si>
    <t>監視端末実装レビュー指摘対応</t>
    <rPh sb="10" eb="12">
      <t>シテキ</t>
    </rPh>
    <rPh sb="12" eb="14">
      <t>タイオウ</t>
    </rPh>
    <phoneticPr fontId="2"/>
  </si>
  <si>
    <t>UT</t>
    <phoneticPr fontId="2"/>
  </si>
  <si>
    <t>Webアプリ単体評価実施</t>
    <phoneticPr fontId="2"/>
  </si>
  <si>
    <t>監視端末単体評価実施</t>
    <phoneticPr fontId="2"/>
  </si>
  <si>
    <t>IT</t>
    <phoneticPr fontId="2"/>
  </si>
  <si>
    <t>Webアプリ結合評価実施</t>
    <phoneticPr fontId="2"/>
  </si>
  <si>
    <t>監視端末結合評価実施</t>
    <phoneticPr fontId="2"/>
  </si>
  <si>
    <t>FT</t>
    <phoneticPr fontId="2"/>
  </si>
  <si>
    <t>機能評価実施</t>
    <phoneticPr fontId="2"/>
  </si>
  <si>
    <t>機能評価実施</t>
    <phoneticPr fontId="2"/>
  </si>
  <si>
    <t>伊藤</t>
    <rPh sb="0" eb="2">
      <t>イトウ</t>
    </rPh>
    <phoneticPr fontId="2"/>
  </si>
  <si>
    <t>高澤</t>
    <rPh sb="0" eb="2">
      <t>タカザワ</t>
    </rPh>
    <phoneticPr fontId="2"/>
  </si>
  <si>
    <t>長田</t>
    <rPh sb="0" eb="2">
      <t>ナガタ</t>
    </rPh>
    <phoneticPr fontId="2"/>
  </si>
  <si>
    <t>Webアプリ構造設計書作成</t>
  </si>
  <si>
    <t>Webアプリ構造設計書レビュー</t>
  </si>
  <si>
    <t>Webアプリ構造設計書レビュー指摘対応</t>
  </si>
  <si>
    <t>監視端末構造設計書作成</t>
  </si>
  <si>
    <t>監視端末構造設計書レビュー</t>
  </si>
  <si>
    <t>監視端末構造設計書レビュー指摘対応</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</si>
</sst>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76" formatCode="m/d;@"/>
    <numFmt numFmtId="177" formatCode="0_ ;[Red]\-0\ "/>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11"/>
      <color indexed="9"/>
      <name val="ＭＳ Ｐゴシック"/>
      <family val="3"/>
      <charset val="128"/>
    </font>
    <font>
      <u/>
      <sz val="11"/>
      <color indexed="12"/>
      <name val="ＭＳ Ｐゴシック"/>
      <family val="3"/>
      <charset val="128"/>
    </font>
    <font>
      <sz val="11"/>
      <color indexed="8"/>
      <name val="ＭＳ Ｐゴシック"/>
      <family val="3"/>
      <charset val="128"/>
    </font>
    <font>
      <b/>
      <sz val="11"/>
      <color indexed="8"/>
      <name val="ＭＳ Ｐゴシック"/>
      <family val="3"/>
      <charset val="128"/>
    </font>
    <font>
      <b/>
      <sz val="11"/>
      <name val="ＭＳ Ｐゴシック"/>
      <family val="3"/>
      <charset val="128"/>
    </font>
    <font>
      <b/>
      <sz val="11"/>
      <name val="HGｺﾞｼｯｸM"/>
      <family val="3"/>
      <charset val="128"/>
    </font>
    <font>
      <b/>
      <sz val="12"/>
      <name val="ＭＳ Ｐゴシック"/>
      <family val="3"/>
      <charset val="128"/>
    </font>
    <font>
      <sz val="10"/>
      <name val="HGPｺﾞｼｯｸM"/>
      <family val="3"/>
      <charset val="128"/>
    </font>
    <font>
      <sz val="9"/>
      <name val="HGPｺﾞｼｯｸM"/>
      <family val="3"/>
      <charset val="128"/>
    </font>
    <font>
      <sz val="11"/>
      <name val="HGPｺﾞｼｯｸM"/>
      <family val="3"/>
      <charset val="128"/>
    </font>
    <font>
      <sz val="11"/>
      <color indexed="9"/>
      <name val="HGPｺﾞｼｯｸM"/>
      <family val="3"/>
      <charset val="128"/>
    </font>
    <font>
      <sz val="9"/>
      <color indexed="81"/>
      <name val="ＭＳ Ｐゴシック"/>
      <family val="3"/>
      <charset val="128"/>
    </font>
    <font>
      <sz val="22"/>
      <color indexed="9"/>
      <name val="ＭＳ Ｐゴシック"/>
      <family val="3"/>
      <charset val="128"/>
    </font>
    <font>
      <u/>
      <sz val="12"/>
      <color indexed="12"/>
      <name val="HG丸ｺﾞｼｯｸM-PRO"/>
      <family val="3"/>
      <charset val="128"/>
    </font>
    <font>
      <sz val="12"/>
      <color indexed="9"/>
      <name val="HGｺﾞｼｯｸM"/>
      <family val="3"/>
      <charset val="128"/>
    </font>
    <font>
      <b/>
      <sz val="11"/>
      <name val="MS UI Gothic"/>
      <family val="3"/>
      <charset val="128"/>
    </font>
    <font>
      <sz val="11"/>
      <name val="HGｺﾞｼｯｸM"/>
      <family val="3"/>
      <charset val="128"/>
    </font>
    <font>
      <sz val="18"/>
      <color indexed="9"/>
      <name val="HGSｺﾞｼｯｸE"/>
      <family val="3"/>
      <charset val="128"/>
    </font>
    <font>
      <sz val="12"/>
      <name val="HG丸ｺﾞｼｯｸM-PRO"/>
      <family val="3"/>
      <charset val="128"/>
    </font>
    <font>
      <u/>
      <sz val="11"/>
      <color indexed="12"/>
      <name val="HG丸ｺﾞｼｯｸM-PRO"/>
      <family val="3"/>
      <charset val="128"/>
    </font>
  </fonts>
  <fills count="5">
    <fill>
      <patternFill patternType="none"/>
    </fill>
    <fill>
      <patternFill patternType="gray125"/>
    </fill>
    <fill>
      <patternFill patternType="solid">
        <fgColor indexed="43"/>
        <bgColor indexed="64"/>
      </patternFill>
    </fill>
    <fill>
      <patternFill patternType="solid">
        <fgColor indexed="62"/>
        <bgColor indexed="64"/>
      </patternFill>
    </fill>
    <fill>
      <patternFill patternType="solid">
        <fgColor indexed="8"/>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3"/>
      </left>
      <right style="hair">
        <color indexed="64"/>
      </right>
      <top style="thin">
        <color indexed="63"/>
      </top>
      <bottom style="hair">
        <color indexed="64"/>
      </bottom>
      <diagonal/>
    </border>
    <border>
      <left style="hair">
        <color indexed="64"/>
      </left>
      <right style="thin">
        <color indexed="63"/>
      </right>
      <top style="thin">
        <color indexed="63"/>
      </top>
      <bottom style="hair">
        <color indexed="64"/>
      </bottom>
      <diagonal/>
    </border>
    <border>
      <left style="thin">
        <color indexed="63"/>
      </left>
      <right style="hair">
        <color indexed="64"/>
      </right>
      <top style="hair">
        <color indexed="64"/>
      </top>
      <bottom style="hair">
        <color indexed="64"/>
      </bottom>
      <diagonal/>
    </border>
    <border>
      <left style="hair">
        <color indexed="64"/>
      </left>
      <right style="thin">
        <color indexed="63"/>
      </right>
      <top style="hair">
        <color indexed="64"/>
      </top>
      <bottom style="hair">
        <color indexed="64"/>
      </bottom>
      <diagonal/>
    </border>
    <border>
      <left style="thin">
        <color indexed="63"/>
      </left>
      <right style="hair">
        <color indexed="64"/>
      </right>
      <top style="hair">
        <color indexed="64"/>
      </top>
      <bottom style="thin">
        <color indexed="63"/>
      </bottom>
      <diagonal/>
    </border>
    <border>
      <left style="hair">
        <color indexed="64"/>
      </left>
      <right style="thin">
        <color indexed="63"/>
      </right>
      <top style="hair">
        <color indexed="64"/>
      </top>
      <bottom style="thin">
        <color indexed="63"/>
      </bottom>
      <diagonal/>
    </border>
    <border>
      <left style="thin">
        <color indexed="63"/>
      </left>
      <right style="thin">
        <color indexed="63"/>
      </right>
      <top style="thin">
        <color indexed="63"/>
      </top>
      <bottom style="thin">
        <color indexed="64"/>
      </bottom>
      <diagonal/>
    </border>
    <border>
      <left style="thin">
        <color indexed="63"/>
      </left>
      <right style="thin">
        <color indexed="64"/>
      </right>
      <top style="thin">
        <color indexed="63"/>
      </top>
      <bottom style="thin">
        <color indexed="64"/>
      </bottom>
      <diagonal/>
    </border>
    <border>
      <left style="thin">
        <color indexed="64"/>
      </left>
      <right style="hair">
        <color indexed="64"/>
      </right>
      <top style="thin">
        <color indexed="63"/>
      </top>
      <bottom style="thin">
        <color indexed="64"/>
      </bottom>
      <diagonal/>
    </border>
    <border>
      <left style="hair">
        <color indexed="64"/>
      </left>
      <right style="hair">
        <color indexed="64"/>
      </right>
      <top style="thin">
        <color indexed="63"/>
      </top>
      <bottom style="thin">
        <color indexed="64"/>
      </bottom>
      <diagonal/>
    </border>
    <border>
      <left style="thin">
        <color indexed="63"/>
      </left>
      <right style="thin">
        <color indexed="63"/>
      </right>
      <top style="thin">
        <color indexed="64"/>
      </top>
      <bottom/>
      <diagonal/>
    </border>
    <border>
      <left style="thin">
        <color indexed="63"/>
      </left>
      <right style="thin">
        <color indexed="63"/>
      </right>
      <top/>
      <bottom/>
      <diagonal/>
    </border>
    <border>
      <left style="thin">
        <color indexed="63"/>
      </left>
      <right style="thin">
        <color indexed="63"/>
      </right>
      <top/>
      <bottom style="hair">
        <color indexed="64"/>
      </bottom>
      <diagonal/>
    </border>
    <border>
      <left style="thin">
        <color indexed="63"/>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3"/>
      </right>
      <top/>
      <bottom style="hair">
        <color indexed="64"/>
      </bottom>
      <diagonal/>
    </border>
    <border>
      <left style="thin">
        <color indexed="63"/>
      </left>
      <right style="thin">
        <color indexed="63"/>
      </right>
      <top/>
      <bottom style="thin">
        <color indexed="64"/>
      </bottom>
      <diagonal/>
    </border>
    <border>
      <left style="thin">
        <color indexed="63"/>
      </left>
      <right style="thin">
        <color indexed="63"/>
      </right>
      <top style="hair">
        <color indexed="64"/>
      </top>
      <bottom/>
      <diagonal/>
    </border>
    <border>
      <left style="thin">
        <color indexed="63"/>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3"/>
      </right>
      <top style="hair">
        <color indexed="64"/>
      </top>
      <bottom/>
      <diagonal/>
    </border>
    <border>
      <left style="thin">
        <color indexed="63"/>
      </left>
      <right style="thin">
        <color indexed="63"/>
      </right>
      <top style="thin">
        <color indexed="64"/>
      </top>
      <bottom style="hair">
        <color indexed="64"/>
      </bottom>
      <diagonal/>
    </border>
    <border>
      <left style="thin">
        <color indexed="63"/>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3"/>
      </right>
      <top style="thin">
        <color indexed="64"/>
      </top>
      <bottom style="hair">
        <color indexed="64"/>
      </bottom>
      <diagonal/>
    </border>
    <border>
      <left style="thin">
        <color indexed="63"/>
      </left>
      <right style="thin">
        <color indexed="63"/>
      </right>
      <top style="hair">
        <color indexed="64"/>
      </top>
      <bottom style="thin">
        <color indexed="64"/>
      </bottom>
      <diagonal/>
    </border>
    <border>
      <left style="thin">
        <color indexed="63"/>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3"/>
      </right>
      <top style="hair">
        <color indexed="64"/>
      </top>
      <bottom style="thin">
        <color indexed="64"/>
      </bottom>
      <diagonal/>
    </border>
    <border>
      <left style="thin">
        <color indexed="63"/>
      </left>
      <right style="thin">
        <color indexed="63"/>
      </right>
      <top style="hair">
        <color indexed="64"/>
      </top>
      <bottom style="thin">
        <color indexed="63"/>
      </bottom>
      <diagonal/>
    </border>
    <border>
      <left style="thin">
        <color indexed="63"/>
      </left>
      <right style="thin">
        <color indexed="64"/>
      </right>
      <top style="hair">
        <color indexed="64"/>
      </top>
      <bottom style="thin">
        <color indexed="63"/>
      </bottom>
      <diagonal/>
    </border>
    <border>
      <left style="thin">
        <color indexed="64"/>
      </left>
      <right style="hair">
        <color indexed="64"/>
      </right>
      <top style="hair">
        <color indexed="64"/>
      </top>
      <bottom style="thin">
        <color indexed="63"/>
      </bottom>
      <diagonal/>
    </border>
    <border>
      <left style="hair">
        <color indexed="64"/>
      </left>
      <right style="hair">
        <color indexed="64"/>
      </right>
      <top style="hair">
        <color indexed="64"/>
      </top>
      <bottom style="thin">
        <color indexed="63"/>
      </bottom>
      <diagonal/>
    </border>
    <border>
      <left style="thin">
        <color indexed="23"/>
      </left>
      <right style="thin">
        <color indexed="23"/>
      </right>
      <top style="thin">
        <color indexed="23"/>
      </top>
      <bottom style="dotted">
        <color indexed="23"/>
      </bottom>
      <diagonal/>
    </border>
    <border>
      <left style="thin">
        <color indexed="23"/>
      </left>
      <right style="thin">
        <color indexed="23"/>
      </right>
      <top style="dotted">
        <color indexed="23"/>
      </top>
      <bottom style="dotted">
        <color indexed="23"/>
      </bottom>
      <diagonal/>
    </border>
    <border>
      <left style="thin">
        <color indexed="23"/>
      </left>
      <right style="thin">
        <color indexed="23"/>
      </right>
      <top style="dotted">
        <color indexed="23"/>
      </top>
      <bottom style="thin">
        <color indexed="23"/>
      </bottom>
      <diagonal/>
    </border>
    <border>
      <left/>
      <right/>
      <top style="thin">
        <color indexed="23"/>
      </top>
      <bottom/>
      <diagonal/>
    </border>
    <border>
      <left/>
      <right style="thin">
        <color indexed="23"/>
      </right>
      <top style="thin">
        <color indexed="23"/>
      </top>
      <bottom/>
      <diagonal/>
    </border>
    <border>
      <left/>
      <right/>
      <top/>
      <bottom style="thin">
        <color indexed="23"/>
      </bottom>
      <diagonal/>
    </border>
    <border>
      <left/>
      <right style="thin">
        <color indexed="23"/>
      </right>
      <top/>
      <bottom style="thin">
        <color indexed="23"/>
      </bottom>
      <diagonal/>
    </border>
    <border>
      <left/>
      <right/>
      <top style="thin">
        <color indexed="23"/>
      </top>
      <bottom style="thin">
        <color indexed="23"/>
      </bottom>
      <diagonal/>
    </border>
    <border>
      <left style="thin">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style="thin">
        <color indexed="23"/>
      </left>
      <right style="hair">
        <color indexed="23"/>
      </right>
      <top/>
      <bottom style="hair">
        <color indexed="23"/>
      </bottom>
      <diagonal/>
    </border>
    <border>
      <left style="hair">
        <color indexed="23"/>
      </left>
      <right style="thin">
        <color indexed="23"/>
      </right>
      <top/>
      <bottom style="hair">
        <color indexed="23"/>
      </bottom>
      <diagonal/>
    </border>
    <border>
      <left style="thin">
        <color indexed="23"/>
      </left>
      <right style="hair">
        <color indexed="23"/>
      </right>
      <top style="hair">
        <color indexed="23"/>
      </top>
      <bottom style="hair">
        <color indexed="23"/>
      </bottom>
      <diagonal/>
    </border>
    <border>
      <left style="hair">
        <color indexed="23"/>
      </left>
      <right style="thin">
        <color indexed="23"/>
      </right>
      <top style="hair">
        <color indexed="23"/>
      </top>
      <bottom style="hair">
        <color indexed="23"/>
      </bottom>
      <diagonal/>
    </border>
    <border>
      <left style="thin">
        <color indexed="23"/>
      </left>
      <right style="hair">
        <color indexed="23"/>
      </right>
      <top/>
      <bottom/>
      <diagonal/>
    </border>
    <border>
      <left style="hair">
        <color indexed="23"/>
      </left>
      <right style="thin">
        <color indexed="23"/>
      </right>
      <top/>
      <bottom/>
      <diagonal/>
    </border>
    <border>
      <left style="thin">
        <color indexed="23"/>
      </left>
      <right style="hair">
        <color indexed="23"/>
      </right>
      <top style="hair">
        <color indexed="23"/>
      </top>
      <bottom style="thin">
        <color indexed="23"/>
      </bottom>
      <diagonal/>
    </border>
    <border>
      <left style="hair">
        <color indexed="23"/>
      </left>
      <right style="thin">
        <color indexed="23"/>
      </right>
      <top style="hair">
        <color indexed="23"/>
      </top>
      <bottom style="thin">
        <color indexed="23"/>
      </bottom>
      <diagonal/>
    </border>
    <border>
      <left style="thin">
        <color indexed="23"/>
      </left>
      <right style="hair">
        <color indexed="23"/>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thin">
        <color indexed="23"/>
      </left>
      <right/>
      <top style="thin">
        <color indexed="23"/>
      </top>
      <bottom/>
      <diagonal/>
    </border>
    <border>
      <left style="thin">
        <color indexed="23"/>
      </left>
      <right/>
      <top/>
      <bottom style="thin">
        <color indexed="23"/>
      </bottom>
      <diagonal/>
    </border>
    <border>
      <left style="thin">
        <color indexed="23"/>
      </left>
      <right style="thin">
        <color indexed="23"/>
      </right>
      <top style="thin">
        <color indexed="23"/>
      </top>
      <bottom/>
      <diagonal/>
    </border>
    <border>
      <left style="thin">
        <color indexed="23"/>
      </left>
      <right style="thin">
        <color indexed="23"/>
      </right>
      <top/>
      <bottom/>
      <diagonal/>
    </border>
  </borders>
  <cellStyleXfs count="8">
    <xf numFmtId="0" fontId="0" fillId="0" borderId="0">
      <alignment vertical="center"/>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xf numFmtId="0" fontId="5" fillId="0" borderId="0">
      <alignment vertical="center"/>
    </xf>
  </cellStyleXfs>
  <cellXfs count="133">
    <xf numFmtId="0" fontId="0" fillId="0" borderId="0" xfId="0">
      <alignment vertical="center"/>
    </xf>
    <xf numFmtId="0" fontId="0" fillId="0" borderId="0" xfId="0" applyProtection="1">
      <alignment vertical="center"/>
    </xf>
    <xf numFmtId="0" fontId="7" fillId="0" borderId="0" xfId="0" applyFont="1" applyProtection="1">
      <alignment vertical="center"/>
    </xf>
    <xf numFmtId="0" fontId="8" fillId="0" borderId="2" xfId="0" applyFont="1" applyBorder="1" applyAlignment="1" applyProtection="1">
      <alignment horizontal="center" vertical="center"/>
    </xf>
    <xf numFmtId="31" fontId="9" fillId="0" borderId="2" xfId="0" applyNumberFormat="1" applyFont="1" applyBorder="1" applyProtection="1">
      <alignment vertical="center"/>
      <protection locked="0"/>
    </xf>
    <xf numFmtId="31" fontId="0" fillId="0" borderId="0" xfId="0" applyNumberFormat="1" applyBorder="1" applyProtection="1">
      <alignment vertical="center"/>
    </xf>
    <xf numFmtId="31" fontId="0" fillId="0" borderId="0" xfId="0" applyNumberFormat="1" applyProtection="1">
      <alignment vertical="center"/>
    </xf>
    <xf numFmtId="31" fontId="9" fillId="0" borderId="0" xfId="0" applyNumberFormat="1" applyFont="1" applyBorder="1" applyProtection="1">
      <alignment vertical="center"/>
      <protection locked="0"/>
    </xf>
    <xf numFmtId="0" fontId="8" fillId="0" borderId="3" xfId="0" applyFont="1" applyBorder="1" applyAlignment="1" applyProtection="1">
      <alignment horizontal="center" vertical="center"/>
      <protection hidden="1"/>
    </xf>
    <xf numFmtId="177" fontId="7" fillId="0" borderId="4" xfId="0" applyNumberFormat="1" applyFont="1" applyBorder="1" applyProtection="1">
      <alignment vertical="center"/>
      <protection hidden="1"/>
    </xf>
    <xf numFmtId="0" fontId="8" fillId="0" borderId="5" xfId="0" applyFont="1" applyBorder="1" applyAlignment="1" applyProtection="1">
      <alignment horizontal="center" vertical="center"/>
      <protection hidden="1"/>
    </xf>
    <xf numFmtId="177" fontId="7" fillId="0" borderId="6" xfId="0" applyNumberFormat="1" applyFont="1" applyBorder="1" applyProtection="1">
      <alignment vertical="center"/>
      <protection hidden="1"/>
    </xf>
    <xf numFmtId="0" fontId="8" fillId="0" borderId="7" xfId="0" applyFont="1" applyBorder="1" applyAlignment="1" applyProtection="1">
      <alignment horizontal="center" vertical="center"/>
      <protection hidden="1"/>
    </xf>
    <xf numFmtId="177" fontId="7" fillId="0" borderId="8" xfId="0" applyNumberFormat="1" applyFont="1" applyBorder="1" applyProtection="1">
      <alignment vertical="center"/>
      <protection hidden="1"/>
    </xf>
    <xf numFmtId="0" fontId="8" fillId="0" borderId="0" xfId="0" applyFont="1" applyBorder="1" applyAlignment="1" applyProtection="1">
      <alignment horizontal="center" vertical="center"/>
      <protection hidden="1"/>
    </xf>
    <xf numFmtId="177" fontId="7" fillId="0" borderId="0" xfId="0" applyNumberFormat="1" applyFont="1" applyBorder="1" applyProtection="1">
      <alignment vertical="center"/>
      <protection hidden="1"/>
    </xf>
    <xf numFmtId="0" fontId="10" fillId="2" borderId="9" xfId="0" applyFont="1" applyFill="1" applyBorder="1" applyProtection="1">
      <alignment vertical="center"/>
    </xf>
    <xf numFmtId="0" fontId="10" fillId="2" borderId="9" xfId="0" applyFont="1" applyFill="1" applyBorder="1" applyAlignment="1" applyProtection="1">
      <alignment horizontal="center" vertic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176" fontId="11" fillId="2" borderId="11" xfId="0" applyNumberFormat="1" applyFont="1" applyFill="1" applyBorder="1" applyAlignment="1" applyProtection="1">
      <alignment horizontal="center" vertical="center"/>
    </xf>
    <xf numFmtId="176" fontId="11" fillId="2" borderId="12" xfId="0" applyNumberFormat="1" applyFont="1" applyFill="1" applyBorder="1" applyAlignment="1" applyProtection="1">
      <alignment horizontal="center" vertical="center"/>
    </xf>
    <xf numFmtId="0" fontId="0" fillId="0" borderId="0" xfId="0" applyBorder="1" applyProtection="1">
      <alignment vertical="center"/>
    </xf>
    <xf numFmtId="0" fontId="0" fillId="0" borderId="13" xfId="0" applyBorder="1" applyAlignment="1" applyProtection="1">
      <alignment vertical="center"/>
    </xf>
    <xf numFmtId="0" fontId="0" fillId="0" borderId="14" xfId="0" applyBorder="1" applyAlignment="1" applyProtection="1">
      <alignment vertical="center"/>
      <protection locked="0"/>
    </xf>
    <xf numFmtId="0" fontId="12" fillId="0" borderId="14" xfId="0" applyFont="1" applyBorder="1" applyAlignment="1" applyProtection="1">
      <alignment vertical="center"/>
      <protection locked="0"/>
    </xf>
    <xf numFmtId="0" fontId="12" fillId="0" borderId="14" xfId="0" applyFont="1" applyBorder="1" applyAlignment="1" applyProtection="1">
      <alignment horizontal="center" vertical="center"/>
      <protection locked="0"/>
    </xf>
    <xf numFmtId="0" fontId="12" fillId="0" borderId="15" xfId="0" applyFont="1" applyBorder="1" applyAlignment="1" applyProtection="1">
      <alignment horizontal="center" vertical="center"/>
    </xf>
    <xf numFmtId="176" fontId="0" fillId="0" borderId="15" xfId="0" applyNumberFormat="1" applyBorder="1" applyProtection="1">
      <alignment vertical="center"/>
      <protection locked="0"/>
    </xf>
    <xf numFmtId="177" fontId="0" fillId="0" borderId="15" xfId="0" applyNumberFormat="1" applyBorder="1" applyProtection="1">
      <alignment vertical="center"/>
    </xf>
    <xf numFmtId="177" fontId="0" fillId="0" borderId="16" xfId="0" applyNumberFormat="1" applyBorder="1" applyProtection="1">
      <alignment vertical="center"/>
    </xf>
    <xf numFmtId="0" fontId="0" fillId="0" borderId="17" xfId="0" applyFill="1" applyBorder="1" applyProtection="1">
      <alignment vertical="center"/>
    </xf>
    <xf numFmtId="0" fontId="0" fillId="0" borderId="18" xfId="0" applyFill="1" applyBorder="1" applyProtection="1">
      <alignment vertical="center"/>
    </xf>
    <xf numFmtId="0" fontId="0" fillId="0" borderId="18" xfId="0" applyBorder="1" applyProtection="1">
      <alignment vertical="center"/>
    </xf>
    <xf numFmtId="0" fontId="0" fillId="0" borderId="19" xfId="0" applyBorder="1" applyProtection="1">
      <alignment vertical="center"/>
    </xf>
    <xf numFmtId="0" fontId="3" fillId="0" borderId="20" xfId="0" applyFont="1" applyBorder="1" applyAlignment="1" applyProtection="1">
      <alignment vertical="center"/>
      <protection hidden="1"/>
    </xf>
    <xf numFmtId="0" fontId="13" fillId="0" borderId="20" xfId="0" applyFont="1" applyBorder="1" applyAlignment="1" applyProtection="1">
      <alignment vertical="center"/>
      <protection hidden="1"/>
    </xf>
    <xf numFmtId="0" fontId="13" fillId="0" borderId="20" xfId="0" applyFont="1" applyBorder="1" applyAlignment="1" applyProtection="1">
      <alignment horizontal="center" vertical="center"/>
      <protection hidden="1"/>
    </xf>
    <xf numFmtId="0" fontId="12" fillId="0" borderId="21" xfId="0" applyFont="1" applyBorder="1" applyAlignment="1" applyProtection="1">
      <alignment horizontal="center" vertical="center"/>
    </xf>
    <xf numFmtId="176" fontId="0" fillId="0" borderId="21" xfId="0" applyNumberFormat="1" applyBorder="1" applyProtection="1">
      <alignment vertical="center"/>
      <protection locked="0"/>
    </xf>
    <xf numFmtId="177" fontId="0" fillId="0" borderId="22" xfId="0" applyNumberFormat="1" applyBorder="1" applyProtection="1">
      <alignment vertical="center"/>
    </xf>
    <xf numFmtId="0" fontId="0" fillId="0" borderId="23" xfId="0" applyFill="1" applyBorder="1" applyProtection="1">
      <alignment vertical="center"/>
    </xf>
    <xf numFmtId="0" fontId="0" fillId="0" borderId="24" xfId="0" applyFill="1" applyBorder="1" applyProtection="1">
      <alignment vertical="center"/>
    </xf>
    <xf numFmtId="0" fontId="0" fillId="0" borderId="24" xfId="0" applyBorder="1" applyProtection="1">
      <alignment vertical="center"/>
    </xf>
    <xf numFmtId="0" fontId="0" fillId="0" borderId="25" xfId="0" applyBorder="1" applyProtection="1">
      <alignment vertical="center"/>
    </xf>
    <xf numFmtId="0" fontId="12" fillId="0" borderId="13" xfId="0" applyFont="1" applyBorder="1" applyAlignment="1" applyProtection="1">
      <alignment vertical="center"/>
      <protection locked="0"/>
    </xf>
    <xf numFmtId="0" fontId="12" fillId="0" borderId="26" xfId="0" applyFont="1" applyBorder="1" applyAlignment="1" applyProtection="1">
      <alignment horizontal="center" vertical="center"/>
    </xf>
    <xf numFmtId="176" fontId="0" fillId="0" borderId="26" xfId="0" applyNumberFormat="1" applyBorder="1" applyProtection="1">
      <alignment vertical="center"/>
      <protection locked="0"/>
    </xf>
    <xf numFmtId="177" fontId="0" fillId="0" borderId="27" xfId="0" applyNumberFormat="1" applyBorder="1" applyProtection="1">
      <alignment vertical="center"/>
    </xf>
    <xf numFmtId="0" fontId="0" fillId="0" borderId="28" xfId="0" applyFill="1" applyBorder="1" applyProtection="1">
      <alignment vertical="center"/>
    </xf>
    <xf numFmtId="0" fontId="0" fillId="0" borderId="29" xfId="0" applyFill="1" applyBorder="1" applyProtection="1">
      <alignment vertical="center"/>
    </xf>
    <xf numFmtId="0" fontId="0" fillId="0" borderId="29" xfId="0" applyBorder="1" applyProtection="1">
      <alignment vertical="center"/>
    </xf>
    <xf numFmtId="0" fontId="0" fillId="0" borderId="30" xfId="0" applyBorder="1" applyProtection="1">
      <alignment vertical="center"/>
    </xf>
    <xf numFmtId="0" fontId="12" fillId="0" borderId="31" xfId="0" applyFont="1" applyBorder="1" applyAlignment="1" applyProtection="1">
      <alignment horizontal="center" vertical="center"/>
    </xf>
    <xf numFmtId="176" fontId="0" fillId="0" borderId="31" xfId="0" applyNumberFormat="1" applyBorder="1" applyProtection="1">
      <alignment vertical="center"/>
      <protection locked="0"/>
    </xf>
    <xf numFmtId="177" fontId="0" fillId="0" borderId="31" xfId="0" applyNumberFormat="1" applyBorder="1" applyProtection="1">
      <alignment vertical="center"/>
    </xf>
    <xf numFmtId="177" fontId="0" fillId="0" borderId="32" xfId="0" applyNumberFormat="1" applyBorder="1" applyProtection="1">
      <alignment vertical="center"/>
    </xf>
    <xf numFmtId="0" fontId="0" fillId="0" borderId="33" xfId="0" applyFill="1" applyBorder="1" applyProtection="1">
      <alignment vertical="center"/>
    </xf>
    <xf numFmtId="0" fontId="0" fillId="0" borderId="34" xfId="0" applyFill="1" applyBorder="1" applyProtection="1">
      <alignment vertical="center"/>
    </xf>
    <xf numFmtId="0" fontId="0" fillId="0" borderId="34" xfId="0" applyBorder="1" applyProtection="1">
      <alignment vertical="center"/>
    </xf>
    <xf numFmtId="0" fontId="0" fillId="0" borderId="35" xfId="0" applyBorder="1" applyProtection="1">
      <alignment vertical="center"/>
    </xf>
    <xf numFmtId="0" fontId="12" fillId="0" borderId="36" xfId="0" applyFont="1" applyBorder="1" applyAlignment="1" applyProtection="1">
      <alignment horizontal="center" vertical="center"/>
    </xf>
    <xf numFmtId="176" fontId="0" fillId="0" borderId="36" xfId="0" applyNumberFormat="1" applyBorder="1" applyProtection="1">
      <alignment vertical="center"/>
      <protection locked="0"/>
    </xf>
    <xf numFmtId="177" fontId="0" fillId="0" borderId="36" xfId="0" applyNumberFormat="1" applyBorder="1" applyProtection="1">
      <alignment vertical="center"/>
    </xf>
    <xf numFmtId="177" fontId="0" fillId="0" borderId="37" xfId="0" applyNumberFormat="1" applyBorder="1" applyProtection="1">
      <alignment vertical="center"/>
    </xf>
    <xf numFmtId="0" fontId="0" fillId="0" borderId="38" xfId="0" applyFill="1" applyBorder="1" applyProtection="1">
      <alignment vertical="center"/>
    </xf>
    <xf numFmtId="0" fontId="0" fillId="0" borderId="39" xfId="0" applyFill="1" applyBorder="1" applyProtection="1">
      <alignment vertical="center"/>
    </xf>
    <xf numFmtId="0" fontId="0" fillId="0" borderId="39" xfId="0" applyBorder="1" applyProtection="1">
      <alignment vertical="center"/>
    </xf>
    <xf numFmtId="0" fontId="0" fillId="0" borderId="8" xfId="0" applyBorder="1" applyProtection="1">
      <alignment vertical="center"/>
    </xf>
    <xf numFmtId="0" fontId="13" fillId="3" borderId="40" xfId="0" applyFont="1" applyFill="1" applyBorder="1" applyAlignment="1">
      <alignment horizontal="center" vertical="center"/>
    </xf>
    <xf numFmtId="0" fontId="0" fillId="0" borderId="0" xfId="0" applyBorder="1" applyAlignment="1" applyProtection="1">
      <alignment vertical="center"/>
    </xf>
    <xf numFmtId="0" fontId="0" fillId="0" borderId="41" xfId="0" applyBorder="1" applyProtection="1">
      <alignment vertical="center"/>
      <protection locked="0"/>
    </xf>
    <xf numFmtId="0" fontId="0" fillId="0" borderId="42" xfId="0" applyBorder="1" applyProtection="1">
      <alignment vertical="center"/>
      <protection locked="0"/>
    </xf>
    <xf numFmtId="0" fontId="5" fillId="0" borderId="0" xfId="7">
      <alignment vertical="center"/>
    </xf>
    <xf numFmtId="0" fontId="16" fillId="0" borderId="0" xfId="2" applyFont="1" applyAlignment="1" applyProtection="1">
      <alignment vertical="center"/>
    </xf>
    <xf numFmtId="0" fontId="0" fillId="0" borderId="43" xfId="7" applyFont="1" applyBorder="1" applyAlignment="1">
      <alignment horizontal="left" vertical="center" indent="1"/>
    </xf>
    <xf numFmtId="0" fontId="3" fillId="0" borderId="44" xfId="7" applyFont="1" applyBorder="1">
      <alignment vertical="center"/>
    </xf>
    <xf numFmtId="0" fontId="0" fillId="0" borderId="45" xfId="7" applyFont="1" applyBorder="1" applyAlignment="1">
      <alignment horizontal="left" vertical="center" indent="1"/>
    </xf>
    <xf numFmtId="0" fontId="3" fillId="0" borderId="46" xfId="7" applyFont="1" applyBorder="1">
      <alignment vertical="center"/>
    </xf>
    <xf numFmtId="0" fontId="17" fillId="0" borderId="47" xfId="7" applyFont="1" applyFill="1" applyBorder="1" applyAlignment="1">
      <alignment horizontal="center" vertical="center"/>
    </xf>
    <xf numFmtId="0" fontId="3" fillId="0" borderId="0" xfId="7" applyFont="1" applyBorder="1" applyAlignment="1">
      <alignment horizontal="left" vertical="center" indent="1"/>
    </xf>
    <xf numFmtId="0" fontId="3" fillId="0" borderId="47" xfId="7" applyFont="1" applyBorder="1">
      <alignment vertical="center"/>
    </xf>
    <xf numFmtId="0" fontId="1" fillId="0" borderId="48" xfId="7" applyFont="1" applyBorder="1" applyAlignment="1">
      <alignment horizontal="left" vertical="center" wrapText="1" indent="1"/>
    </xf>
    <xf numFmtId="0" fontId="0" fillId="0" borderId="49" xfId="7" applyFont="1" applyBorder="1" applyAlignment="1">
      <alignment horizontal="left" vertical="center" wrapText="1" indent="1"/>
    </xf>
    <xf numFmtId="0" fontId="0" fillId="0" borderId="50" xfId="7" applyFont="1" applyBorder="1" applyAlignment="1">
      <alignment horizontal="left" vertical="center" wrapText="1" indent="1"/>
    </xf>
    <xf numFmtId="0" fontId="0" fillId="0" borderId="51" xfId="7" applyFont="1" applyBorder="1" applyAlignment="1">
      <alignment horizontal="left" vertical="center" wrapText="1" indent="1"/>
    </xf>
    <xf numFmtId="0" fontId="0" fillId="0" borderId="52" xfId="7" applyFont="1" applyBorder="1" applyAlignment="1">
      <alignment horizontal="left" vertical="center" wrapText="1" indent="1"/>
    </xf>
    <xf numFmtId="0" fontId="0" fillId="0" borderId="53" xfId="7" applyFont="1" applyBorder="1" applyAlignment="1">
      <alignment horizontal="left" vertical="center" wrapText="1" indent="1"/>
    </xf>
    <xf numFmtId="0" fontId="0" fillId="0" borderId="54" xfId="7" applyFont="1" applyBorder="1" applyAlignment="1">
      <alignment horizontal="left" vertical="center" wrapText="1" indent="1"/>
    </xf>
    <xf numFmtId="0" fontId="0" fillId="0" borderId="55" xfId="7" applyFont="1" applyBorder="1" applyAlignment="1">
      <alignment horizontal="left" vertical="center" wrapText="1" indent="1"/>
    </xf>
    <xf numFmtId="0" fontId="0" fillId="0" borderId="56" xfId="7" applyFont="1" applyBorder="1" applyAlignment="1">
      <alignment horizontal="left" vertical="center" wrapText="1" indent="1"/>
    </xf>
    <xf numFmtId="0" fontId="0" fillId="0" borderId="57" xfId="7" applyFont="1" applyBorder="1" applyAlignment="1">
      <alignment horizontal="left" vertical="center" wrapText="1" indent="1"/>
    </xf>
    <xf numFmtId="0" fontId="1" fillId="0" borderId="0" xfId="7" applyFont="1">
      <alignment vertical="center"/>
    </xf>
    <xf numFmtId="0" fontId="6" fillId="0" borderId="0" xfId="7" applyFont="1">
      <alignment vertical="center"/>
    </xf>
    <xf numFmtId="0" fontId="5" fillId="0" borderId="0" xfId="7" applyAlignment="1">
      <alignment horizontal="center" vertical="center"/>
    </xf>
    <xf numFmtId="0" fontId="5" fillId="0" borderId="0" xfId="7" applyAlignment="1">
      <alignment horizontal="right" vertical="center"/>
    </xf>
    <xf numFmtId="0" fontId="5" fillId="0" borderId="0" xfId="5" applyFont="1">
      <alignment vertical="center"/>
    </xf>
    <xf numFmtId="0" fontId="1" fillId="0" borderId="0" xfId="5" applyAlignment="1">
      <alignment horizontal="center" vertical="center"/>
    </xf>
    <xf numFmtId="0" fontId="1" fillId="0" borderId="0" xfId="5">
      <alignment vertical="center"/>
    </xf>
    <xf numFmtId="0" fontId="0" fillId="0" borderId="0" xfId="5" applyFont="1" applyAlignment="1">
      <alignment horizontal="center" vertical="center"/>
    </xf>
    <xf numFmtId="0" fontId="0" fillId="0" borderId="0" xfId="5" applyFont="1">
      <alignment vertical="center"/>
    </xf>
    <xf numFmtId="0" fontId="5" fillId="0" borderId="0" xfId="7" applyFont="1">
      <alignment vertical="center"/>
    </xf>
    <xf numFmtId="0" fontId="18" fillId="0" borderId="0" xfId="5" applyFont="1">
      <alignment vertical="center"/>
    </xf>
    <xf numFmtId="0" fontId="7" fillId="0" borderId="0" xfId="5" applyFont="1">
      <alignment vertical="center"/>
    </xf>
    <xf numFmtId="0" fontId="1" fillId="0" borderId="0" xfId="5" applyAlignment="1">
      <alignment horizontal="right" vertical="center"/>
    </xf>
    <xf numFmtId="0" fontId="19" fillId="0" borderId="0" xfId="0" applyFont="1" applyBorder="1" applyAlignment="1" applyProtection="1">
      <alignment vertical="center"/>
    </xf>
    <xf numFmtId="0" fontId="0" fillId="0" borderId="2" xfId="0" applyBorder="1" applyAlignment="1" applyProtection="1">
      <alignment vertical="center" wrapText="1" shrinkToFit="1"/>
      <protection locked="0"/>
    </xf>
    <xf numFmtId="0" fontId="13" fillId="3" borderId="40" xfId="0" applyFont="1" applyFill="1" applyBorder="1" applyAlignment="1" applyProtection="1">
      <alignment horizontal="center" vertical="center"/>
      <protection locked="0"/>
    </xf>
    <xf numFmtId="0" fontId="17" fillId="3" borderId="1" xfId="7" applyFont="1" applyFill="1" applyBorder="1" applyAlignment="1">
      <alignment horizontal="center" vertical="center"/>
    </xf>
    <xf numFmtId="0" fontId="0" fillId="0" borderId="58" xfId="7" applyFont="1" applyBorder="1" applyAlignment="1">
      <alignment horizontal="left" vertical="center" wrapText="1" indent="1"/>
    </xf>
    <xf numFmtId="0" fontId="0" fillId="0" borderId="59" xfId="7" applyFont="1" applyBorder="1" applyAlignment="1">
      <alignment horizontal="left" vertical="center" wrapText="1" indent="1"/>
    </xf>
    <xf numFmtId="0" fontId="1" fillId="0" borderId="0" xfId="6"/>
    <xf numFmtId="0" fontId="21" fillId="0" borderId="0" xfId="6" applyFont="1"/>
    <xf numFmtId="0" fontId="3" fillId="4" borderId="0" xfId="6" applyFont="1" applyFill="1" applyAlignment="1">
      <alignment horizontal="left" vertical="center" indent="1"/>
    </xf>
    <xf numFmtId="0" fontId="3" fillId="4" borderId="0" xfId="6" applyFont="1" applyFill="1"/>
    <xf numFmtId="0" fontId="22" fillId="0" borderId="0" xfId="1" applyFont="1" applyAlignment="1" applyProtection="1">
      <alignment horizontal="center" vertical="center"/>
    </xf>
    <xf numFmtId="0" fontId="0" fillId="0" borderId="0" xfId="0" applyBorder="1" applyProtection="1">
      <alignment vertical="center"/>
      <protection locked="0"/>
    </xf>
    <xf numFmtId="0" fontId="8" fillId="0" borderId="2" xfId="0" applyFont="1" applyBorder="1" applyAlignment="1" applyProtection="1">
      <alignment horizontal="center" vertical="center"/>
      <protection locked="0"/>
    </xf>
    <xf numFmtId="0" fontId="0" fillId="0" borderId="0" xfId="0" applyProtection="1">
      <alignment vertical="center"/>
      <protection locked="0"/>
    </xf>
    <xf numFmtId="0" fontId="3" fillId="0" borderId="0" xfId="0" applyFont="1" applyFill="1">
      <alignment vertical="center"/>
    </xf>
    <xf numFmtId="0" fontId="1" fillId="0" borderId="0" xfId="5" applyFont="1" applyAlignment="1">
      <alignment horizontal="center" vertical="center"/>
    </xf>
    <xf numFmtId="0" fontId="5" fillId="0" borderId="0" xfId="7" applyFont="1" applyAlignment="1">
      <alignment horizontal="center" vertical="center"/>
    </xf>
    <xf numFmtId="0" fontId="15" fillId="3" borderId="60" xfId="4" applyFont="1" applyFill="1" applyBorder="1" applyAlignment="1" applyProtection="1">
      <alignment horizontal="center" vertical="center"/>
      <protection hidden="1"/>
    </xf>
    <xf numFmtId="0" fontId="15" fillId="3" borderId="61" xfId="4" applyFont="1" applyFill="1" applyBorder="1" applyAlignment="1" applyProtection="1">
      <alignment horizontal="center" vertical="center"/>
      <protection hidden="1"/>
    </xf>
    <xf numFmtId="0" fontId="15" fillId="3" borderId="62" xfId="4" applyFont="1" applyFill="1" applyBorder="1" applyAlignment="1" applyProtection="1">
      <alignment horizontal="center" vertical="center"/>
      <protection hidden="1"/>
    </xf>
    <xf numFmtId="0" fontId="17" fillId="3" borderId="63" xfId="7" applyFont="1" applyFill="1" applyBorder="1" applyAlignment="1">
      <alignment horizontal="center" vertical="center"/>
    </xf>
    <xf numFmtId="0" fontId="17" fillId="3" borderId="64" xfId="7" applyFont="1" applyFill="1" applyBorder="1" applyAlignment="1">
      <alignment horizontal="center" vertical="center"/>
    </xf>
    <xf numFmtId="0" fontId="17" fillId="3" borderId="65" xfId="7" applyFont="1" applyFill="1" applyBorder="1" applyAlignment="1">
      <alignment horizontal="center" vertical="center"/>
    </xf>
    <xf numFmtId="0" fontId="17" fillId="3" borderId="66" xfId="7" applyFont="1" applyFill="1" applyBorder="1" applyAlignment="1">
      <alignment horizontal="center" vertical="center"/>
    </xf>
    <xf numFmtId="0" fontId="3" fillId="3" borderId="66" xfId="7" applyFont="1" applyFill="1" applyBorder="1" applyAlignment="1">
      <alignment vertical="center"/>
    </xf>
    <xf numFmtId="0" fontId="20" fillId="3" borderId="60" xfId="4" applyFont="1" applyFill="1" applyBorder="1" applyAlignment="1" applyProtection="1">
      <alignment horizontal="center" vertical="center"/>
      <protection hidden="1"/>
    </xf>
    <xf numFmtId="0" fontId="20" fillId="3" borderId="61" xfId="4" applyFont="1" applyFill="1" applyBorder="1" applyAlignment="1" applyProtection="1">
      <alignment horizontal="center" vertical="center"/>
      <protection hidden="1"/>
    </xf>
    <xf numFmtId="0" fontId="20" fillId="3" borderId="62" xfId="4" applyFont="1" applyFill="1" applyBorder="1" applyAlignment="1" applyProtection="1">
      <alignment horizontal="center" vertical="center"/>
      <protection hidden="1"/>
    </xf>
  </cellXfs>
  <cellStyles count="8">
    <cellStyle name="ハイパーリンク" xfId="1" builtinId="8"/>
    <cellStyle name="ハイパーリンク 2" xfId="2"/>
    <cellStyle name="桁区切り 3" xfId="3"/>
    <cellStyle name="標準" xfId="0" builtinId="0"/>
    <cellStyle name="標準 2" xfId="4"/>
    <cellStyle name="標準 2 2" xfId="5"/>
    <cellStyle name="標準 2 3" xfId="6"/>
    <cellStyle name="標準 3" xfId="7"/>
  </cellStyles>
  <dxfs count="88">
    <dxf>
      <border>
        <left style="thin">
          <color indexed="23"/>
        </left>
        <right style="thin">
          <color indexed="23"/>
        </right>
        <top style="dotted">
          <color indexed="23"/>
        </top>
        <bottom style="dotted">
          <color indexed="23"/>
        </bottom>
      </border>
    </dxf>
    <dxf>
      <border>
        <left style="thin">
          <color indexed="23"/>
        </left>
        <right style="thin">
          <color indexed="23"/>
        </right>
        <top style="dotted">
          <color indexed="23"/>
        </top>
        <bottom style="thin">
          <color indexed="23"/>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12510;&#12473;&#12479;!A1"/><Relationship Id="rId1" Type="http://schemas.openxmlformats.org/officeDocument/2006/relationships/hyperlink" Target="#&#12513;&#12491;&#12517;&#12540;!A1"/></Relationships>
</file>

<file path=xl/drawings/_rels/drawing2.xml.rels><?xml version="1.0" encoding="UTF-8" standalone="yes"?>
<Relationships xmlns="http://schemas.openxmlformats.org/package/2006/relationships"><Relationship Id="rId2" Type="http://schemas.openxmlformats.org/officeDocument/2006/relationships/hyperlink" Target="#&#24037;&#31243;&#31649;&#29702;&#34920;!A1"/><Relationship Id="rId1" Type="http://schemas.openxmlformats.org/officeDocument/2006/relationships/hyperlink" Target="#&#12513;&#12491;&#12517;&#12540;!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152400</xdr:colOff>
      <xdr:row>0</xdr:row>
      <xdr:rowOff>142875</xdr:rowOff>
    </xdr:from>
    <xdr:to>
      <xdr:col>6</xdr:col>
      <xdr:colOff>104775</xdr:colOff>
      <xdr:row>2</xdr:row>
      <xdr:rowOff>0</xdr:rowOff>
    </xdr:to>
    <xdr:sp macro="[0]!CallDataClear" textlink="">
      <xdr:nvSpPr>
        <xdr:cNvPr id="976913" name="Rectangle 17"/>
        <xdr:cNvSpPr>
          <a:spLocks noChangeArrowheads="1"/>
        </xdr:cNvSpPr>
      </xdr:nvSpPr>
      <xdr:spPr bwMode="auto">
        <a:xfrm>
          <a:off x="47529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データクリア</a:t>
          </a:r>
        </a:p>
      </xdr:txBody>
    </xdr:sp>
    <xdr:clientData fPrintsWithSheet="0"/>
  </xdr:twoCellAnchor>
  <xdr:twoCellAnchor>
    <xdr:from>
      <xdr:col>6</xdr:col>
      <xdr:colOff>485775</xdr:colOff>
      <xdr:row>0</xdr:row>
      <xdr:rowOff>142875</xdr:rowOff>
    </xdr:from>
    <xdr:to>
      <xdr:col>8</xdr:col>
      <xdr:colOff>342900</xdr:colOff>
      <xdr:row>2</xdr:row>
      <xdr:rowOff>0</xdr:rowOff>
    </xdr:to>
    <xdr:sp macro="" textlink="">
      <xdr:nvSpPr>
        <xdr:cNvPr id="976914" name="Rectangle 18">
          <a:hlinkClick xmlns:r="http://schemas.openxmlformats.org/officeDocument/2006/relationships" r:id="rId1"/>
        </xdr:cNvPr>
        <xdr:cNvSpPr>
          <a:spLocks noChangeArrowheads="1"/>
        </xdr:cNvSpPr>
      </xdr:nvSpPr>
      <xdr:spPr bwMode="auto">
        <a:xfrm>
          <a:off x="62388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メニュー</a:t>
          </a:r>
        </a:p>
      </xdr:txBody>
    </xdr:sp>
    <xdr:clientData fPrintsWithSheet="0"/>
  </xdr:twoCellAnchor>
  <xdr:twoCellAnchor>
    <xdr:from>
      <xdr:col>6</xdr:col>
      <xdr:colOff>485775</xdr:colOff>
      <xdr:row>2</xdr:row>
      <xdr:rowOff>161925</xdr:rowOff>
    </xdr:from>
    <xdr:to>
      <xdr:col>8</xdr:col>
      <xdr:colOff>342900</xdr:colOff>
      <xdr:row>4</xdr:row>
      <xdr:rowOff>19050</xdr:rowOff>
    </xdr:to>
    <xdr:sp macro="" textlink="">
      <xdr:nvSpPr>
        <xdr:cNvPr id="976915" name="Rectangle 19">
          <a:hlinkClick xmlns:r="http://schemas.openxmlformats.org/officeDocument/2006/relationships" r:id="rId2"/>
        </xdr:cNvPr>
        <xdr:cNvSpPr>
          <a:spLocks noChangeArrowheads="1"/>
        </xdr:cNvSpPr>
      </xdr:nvSpPr>
      <xdr:spPr bwMode="auto">
        <a:xfrm>
          <a:off x="6238875" y="609600"/>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マスタ</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257175</xdr:colOff>
      <xdr:row>0</xdr:row>
      <xdr:rowOff>133350</xdr:rowOff>
    </xdr:from>
    <xdr:to>
      <xdr:col>9</xdr:col>
      <xdr:colOff>85725</xdr:colOff>
      <xdr:row>2</xdr:row>
      <xdr:rowOff>95250</xdr:rowOff>
    </xdr:to>
    <xdr:sp macro="" textlink="">
      <xdr:nvSpPr>
        <xdr:cNvPr id="979970" name="Rectangle 2">
          <a:hlinkClick xmlns:r="http://schemas.openxmlformats.org/officeDocument/2006/relationships" r:id="rId1"/>
        </xdr:cNvPr>
        <xdr:cNvSpPr>
          <a:spLocks noChangeArrowheads="1"/>
        </xdr:cNvSpPr>
      </xdr:nvSpPr>
      <xdr:spPr bwMode="auto">
        <a:xfrm>
          <a:off x="6334125" y="133350"/>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メニュー</a:t>
          </a:r>
        </a:p>
      </xdr:txBody>
    </xdr:sp>
    <xdr:clientData fPrintsWithSheet="0"/>
  </xdr:twoCellAnchor>
  <xdr:twoCellAnchor>
    <xdr:from>
      <xdr:col>7</xdr:col>
      <xdr:colOff>257175</xdr:colOff>
      <xdr:row>3</xdr:row>
      <xdr:rowOff>85725</xdr:rowOff>
    </xdr:from>
    <xdr:to>
      <xdr:col>9</xdr:col>
      <xdr:colOff>85725</xdr:colOff>
      <xdr:row>5</xdr:row>
      <xdr:rowOff>47625</xdr:rowOff>
    </xdr:to>
    <xdr:sp macro="" textlink="">
      <xdr:nvSpPr>
        <xdr:cNvPr id="979971" name="Rectangle 3">
          <a:hlinkClick xmlns:r="http://schemas.openxmlformats.org/officeDocument/2006/relationships" r:id="rId2"/>
        </xdr:cNvPr>
        <xdr:cNvSpPr>
          <a:spLocks noChangeArrowheads="1"/>
        </xdr:cNvSpPr>
      </xdr:nvSpPr>
      <xdr:spPr bwMode="auto">
        <a:xfrm>
          <a:off x="6334125" y="600075"/>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工程管理表</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619125</xdr:colOff>
      <xdr:row>28</xdr:row>
      <xdr:rowOff>114300</xdr:rowOff>
    </xdr:from>
    <xdr:to>
      <xdr:col>11</xdr:col>
      <xdr:colOff>76200</xdr:colOff>
      <xdr:row>42</xdr:row>
      <xdr:rowOff>152400</xdr:rowOff>
    </xdr:to>
    <xdr:pic>
      <xdr:nvPicPr>
        <xdr:cNvPr id="981050"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7246"/>
        <a:stretch>
          <a:fillRect/>
        </a:stretch>
      </xdr:blipFill>
      <xdr:spPr bwMode="auto">
        <a:xfrm>
          <a:off x="619125" y="4562475"/>
          <a:ext cx="7315200" cy="2438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400050</xdr:colOff>
      <xdr:row>28</xdr:row>
      <xdr:rowOff>152400</xdr:rowOff>
    </xdr:from>
    <xdr:to>
      <xdr:col>5</xdr:col>
      <xdr:colOff>95250</xdr:colOff>
      <xdr:row>30</xdr:row>
      <xdr:rowOff>104775</xdr:rowOff>
    </xdr:to>
    <xdr:sp macro="" textlink="">
      <xdr:nvSpPr>
        <xdr:cNvPr id="980995" name="AutoShape 3"/>
        <xdr:cNvSpPr>
          <a:spLocks noChangeArrowheads="1"/>
        </xdr:cNvSpPr>
      </xdr:nvSpPr>
      <xdr:spPr bwMode="auto">
        <a:xfrm>
          <a:off x="3667125" y="4600575"/>
          <a:ext cx="381000" cy="295275"/>
        </a:xfrm>
        <a:prstGeom prst="wedgeRectCallout">
          <a:avLst>
            <a:gd name="adj1" fmla="val -92500"/>
            <a:gd name="adj2" fmla="val 27421"/>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a:t>
          </a:r>
        </a:p>
      </xdr:txBody>
    </xdr:sp>
    <xdr:clientData/>
  </xdr:twoCellAnchor>
  <xdr:twoCellAnchor>
    <xdr:from>
      <xdr:col>4</xdr:col>
      <xdr:colOff>409575</xdr:colOff>
      <xdr:row>31</xdr:row>
      <xdr:rowOff>28575</xdr:rowOff>
    </xdr:from>
    <xdr:to>
      <xdr:col>5</xdr:col>
      <xdr:colOff>104775</xdr:colOff>
      <xdr:row>32</xdr:row>
      <xdr:rowOff>152400</xdr:rowOff>
    </xdr:to>
    <xdr:sp macro="" textlink="">
      <xdr:nvSpPr>
        <xdr:cNvPr id="980996" name="AutoShape 4"/>
        <xdr:cNvSpPr>
          <a:spLocks noChangeArrowheads="1"/>
        </xdr:cNvSpPr>
      </xdr:nvSpPr>
      <xdr:spPr bwMode="auto">
        <a:xfrm>
          <a:off x="3676650" y="4991100"/>
          <a:ext cx="381000" cy="295275"/>
        </a:xfrm>
        <a:prstGeom prst="wedgeRectCallout">
          <a:avLst>
            <a:gd name="adj1" fmla="val -102500"/>
            <a:gd name="adj2" fmla="val 3387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B</a:t>
          </a:r>
        </a:p>
      </xdr:txBody>
    </xdr:sp>
    <xdr:clientData/>
  </xdr:twoCellAnchor>
  <xdr:twoCellAnchor>
    <xdr:from>
      <xdr:col>4</xdr:col>
      <xdr:colOff>333375</xdr:colOff>
      <xdr:row>36</xdr:row>
      <xdr:rowOff>9525</xdr:rowOff>
    </xdr:from>
    <xdr:to>
      <xdr:col>5</xdr:col>
      <xdr:colOff>28575</xdr:colOff>
      <xdr:row>37</xdr:row>
      <xdr:rowOff>133350</xdr:rowOff>
    </xdr:to>
    <xdr:sp macro="" textlink="">
      <xdr:nvSpPr>
        <xdr:cNvPr id="980997" name="AutoShape 5"/>
        <xdr:cNvSpPr>
          <a:spLocks noChangeArrowheads="1"/>
        </xdr:cNvSpPr>
      </xdr:nvSpPr>
      <xdr:spPr bwMode="auto">
        <a:xfrm>
          <a:off x="3600450" y="58293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a:t>
          </a:r>
        </a:p>
      </xdr:txBody>
    </xdr:sp>
    <xdr:clientData/>
  </xdr:twoCellAnchor>
  <xdr:twoCellAnchor>
    <xdr:from>
      <xdr:col>1</xdr:col>
      <xdr:colOff>542925</xdr:colOff>
      <xdr:row>38</xdr:row>
      <xdr:rowOff>28575</xdr:rowOff>
    </xdr:from>
    <xdr:to>
      <xdr:col>5</xdr:col>
      <xdr:colOff>266700</xdr:colOff>
      <xdr:row>39</xdr:row>
      <xdr:rowOff>85725</xdr:rowOff>
    </xdr:to>
    <xdr:sp macro="" textlink="">
      <xdr:nvSpPr>
        <xdr:cNvPr id="981054" name="AutoShape 6"/>
        <xdr:cNvSpPr>
          <a:spLocks/>
        </xdr:cNvSpPr>
      </xdr:nvSpPr>
      <xdr:spPr bwMode="auto">
        <a:xfrm rot="-5400000">
          <a:off x="2609850" y="4810125"/>
          <a:ext cx="228600" cy="2990850"/>
        </a:xfrm>
        <a:prstGeom prst="rightBrace">
          <a:avLst>
            <a:gd name="adj1" fmla="val 10902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628650</xdr:colOff>
      <xdr:row>35</xdr:row>
      <xdr:rowOff>104775</xdr:rowOff>
    </xdr:from>
    <xdr:to>
      <xdr:col>7</xdr:col>
      <xdr:colOff>323850</xdr:colOff>
      <xdr:row>37</xdr:row>
      <xdr:rowOff>57150</xdr:rowOff>
    </xdr:to>
    <xdr:sp macro="" textlink="">
      <xdr:nvSpPr>
        <xdr:cNvPr id="980999" name="AutoShape 7"/>
        <xdr:cNvSpPr>
          <a:spLocks noChangeArrowheads="1"/>
        </xdr:cNvSpPr>
      </xdr:nvSpPr>
      <xdr:spPr bwMode="auto">
        <a:xfrm>
          <a:off x="5267325" y="57531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D</a:t>
          </a:r>
        </a:p>
      </xdr:txBody>
    </xdr:sp>
    <xdr:clientData/>
  </xdr:twoCellAnchor>
  <xdr:twoCellAnchor>
    <xdr:from>
      <xdr:col>6</xdr:col>
      <xdr:colOff>9525</xdr:colOff>
      <xdr:row>38</xdr:row>
      <xdr:rowOff>19050</xdr:rowOff>
    </xdr:from>
    <xdr:to>
      <xdr:col>7</xdr:col>
      <xdr:colOff>323850</xdr:colOff>
      <xdr:row>39</xdr:row>
      <xdr:rowOff>114300</xdr:rowOff>
    </xdr:to>
    <xdr:sp macro="" textlink="">
      <xdr:nvSpPr>
        <xdr:cNvPr id="981056" name="AutoShape 8"/>
        <xdr:cNvSpPr>
          <a:spLocks/>
        </xdr:cNvSpPr>
      </xdr:nvSpPr>
      <xdr:spPr bwMode="auto">
        <a:xfrm rot="-5400000">
          <a:off x="5014913" y="5815012"/>
          <a:ext cx="266700" cy="1000125"/>
        </a:xfrm>
        <a:prstGeom prst="rightBrace">
          <a:avLst>
            <a:gd name="adj1" fmla="val 3125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476250</xdr:colOff>
      <xdr:row>27</xdr:row>
      <xdr:rowOff>161925</xdr:rowOff>
    </xdr:from>
    <xdr:to>
      <xdr:col>7</xdr:col>
      <xdr:colOff>171450</xdr:colOff>
      <xdr:row>29</xdr:row>
      <xdr:rowOff>114300</xdr:rowOff>
    </xdr:to>
    <xdr:sp macro="" textlink="">
      <xdr:nvSpPr>
        <xdr:cNvPr id="981001" name="AutoShape 9"/>
        <xdr:cNvSpPr>
          <a:spLocks noChangeArrowheads="1"/>
        </xdr:cNvSpPr>
      </xdr:nvSpPr>
      <xdr:spPr bwMode="auto">
        <a:xfrm>
          <a:off x="5114925" y="4438650"/>
          <a:ext cx="381000" cy="295275"/>
        </a:xfrm>
        <a:prstGeom prst="wedgeRectCallout">
          <a:avLst>
            <a:gd name="adj1" fmla="val -77500"/>
            <a:gd name="adj2" fmla="val 5967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838200</xdr:colOff>
      <xdr:row>7</xdr:row>
      <xdr:rowOff>66675</xdr:rowOff>
    </xdr:from>
    <xdr:to>
      <xdr:col>6</xdr:col>
      <xdr:colOff>514350</xdr:colOff>
      <xdr:row>26</xdr:row>
      <xdr:rowOff>114300</xdr:rowOff>
    </xdr:to>
    <xdr:pic>
      <xdr:nvPicPr>
        <xdr:cNvPr id="98208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0" y="1266825"/>
          <a:ext cx="4010025" cy="3305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885825</xdr:colOff>
      <xdr:row>30</xdr:row>
      <xdr:rowOff>114300</xdr:rowOff>
    </xdr:from>
    <xdr:to>
      <xdr:col>7</xdr:col>
      <xdr:colOff>9525</xdr:colOff>
      <xdr:row>40</xdr:row>
      <xdr:rowOff>104775</xdr:rowOff>
    </xdr:to>
    <xdr:pic>
      <xdr:nvPicPr>
        <xdr:cNvPr id="98208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5" y="5257800"/>
          <a:ext cx="414337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28575</xdr:colOff>
      <xdr:row>13</xdr:row>
      <xdr:rowOff>76200</xdr:rowOff>
    </xdr:from>
    <xdr:to>
      <xdr:col>6</xdr:col>
      <xdr:colOff>390525</xdr:colOff>
      <xdr:row>17</xdr:row>
      <xdr:rowOff>57150</xdr:rowOff>
    </xdr:to>
    <xdr:sp macro="" textlink="">
      <xdr:nvSpPr>
        <xdr:cNvPr id="982089" name="Oval 3"/>
        <xdr:cNvSpPr>
          <a:spLocks noChangeArrowheads="1"/>
        </xdr:cNvSpPr>
      </xdr:nvSpPr>
      <xdr:spPr bwMode="auto">
        <a:xfrm>
          <a:off x="933450" y="2305050"/>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38</xdr:row>
      <xdr:rowOff>0</xdr:rowOff>
    </xdr:from>
    <xdr:to>
      <xdr:col>5</xdr:col>
      <xdr:colOff>257175</xdr:colOff>
      <xdr:row>41</xdr:row>
      <xdr:rowOff>66675</xdr:rowOff>
    </xdr:to>
    <xdr:sp macro="" textlink="">
      <xdr:nvSpPr>
        <xdr:cNvPr id="982090" name="Oval 4"/>
        <xdr:cNvSpPr>
          <a:spLocks noChangeArrowheads="1"/>
        </xdr:cNvSpPr>
      </xdr:nvSpPr>
      <xdr:spPr bwMode="auto">
        <a:xfrm>
          <a:off x="2343150" y="6515100"/>
          <a:ext cx="1562100"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523875</xdr:colOff>
      <xdr:row>10</xdr:row>
      <xdr:rowOff>19050</xdr:rowOff>
    </xdr:from>
    <xdr:to>
      <xdr:col>19</xdr:col>
      <xdr:colOff>581025</xdr:colOff>
      <xdr:row>25</xdr:row>
      <xdr:rowOff>0</xdr:rowOff>
    </xdr:to>
    <xdr:pic>
      <xdr:nvPicPr>
        <xdr:cNvPr id="982091"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22144" b="60876"/>
        <a:stretch>
          <a:fillRect/>
        </a:stretch>
      </xdr:blipFill>
      <xdr:spPr bwMode="auto">
        <a:xfrm>
          <a:off x="7239000" y="1733550"/>
          <a:ext cx="6229350"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590550</xdr:colOff>
      <xdr:row>29</xdr:row>
      <xdr:rowOff>161925</xdr:rowOff>
    </xdr:from>
    <xdr:to>
      <xdr:col>16</xdr:col>
      <xdr:colOff>104775</xdr:colOff>
      <xdr:row>33</xdr:row>
      <xdr:rowOff>47625</xdr:rowOff>
    </xdr:to>
    <xdr:pic>
      <xdr:nvPicPr>
        <xdr:cNvPr id="982092"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05675" y="5133975"/>
          <a:ext cx="36290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638175</xdr:colOff>
      <xdr:row>35</xdr:row>
      <xdr:rowOff>161925</xdr:rowOff>
    </xdr:from>
    <xdr:to>
      <xdr:col>17</xdr:col>
      <xdr:colOff>514350</xdr:colOff>
      <xdr:row>60</xdr:row>
      <xdr:rowOff>38100</xdr:rowOff>
    </xdr:to>
    <xdr:pic>
      <xdr:nvPicPr>
        <xdr:cNvPr id="982093" name="Picture 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6162675"/>
          <a:ext cx="467677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171450</xdr:colOff>
      <xdr:row>48</xdr:row>
      <xdr:rowOff>66675</xdr:rowOff>
    </xdr:from>
    <xdr:to>
      <xdr:col>14</xdr:col>
      <xdr:colOff>295275</xdr:colOff>
      <xdr:row>51</xdr:row>
      <xdr:rowOff>133350</xdr:rowOff>
    </xdr:to>
    <xdr:sp macro="" textlink="">
      <xdr:nvSpPr>
        <xdr:cNvPr id="982094" name="Oval 8"/>
        <xdr:cNvSpPr>
          <a:spLocks noChangeArrowheads="1"/>
        </xdr:cNvSpPr>
      </xdr:nvSpPr>
      <xdr:spPr bwMode="auto">
        <a:xfrm>
          <a:off x="7572375" y="8296275"/>
          <a:ext cx="2181225"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266700</xdr:colOff>
      <xdr:row>30</xdr:row>
      <xdr:rowOff>123825</xdr:rowOff>
    </xdr:from>
    <xdr:to>
      <xdr:col>16</xdr:col>
      <xdr:colOff>28575</xdr:colOff>
      <xdr:row>33</xdr:row>
      <xdr:rowOff>142875</xdr:rowOff>
    </xdr:to>
    <xdr:sp macro="" textlink="">
      <xdr:nvSpPr>
        <xdr:cNvPr id="982095" name="Oval 9"/>
        <xdr:cNvSpPr>
          <a:spLocks noChangeArrowheads="1"/>
        </xdr:cNvSpPr>
      </xdr:nvSpPr>
      <xdr:spPr bwMode="auto">
        <a:xfrm>
          <a:off x="9725025" y="5267325"/>
          <a:ext cx="1133475" cy="53340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285750</xdr:colOff>
      <xdr:row>14</xdr:row>
      <xdr:rowOff>47625</xdr:rowOff>
    </xdr:from>
    <xdr:to>
      <xdr:col>17</xdr:col>
      <xdr:colOff>647700</xdr:colOff>
      <xdr:row>18</xdr:row>
      <xdr:rowOff>28575</xdr:rowOff>
    </xdr:to>
    <xdr:sp macro="" textlink="">
      <xdr:nvSpPr>
        <xdr:cNvPr id="982096" name="Oval 10"/>
        <xdr:cNvSpPr>
          <a:spLocks noChangeArrowheads="1"/>
        </xdr:cNvSpPr>
      </xdr:nvSpPr>
      <xdr:spPr bwMode="auto">
        <a:xfrm>
          <a:off x="8372475" y="2447925"/>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
  <sheetViews>
    <sheetView showGridLines="0" workbookViewId="0">
      <selection activeCell="C8" sqref="C8"/>
    </sheetView>
  </sheetViews>
  <sheetFormatPr defaultRowHeight="13.5" x14ac:dyDescent="0.15"/>
  <cols>
    <col min="1" max="1" width="13.625" style="73" customWidth="1"/>
    <col min="2" max="2" width="30.25" style="73" customWidth="1"/>
    <col min="3" max="3" width="55.125" style="73" customWidth="1"/>
    <col min="4" max="4" width="4.5" style="73" customWidth="1"/>
    <col min="5" max="5" width="12.5" style="73" customWidth="1"/>
    <col min="6" max="16384" width="9" style="73"/>
  </cols>
  <sheetData>
    <row r="1" spans="1:5" ht="39" customHeight="1" thickTop="1" thickBot="1" x14ac:dyDescent="0.2">
      <c r="A1" s="122" t="s">
        <v>59</v>
      </c>
      <c r="B1" s="123"/>
      <c r="C1" s="124"/>
    </row>
    <row r="2" spans="1:5" ht="15" thickTop="1" x14ac:dyDescent="0.15">
      <c r="E2" s="74" t="s">
        <v>16</v>
      </c>
    </row>
    <row r="3" spans="1:5" ht="29.25" customHeight="1" x14ac:dyDescent="0.15">
      <c r="A3" s="125" t="s">
        <v>17</v>
      </c>
      <c r="B3" s="75" t="s">
        <v>60</v>
      </c>
      <c r="C3" s="76"/>
    </row>
    <row r="4" spans="1:5" ht="29.25" customHeight="1" x14ac:dyDescent="0.15">
      <c r="A4" s="126"/>
      <c r="B4" s="77" t="s">
        <v>61</v>
      </c>
      <c r="C4" s="78"/>
    </row>
    <row r="5" spans="1:5" ht="9" customHeight="1" x14ac:dyDescent="0.15">
      <c r="A5" s="79"/>
      <c r="B5" s="80"/>
      <c r="C5" s="81"/>
    </row>
    <row r="6" spans="1:5" ht="41.25" customHeight="1" x14ac:dyDescent="0.15">
      <c r="A6" s="127" t="s">
        <v>18</v>
      </c>
      <c r="B6" s="82" t="s">
        <v>19</v>
      </c>
      <c r="C6" s="83" t="s">
        <v>109</v>
      </c>
    </row>
    <row r="7" spans="1:5" ht="41.25" customHeight="1" x14ac:dyDescent="0.15">
      <c r="A7" s="128"/>
      <c r="B7" s="84" t="s">
        <v>62</v>
      </c>
      <c r="C7" s="85" t="s">
        <v>63</v>
      </c>
    </row>
    <row r="8" spans="1:5" ht="41.25" customHeight="1" x14ac:dyDescent="0.15">
      <c r="A8" s="128"/>
      <c r="B8" s="86" t="s">
        <v>64</v>
      </c>
      <c r="C8" s="87" t="s">
        <v>67</v>
      </c>
    </row>
    <row r="9" spans="1:5" ht="41.25" customHeight="1" x14ac:dyDescent="0.15">
      <c r="A9" s="128"/>
      <c r="B9" s="88" t="s">
        <v>65</v>
      </c>
      <c r="C9" s="89" t="s">
        <v>66</v>
      </c>
    </row>
    <row r="10" spans="1:5" ht="41.25" customHeight="1" x14ac:dyDescent="0.15">
      <c r="A10" s="129"/>
      <c r="B10" s="90" t="s">
        <v>69</v>
      </c>
      <c r="C10" s="91" t="s">
        <v>70</v>
      </c>
    </row>
    <row r="11" spans="1:5" x14ac:dyDescent="0.15">
      <c r="B11" s="92"/>
      <c r="C11" s="92"/>
    </row>
    <row r="12" spans="1:5" x14ac:dyDescent="0.15">
      <c r="B12" s="92"/>
      <c r="C12" s="92"/>
    </row>
    <row r="13" spans="1:5" ht="45.75" customHeight="1" x14ac:dyDescent="0.15">
      <c r="A13" s="108" t="s">
        <v>20</v>
      </c>
      <c r="B13" s="109" t="s">
        <v>72</v>
      </c>
      <c r="C13" s="110" t="s">
        <v>71</v>
      </c>
    </row>
  </sheetData>
  <mergeCells count="3">
    <mergeCell ref="A1:C1"/>
    <mergeCell ref="A3:A4"/>
    <mergeCell ref="A6:A10"/>
  </mergeCells>
  <phoneticPr fontId="2"/>
  <hyperlinks>
    <hyperlink ref="E2" location="メニュー!A1" display="メニューへ"/>
  </hyperlinks>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
  <sheetViews>
    <sheetView showGridLines="0" workbookViewId="0">
      <selection activeCell="B3" sqref="B3"/>
    </sheetView>
  </sheetViews>
  <sheetFormatPr defaultRowHeight="14.25" x14ac:dyDescent="0.15"/>
  <cols>
    <col min="1" max="1" width="3.875" style="111" customWidth="1"/>
    <col min="2" max="2" width="16.5" style="112" customWidth="1"/>
    <col min="3" max="3" width="3.875" style="111" customWidth="1"/>
    <col min="4" max="4" width="9.75" style="111" customWidth="1"/>
    <col min="5" max="6" width="9" style="111"/>
    <col min="7" max="7" width="31.875" style="111" customWidth="1"/>
    <col min="8" max="16384" width="9" style="111"/>
  </cols>
  <sheetData>
    <row r="1" spans="1:7" ht="39.75" customHeight="1" thickTop="1" thickBot="1" x14ac:dyDescent="0.2">
      <c r="A1" s="130" t="s">
        <v>73</v>
      </c>
      <c r="B1" s="131"/>
      <c r="C1" s="131"/>
      <c r="D1" s="131"/>
      <c r="E1" s="131"/>
      <c r="F1" s="131"/>
      <c r="G1" s="132"/>
    </row>
    <row r="2" spans="1:7" ht="15" thickTop="1" x14ac:dyDescent="0.15"/>
    <row r="3" spans="1:7" ht="24.75" customHeight="1" x14ac:dyDescent="0.15">
      <c r="B3" s="115" t="s">
        <v>74</v>
      </c>
      <c r="D3" s="113" t="s">
        <v>75</v>
      </c>
      <c r="E3" s="114"/>
      <c r="F3" s="114"/>
      <c r="G3" s="114"/>
    </row>
    <row r="4" spans="1:7" ht="17.25" customHeight="1" x14ac:dyDescent="0.15"/>
    <row r="5" spans="1:7" ht="17.25" customHeight="1" x14ac:dyDescent="0.15"/>
    <row r="6" spans="1:7" ht="24.75" customHeight="1" x14ac:dyDescent="0.15">
      <c r="B6" s="115" t="s">
        <v>77</v>
      </c>
      <c r="D6" s="113" t="s">
        <v>76</v>
      </c>
      <c r="E6" s="114"/>
      <c r="F6" s="114"/>
      <c r="G6" s="114"/>
    </row>
    <row r="7" spans="1:7" ht="17.25" customHeight="1" x14ac:dyDescent="0.15"/>
  </sheetData>
  <mergeCells count="1">
    <mergeCell ref="A1:G1"/>
  </mergeCells>
  <phoneticPr fontId="2"/>
  <hyperlinks>
    <hyperlink ref="B3" location="工程管理表!A1" display="工程管理表"/>
    <hyperlink ref="B6" location="マスタ!A1" display="マスタ"/>
  </hyperlinks>
  <pageMargins left="0.75" right="0.75" top="1" bottom="1" header="0.51200000000000001" footer="0.51200000000000001"/>
  <pageSetup paperSize="9" orientation="portrait" horizontalDpi="0"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GI124"/>
  <sheetViews>
    <sheetView showGridLines="0" tabSelected="1" view="pageBreakPreview" zoomScale="60" zoomScaleNormal="75" workbookViewId="0">
      <pane xSplit="9" ySplit="12" topLeftCell="AW13" activePane="bottomRight" state="frozen"/>
      <selection pane="topRight" activeCell="I1" sqref="I1"/>
      <selection pane="bottomLeft" activeCell="A11" sqref="A11"/>
      <selection pane="bottomRight" sqref="A1:XFD1048576"/>
    </sheetView>
  </sheetViews>
  <sheetFormatPr defaultRowHeight="13.5" x14ac:dyDescent="0.15"/>
  <cols>
    <col min="1" max="1" width="3.375" style="1" customWidth="1"/>
    <col min="2" max="2" width="19" style="1" customWidth="1"/>
    <col min="3" max="3" width="32.875" style="1" customWidth="1"/>
    <col min="4" max="4" width="15.125" style="1" customWidth="1"/>
    <col min="5" max="5" width="6.125" style="1" customWidth="1"/>
    <col min="6" max="7" width="9" style="1"/>
    <col min="8" max="8" width="7.375" style="1" customWidth="1"/>
    <col min="9" max="9" width="7" style="1" customWidth="1"/>
    <col min="10" max="191" width="6.125" style="1" customWidth="1"/>
    <col min="192" max="16384" width="9" style="1"/>
  </cols>
  <sheetData>
    <row r="1" spans="1:191" ht="21.75" customHeight="1" x14ac:dyDescent="0.15">
      <c r="B1" s="117" t="s">
        <v>68</v>
      </c>
      <c r="C1" s="106"/>
    </row>
    <row r="3" spans="1:191" x14ac:dyDescent="0.15">
      <c r="D3" s="2"/>
    </row>
    <row r="4" spans="1:191" ht="21.75" customHeight="1" x14ac:dyDescent="0.15">
      <c r="B4" s="3" t="s">
        <v>1</v>
      </c>
      <c r="C4" s="4">
        <v>42828</v>
      </c>
      <c r="D4" s="5"/>
      <c r="I4" s="6"/>
      <c r="J4" s="6"/>
    </row>
    <row r="5" spans="1:191" ht="21.75" customHeight="1" x14ac:dyDescent="0.15">
      <c r="B5" s="105"/>
      <c r="C5" s="7"/>
      <c r="D5" s="5"/>
      <c r="E5"/>
      <c r="F5" s="22"/>
      <c r="G5" s="70"/>
      <c r="J5" s="6"/>
    </row>
    <row r="6" spans="1:191" x14ac:dyDescent="0.15">
      <c r="C6" s="5"/>
      <c r="D6" s="5"/>
      <c r="E6"/>
      <c r="F6" s="22"/>
      <c r="G6" s="70"/>
      <c r="J6" s="6"/>
    </row>
    <row r="7" spans="1:191" x14ac:dyDescent="0.15">
      <c r="B7" s="8" t="s">
        <v>3</v>
      </c>
      <c r="C7" s="9">
        <f>IF(SUMIF($E$13:$E$112,"予定",$H$13:$H$112)=0,0,SUMIF($E$13:$E$112,"予定",$H$13:$H$112))</f>
        <v>0</v>
      </c>
      <c r="E7"/>
      <c r="F7" s="22"/>
      <c r="G7" s="70"/>
      <c r="J7" s="6"/>
    </row>
    <row r="8" spans="1:191" x14ac:dyDescent="0.15">
      <c r="B8" s="10" t="s">
        <v>4</v>
      </c>
      <c r="C8" s="11">
        <f>IF(SUMIF($E$13:$E$112,"実績",$H$13:$H$112)=0,0,SUMIF($E$13:$E$112,"実績",$H$13:$H$112))</f>
        <v>0</v>
      </c>
      <c r="E8"/>
      <c r="F8" s="22"/>
      <c r="G8" s="70"/>
      <c r="J8" s="6"/>
    </row>
    <row r="9" spans="1:191" x14ac:dyDescent="0.15">
      <c r="B9" s="12" t="s">
        <v>5</v>
      </c>
      <c r="C9" s="13">
        <f>IF(C7="","",C8-C7)</f>
        <v>0</v>
      </c>
      <c r="E9"/>
      <c r="F9" s="22"/>
      <c r="G9" s="70"/>
      <c r="J9" s="6"/>
    </row>
    <row r="10" spans="1:191" x14ac:dyDescent="0.15">
      <c r="B10" s="14"/>
      <c r="C10" s="15"/>
      <c r="E10"/>
      <c r="F10" s="22"/>
      <c r="G10" s="70"/>
      <c r="J10" s="6"/>
    </row>
    <row r="12" spans="1:191" ht="29.25" customHeight="1" x14ac:dyDescent="0.15">
      <c r="A12" s="16" t="s">
        <v>14</v>
      </c>
      <c r="B12" s="17" t="str">
        <f>分類タイトル</f>
        <v>分類名</v>
      </c>
      <c r="C12" s="17" t="s">
        <v>6</v>
      </c>
      <c r="D12" s="17" t="s">
        <v>7</v>
      </c>
      <c r="E12" s="18" t="s">
        <v>8</v>
      </c>
      <c r="F12" s="17" t="s">
        <v>9</v>
      </c>
      <c r="G12" s="17" t="s">
        <v>10</v>
      </c>
      <c r="H12" s="18" t="s">
        <v>11</v>
      </c>
      <c r="I12" s="19" t="s">
        <v>12</v>
      </c>
      <c r="J12" s="20">
        <f>C4</f>
        <v>42828</v>
      </c>
      <c r="K12" s="21">
        <f t="shared" ref="K12:AP12" si="0">J12+1</f>
        <v>42829</v>
      </c>
      <c r="L12" s="21">
        <f t="shared" si="0"/>
        <v>42830</v>
      </c>
      <c r="M12" s="21">
        <f t="shared" si="0"/>
        <v>42831</v>
      </c>
      <c r="N12" s="21">
        <f t="shared" si="0"/>
        <v>42832</v>
      </c>
      <c r="O12" s="21">
        <f t="shared" si="0"/>
        <v>42833</v>
      </c>
      <c r="P12" s="21">
        <f t="shared" si="0"/>
        <v>42834</v>
      </c>
      <c r="Q12" s="21">
        <f t="shared" si="0"/>
        <v>42835</v>
      </c>
      <c r="R12" s="21">
        <f t="shared" si="0"/>
        <v>42836</v>
      </c>
      <c r="S12" s="21">
        <f t="shared" si="0"/>
        <v>42837</v>
      </c>
      <c r="T12" s="21">
        <f t="shared" si="0"/>
        <v>42838</v>
      </c>
      <c r="U12" s="21">
        <f t="shared" si="0"/>
        <v>42839</v>
      </c>
      <c r="V12" s="21">
        <f t="shared" si="0"/>
        <v>42840</v>
      </c>
      <c r="W12" s="21">
        <f t="shared" si="0"/>
        <v>42841</v>
      </c>
      <c r="X12" s="21">
        <f t="shared" si="0"/>
        <v>42842</v>
      </c>
      <c r="Y12" s="21">
        <f t="shared" si="0"/>
        <v>42843</v>
      </c>
      <c r="Z12" s="21">
        <f t="shared" si="0"/>
        <v>42844</v>
      </c>
      <c r="AA12" s="21">
        <f t="shared" si="0"/>
        <v>42845</v>
      </c>
      <c r="AB12" s="21">
        <f t="shared" si="0"/>
        <v>42846</v>
      </c>
      <c r="AC12" s="21">
        <f t="shared" si="0"/>
        <v>42847</v>
      </c>
      <c r="AD12" s="21">
        <f t="shared" si="0"/>
        <v>42848</v>
      </c>
      <c r="AE12" s="21">
        <f t="shared" si="0"/>
        <v>42849</v>
      </c>
      <c r="AF12" s="21">
        <f t="shared" si="0"/>
        <v>42850</v>
      </c>
      <c r="AG12" s="21">
        <f t="shared" si="0"/>
        <v>42851</v>
      </c>
      <c r="AH12" s="21">
        <f t="shared" si="0"/>
        <v>42852</v>
      </c>
      <c r="AI12" s="21">
        <f t="shared" si="0"/>
        <v>42853</v>
      </c>
      <c r="AJ12" s="21">
        <f t="shared" si="0"/>
        <v>42854</v>
      </c>
      <c r="AK12" s="21">
        <f t="shared" si="0"/>
        <v>42855</v>
      </c>
      <c r="AL12" s="21">
        <f t="shared" si="0"/>
        <v>42856</v>
      </c>
      <c r="AM12" s="21">
        <f t="shared" si="0"/>
        <v>42857</v>
      </c>
      <c r="AN12" s="21">
        <f t="shared" si="0"/>
        <v>42858</v>
      </c>
      <c r="AO12" s="21">
        <f t="shared" si="0"/>
        <v>42859</v>
      </c>
      <c r="AP12" s="21">
        <f t="shared" si="0"/>
        <v>42860</v>
      </c>
      <c r="AQ12" s="21">
        <f t="shared" ref="AQ12:BS12" si="1">AP12+1</f>
        <v>42861</v>
      </c>
      <c r="AR12" s="21">
        <f t="shared" si="1"/>
        <v>42862</v>
      </c>
      <c r="AS12" s="21">
        <f t="shared" si="1"/>
        <v>42863</v>
      </c>
      <c r="AT12" s="21">
        <f t="shared" si="1"/>
        <v>42864</v>
      </c>
      <c r="AU12" s="21">
        <f t="shared" si="1"/>
        <v>42865</v>
      </c>
      <c r="AV12" s="21">
        <f t="shared" si="1"/>
        <v>42866</v>
      </c>
      <c r="AW12" s="21">
        <f t="shared" si="1"/>
        <v>42867</v>
      </c>
      <c r="AX12" s="21">
        <f t="shared" si="1"/>
        <v>42868</v>
      </c>
      <c r="AY12" s="21">
        <f t="shared" si="1"/>
        <v>42869</v>
      </c>
      <c r="AZ12" s="21">
        <f t="shared" si="1"/>
        <v>42870</v>
      </c>
      <c r="BA12" s="21">
        <f t="shared" si="1"/>
        <v>42871</v>
      </c>
      <c r="BB12" s="21">
        <f t="shared" si="1"/>
        <v>42872</v>
      </c>
      <c r="BC12" s="21">
        <f t="shared" si="1"/>
        <v>42873</v>
      </c>
      <c r="BD12" s="21">
        <f t="shared" si="1"/>
        <v>42874</v>
      </c>
      <c r="BE12" s="21">
        <f t="shared" si="1"/>
        <v>42875</v>
      </c>
      <c r="BF12" s="21">
        <f t="shared" si="1"/>
        <v>42876</v>
      </c>
      <c r="BG12" s="21">
        <f t="shared" si="1"/>
        <v>42877</v>
      </c>
      <c r="BH12" s="21">
        <f t="shared" si="1"/>
        <v>42878</v>
      </c>
      <c r="BI12" s="21">
        <f t="shared" si="1"/>
        <v>42879</v>
      </c>
      <c r="BJ12" s="21">
        <f t="shared" si="1"/>
        <v>42880</v>
      </c>
      <c r="BK12" s="21">
        <f t="shared" si="1"/>
        <v>42881</v>
      </c>
      <c r="BL12" s="21">
        <f t="shared" si="1"/>
        <v>42882</v>
      </c>
      <c r="BM12" s="21">
        <f t="shared" si="1"/>
        <v>42883</v>
      </c>
      <c r="BN12" s="21">
        <f t="shared" si="1"/>
        <v>42884</v>
      </c>
      <c r="BO12" s="21">
        <f t="shared" si="1"/>
        <v>42885</v>
      </c>
      <c r="BP12" s="21">
        <f t="shared" si="1"/>
        <v>42886</v>
      </c>
      <c r="BQ12" s="21">
        <f t="shared" si="1"/>
        <v>42887</v>
      </c>
      <c r="BR12" s="21">
        <f t="shared" si="1"/>
        <v>42888</v>
      </c>
      <c r="BS12" s="21">
        <f t="shared" si="1"/>
        <v>42889</v>
      </c>
      <c r="BT12" s="21">
        <f t="shared" ref="BT12:CT12" si="2">BS12+1</f>
        <v>42890</v>
      </c>
      <c r="BU12" s="21">
        <f t="shared" si="2"/>
        <v>42891</v>
      </c>
      <c r="BV12" s="21">
        <f t="shared" si="2"/>
        <v>42892</v>
      </c>
      <c r="BW12" s="21">
        <f t="shared" si="2"/>
        <v>42893</v>
      </c>
      <c r="BX12" s="21">
        <f t="shared" si="2"/>
        <v>42894</v>
      </c>
      <c r="BY12" s="21">
        <f t="shared" si="2"/>
        <v>42895</v>
      </c>
      <c r="BZ12" s="21">
        <f t="shared" si="2"/>
        <v>42896</v>
      </c>
      <c r="CA12" s="21">
        <f t="shared" si="2"/>
        <v>42897</v>
      </c>
      <c r="CB12" s="21">
        <f t="shared" si="2"/>
        <v>42898</v>
      </c>
      <c r="CC12" s="21">
        <f t="shared" si="2"/>
        <v>42899</v>
      </c>
      <c r="CD12" s="21">
        <f t="shared" si="2"/>
        <v>42900</v>
      </c>
      <c r="CE12" s="21">
        <f t="shared" si="2"/>
        <v>42901</v>
      </c>
      <c r="CF12" s="21">
        <f t="shared" si="2"/>
        <v>42902</v>
      </c>
      <c r="CG12" s="21">
        <f t="shared" si="2"/>
        <v>42903</v>
      </c>
      <c r="CH12" s="21">
        <f t="shared" si="2"/>
        <v>42904</v>
      </c>
      <c r="CI12" s="21">
        <f t="shared" si="2"/>
        <v>42905</v>
      </c>
      <c r="CJ12" s="21">
        <f t="shared" si="2"/>
        <v>42906</v>
      </c>
      <c r="CK12" s="21">
        <f t="shared" si="2"/>
        <v>42907</v>
      </c>
      <c r="CL12" s="21">
        <f t="shared" si="2"/>
        <v>42908</v>
      </c>
      <c r="CM12" s="21">
        <f t="shared" si="2"/>
        <v>42909</v>
      </c>
      <c r="CN12" s="21">
        <f t="shared" si="2"/>
        <v>42910</v>
      </c>
      <c r="CO12" s="21">
        <f t="shared" si="2"/>
        <v>42911</v>
      </c>
      <c r="CP12" s="21">
        <f t="shared" si="2"/>
        <v>42912</v>
      </c>
      <c r="CQ12" s="21">
        <f t="shared" si="2"/>
        <v>42913</v>
      </c>
      <c r="CR12" s="21">
        <f t="shared" si="2"/>
        <v>42914</v>
      </c>
      <c r="CS12" s="21">
        <f t="shared" si="2"/>
        <v>42915</v>
      </c>
      <c r="CT12" s="21">
        <f t="shared" si="2"/>
        <v>42916</v>
      </c>
      <c r="CU12" s="21">
        <f t="shared" ref="CU12:DZ12" si="3">CT12+1</f>
        <v>42917</v>
      </c>
      <c r="CV12" s="21">
        <f t="shared" si="3"/>
        <v>42918</v>
      </c>
      <c r="CW12" s="21">
        <f t="shared" si="3"/>
        <v>42919</v>
      </c>
      <c r="CX12" s="21">
        <f t="shared" si="3"/>
        <v>42920</v>
      </c>
      <c r="CY12" s="21">
        <f t="shared" si="3"/>
        <v>42921</v>
      </c>
      <c r="CZ12" s="21">
        <f t="shared" si="3"/>
        <v>42922</v>
      </c>
      <c r="DA12" s="21">
        <f t="shared" si="3"/>
        <v>42923</v>
      </c>
      <c r="DB12" s="21">
        <f t="shared" si="3"/>
        <v>42924</v>
      </c>
      <c r="DC12" s="21">
        <f t="shared" si="3"/>
        <v>42925</v>
      </c>
      <c r="DD12" s="21">
        <f t="shared" si="3"/>
        <v>42926</v>
      </c>
      <c r="DE12" s="21">
        <f t="shared" si="3"/>
        <v>42927</v>
      </c>
      <c r="DF12" s="21">
        <f t="shared" si="3"/>
        <v>42928</v>
      </c>
      <c r="DG12" s="21">
        <f t="shared" si="3"/>
        <v>42929</v>
      </c>
      <c r="DH12" s="21">
        <f t="shared" si="3"/>
        <v>42930</v>
      </c>
      <c r="DI12" s="21">
        <f t="shared" si="3"/>
        <v>42931</v>
      </c>
      <c r="DJ12" s="21">
        <f t="shared" si="3"/>
        <v>42932</v>
      </c>
      <c r="DK12" s="21">
        <f t="shared" si="3"/>
        <v>42933</v>
      </c>
      <c r="DL12" s="21">
        <f t="shared" si="3"/>
        <v>42934</v>
      </c>
      <c r="DM12" s="21">
        <f t="shared" si="3"/>
        <v>42935</v>
      </c>
      <c r="DN12" s="21">
        <f t="shared" si="3"/>
        <v>42936</v>
      </c>
      <c r="DO12" s="21">
        <f t="shared" si="3"/>
        <v>42937</v>
      </c>
      <c r="DP12" s="21">
        <f t="shared" si="3"/>
        <v>42938</v>
      </c>
      <c r="DQ12" s="21">
        <f t="shared" si="3"/>
        <v>42939</v>
      </c>
      <c r="DR12" s="21">
        <f t="shared" si="3"/>
        <v>42940</v>
      </c>
      <c r="DS12" s="21">
        <f t="shared" si="3"/>
        <v>42941</v>
      </c>
      <c r="DT12" s="21">
        <f t="shared" si="3"/>
        <v>42942</v>
      </c>
      <c r="DU12" s="21">
        <f t="shared" si="3"/>
        <v>42943</v>
      </c>
      <c r="DV12" s="21">
        <f t="shared" si="3"/>
        <v>42944</v>
      </c>
      <c r="DW12" s="21">
        <f t="shared" si="3"/>
        <v>42945</v>
      </c>
      <c r="DX12" s="21">
        <f t="shared" si="3"/>
        <v>42946</v>
      </c>
      <c r="DY12" s="21">
        <f t="shared" si="3"/>
        <v>42947</v>
      </c>
      <c r="DZ12" s="21">
        <f t="shared" si="3"/>
        <v>42948</v>
      </c>
      <c r="EA12" s="21">
        <f t="shared" ref="EA12:FF12" si="4">DZ12+1</f>
        <v>42949</v>
      </c>
      <c r="EB12" s="21">
        <f t="shared" si="4"/>
        <v>42950</v>
      </c>
      <c r="EC12" s="21">
        <f t="shared" si="4"/>
        <v>42951</v>
      </c>
      <c r="ED12" s="21">
        <f t="shared" si="4"/>
        <v>42952</v>
      </c>
      <c r="EE12" s="21">
        <f t="shared" si="4"/>
        <v>42953</v>
      </c>
      <c r="EF12" s="21">
        <f t="shared" si="4"/>
        <v>42954</v>
      </c>
      <c r="EG12" s="21">
        <f t="shared" si="4"/>
        <v>42955</v>
      </c>
      <c r="EH12" s="21">
        <f t="shared" si="4"/>
        <v>42956</v>
      </c>
      <c r="EI12" s="21">
        <f t="shared" si="4"/>
        <v>42957</v>
      </c>
      <c r="EJ12" s="21">
        <f t="shared" si="4"/>
        <v>42958</v>
      </c>
      <c r="EK12" s="21">
        <f t="shared" si="4"/>
        <v>42959</v>
      </c>
      <c r="EL12" s="21">
        <f t="shared" si="4"/>
        <v>42960</v>
      </c>
      <c r="EM12" s="21">
        <f t="shared" si="4"/>
        <v>42961</v>
      </c>
      <c r="EN12" s="21">
        <f t="shared" si="4"/>
        <v>42962</v>
      </c>
      <c r="EO12" s="21">
        <f t="shared" si="4"/>
        <v>42963</v>
      </c>
      <c r="EP12" s="21">
        <f t="shared" si="4"/>
        <v>42964</v>
      </c>
      <c r="EQ12" s="21">
        <f t="shared" si="4"/>
        <v>42965</v>
      </c>
      <c r="ER12" s="21">
        <f t="shared" si="4"/>
        <v>42966</v>
      </c>
      <c r="ES12" s="21">
        <f t="shared" si="4"/>
        <v>42967</v>
      </c>
      <c r="ET12" s="21">
        <f t="shared" si="4"/>
        <v>42968</v>
      </c>
      <c r="EU12" s="21">
        <f t="shared" si="4"/>
        <v>42969</v>
      </c>
      <c r="EV12" s="21">
        <f t="shared" si="4"/>
        <v>42970</v>
      </c>
      <c r="EW12" s="21">
        <f t="shared" si="4"/>
        <v>42971</v>
      </c>
      <c r="EX12" s="21">
        <f t="shared" si="4"/>
        <v>42972</v>
      </c>
      <c r="EY12" s="21">
        <f t="shared" si="4"/>
        <v>42973</v>
      </c>
      <c r="EZ12" s="21">
        <f t="shared" si="4"/>
        <v>42974</v>
      </c>
      <c r="FA12" s="21">
        <f t="shared" si="4"/>
        <v>42975</v>
      </c>
      <c r="FB12" s="21">
        <f t="shared" si="4"/>
        <v>42976</v>
      </c>
      <c r="FC12" s="21">
        <f t="shared" si="4"/>
        <v>42977</v>
      </c>
      <c r="FD12" s="21">
        <f t="shared" si="4"/>
        <v>42978</v>
      </c>
      <c r="FE12" s="21">
        <f t="shared" si="4"/>
        <v>42979</v>
      </c>
      <c r="FF12" s="21">
        <f t="shared" si="4"/>
        <v>42980</v>
      </c>
      <c r="FG12" s="21">
        <f t="shared" ref="FG12:GA12" si="5">FF12+1</f>
        <v>42981</v>
      </c>
      <c r="FH12" s="21">
        <f t="shared" si="5"/>
        <v>42982</v>
      </c>
      <c r="FI12" s="21">
        <f t="shared" si="5"/>
        <v>42983</v>
      </c>
      <c r="FJ12" s="21">
        <f t="shared" si="5"/>
        <v>42984</v>
      </c>
      <c r="FK12" s="21">
        <f t="shared" si="5"/>
        <v>42985</v>
      </c>
      <c r="FL12" s="21">
        <f t="shared" si="5"/>
        <v>42986</v>
      </c>
      <c r="FM12" s="21">
        <f t="shared" si="5"/>
        <v>42987</v>
      </c>
      <c r="FN12" s="21">
        <f t="shared" si="5"/>
        <v>42988</v>
      </c>
      <c r="FO12" s="21">
        <f t="shared" si="5"/>
        <v>42989</v>
      </c>
      <c r="FP12" s="21">
        <f t="shared" si="5"/>
        <v>42990</v>
      </c>
      <c r="FQ12" s="21">
        <f t="shared" si="5"/>
        <v>42991</v>
      </c>
      <c r="FR12" s="21">
        <f t="shared" si="5"/>
        <v>42992</v>
      </c>
      <c r="FS12" s="21">
        <f t="shared" si="5"/>
        <v>42993</v>
      </c>
      <c r="FT12" s="21">
        <f t="shared" si="5"/>
        <v>42994</v>
      </c>
      <c r="FU12" s="21">
        <f t="shared" si="5"/>
        <v>42995</v>
      </c>
      <c r="FV12" s="21">
        <f t="shared" si="5"/>
        <v>42996</v>
      </c>
      <c r="FW12" s="21">
        <f t="shared" si="5"/>
        <v>42997</v>
      </c>
      <c r="FX12" s="21">
        <f t="shared" si="5"/>
        <v>42998</v>
      </c>
      <c r="FY12" s="21">
        <f t="shared" si="5"/>
        <v>42999</v>
      </c>
      <c r="FZ12" s="21">
        <f t="shared" si="5"/>
        <v>43000</v>
      </c>
      <c r="GA12" s="21">
        <f t="shared" si="5"/>
        <v>43001</v>
      </c>
      <c r="GB12" s="21">
        <f t="shared" ref="GB12:GI12" si="6">GA12+1</f>
        <v>43002</v>
      </c>
      <c r="GC12" s="21">
        <f t="shared" si="6"/>
        <v>43003</v>
      </c>
      <c r="GD12" s="21">
        <f t="shared" si="6"/>
        <v>43004</v>
      </c>
      <c r="GE12" s="21">
        <f t="shared" si="6"/>
        <v>43005</v>
      </c>
      <c r="GF12" s="21">
        <f t="shared" si="6"/>
        <v>43006</v>
      </c>
      <c r="GG12" s="21">
        <f t="shared" si="6"/>
        <v>43007</v>
      </c>
      <c r="GH12" s="21">
        <f t="shared" si="6"/>
        <v>43008</v>
      </c>
      <c r="GI12" s="21">
        <f t="shared" si="6"/>
        <v>43009</v>
      </c>
    </row>
    <row r="13" spans="1:191" x14ac:dyDescent="0.15">
      <c r="A13" s="23">
        <v>1</v>
      </c>
      <c r="B13" s="24" t="s">
        <v>117</v>
      </c>
      <c r="C13" s="25" t="s">
        <v>111</v>
      </c>
      <c r="D13" s="26" t="s">
        <v>114</v>
      </c>
      <c r="E13" s="27" t="s">
        <v>13</v>
      </c>
      <c r="F13" s="28">
        <v>42828</v>
      </c>
      <c r="G13" s="28">
        <v>42841</v>
      </c>
      <c r="H13" s="29">
        <f>SUM(J13:GI13)</f>
        <v>0</v>
      </c>
      <c r="I13" s="30"/>
      <c r="J13" s="31"/>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4"/>
    </row>
    <row r="14" spans="1:191" x14ac:dyDescent="0.15">
      <c r="A14" s="35">
        <f>A13</f>
        <v>1</v>
      </c>
      <c r="B14" s="36" t="str">
        <f>B13</f>
        <v>SA</v>
      </c>
      <c r="C14" s="36" t="str">
        <f>C13</f>
        <v>開発計画書作成</v>
      </c>
      <c r="D14" s="37" t="str">
        <f>D13</f>
        <v>那須</v>
      </c>
      <c r="E14" s="38" t="s">
        <v>0</v>
      </c>
      <c r="F14" s="39">
        <v>42828</v>
      </c>
      <c r="G14" s="39"/>
      <c r="H14" s="55">
        <f>SUM(J14:GI14)</f>
        <v>0</v>
      </c>
      <c r="I14" s="40">
        <f>IF(OR(H13="",H14=""),"",H14-H13)</f>
        <v>0</v>
      </c>
      <c r="J14" s="41"/>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4"/>
    </row>
    <row r="15" spans="1:191" x14ac:dyDescent="0.15">
      <c r="A15" s="23">
        <v>2</v>
      </c>
      <c r="B15" s="24" t="s">
        <v>118</v>
      </c>
      <c r="C15" s="45" t="s">
        <v>112</v>
      </c>
      <c r="D15" s="26" t="s">
        <v>115</v>
      </c>
      <c r="E15" s="46" t="s">
        <v>13</v>
      </c>
      <c r="F15" s="47">
        <v>42828</v>
      </c>
      <c r="G15" s="47">
        <v>42841</v>
      </c>
      <c r="H15" s="29">
        <f>SUM(J15:GI15)</f>
        <v>0</v>
      </c>
      <c r="I15" s="48"/>
      <c r="J15" s="49"/>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2"/>
    </row>
    <row r="16" spans="1:191" x14ac:dyDescent="0.15">
      <c r="A16" s="35">
        <f>A15</f>
        <v>2</v>
      </c>
      <c r="B16" s="36" t="str">
        <f>B15</f>
        <v>SA</v>
      </c>
      <c r="C16" s="36" t="str">
        <f>C15</f>
        <v>開発計画書作成</v>
      </c>
      <c r="D16" s="37" t="str">
        <f>D15</f>
        <v>若山</v>
      </c>
      <c r="E16" s="53" t="s">
        <v>0</v>
      </c>
      <c r="F16" s="54"/>
      <c r="G16" s="54"/>
      <c r="H16" s="55">
        <f>SUM(J16:GI16)</f>
        <v>0</v>
      </c>
      <c r="I16" s="56">
        <f>IF(OR(H15="",H16=""),"",H16-H15)</f>
        <v>0</v>
      </c>
      <c r="J16" s="57"/>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c r="DR16" s="59"/>
      <c r="DS16" s="59"/>
      <c r="DT16" s="59"/>
      <c r="DU16" s="59"/>
      <c r="DV16" s="59"/>
      <c r="DW16" s="59"/>
      <c r="DX16" s="59"/>
      <c r="DY16" s="59"/>
      <c r="DZ16" s="59"/>
      <c r="EA16" s="59"/>
      <c r="EB16" s="59"/>
      <c r="EC16" s="59"/>
      <c r="ED16" s="59"/>
      <c r="EE16" s="59"/>
      <c r="EF16" s="59"/>
      <c r="EG16" s="59"/>
      <c r="EH16" s="59"/>
      <c r="EI16" s="59"/>
      <c r="EJ16" s="59"/>
      <c r="EK16" s="59"/>
      <c r="EL16" s="59"/>
      <c r="EM16" s="59"/>
      <c r="EN16" s="59"/>
      <c r="EO16" s="59"/>
      <c r="EP16" s="59"/>
      <c r="EQ16" s="59"/>
      <c r="ER16" s="59"/>
      <c r="ES16" s="59"/>
      <c r="ET16" s="59"/>
      <c r="EU16" s="59"/>
      <c r="EV16" s="59"/>
      <c r="EW16" s="59"/>
      <c r="EX16" s="59"/>
      <c r="EY16" s="59"/>
      <c r="EZ16" s="59"/>
      <c r="FA16" s="59"/>
      <c r="FB16" s="59"/>
      <c r="FC16" s="59"/>
      <c r="FD16" s="59"/>
      <c r="FE16" s="59"/>
      <c r="FF16" s="59"/>
      <c r="FG16" s="59"/>
      <c r="FH16" s="59"/>
      <c r="FI16" s="59"/>
      <c r="FJ16" s="59"/>
      <c r="FK16" s="59"/>
      <c r="FL16" s="59"/>
      <c r="FM16" s="59"/>
      <c r="FN16" s="59"/>
      <c r="FO16" s="59"/>
      <c r="FP16" s="59"/>
      <c r="FQ16" s="59"/>
      <c r="FR16" s="59"/>
      <c r="FS16" s="59"/>
      <c r="FT16" s="59"/>
      <c r="FU16" s="59"/>
      <c r="FV16" s="59"/>
      <c r="FW16" s="59"/>
      <c r="FX16" s="59"/>
      <c r="FY16" s="59"/>
      <c r="FZ16" s="59"/>
      <c r="GA16" s="59"/>
      <c r="GB16" s="59"/>
      <c r="GC16" s="59"/>
      <c r="GD16" s="59"/>
      <c r="GE16" s="59"/>
      <c r="GF16" s="59"/>
      <c r="GG16" s="59"/>
      <c r="GH16" s="59"/>
      <c r="GI16" s="60"/>
    </row>
    <row r="17" spans="1:191" x14ac:dyDescent="0.15">
      <c r="A17" s="23">
        <v>3</v>
      </c>
      <c r="B17" s="24" t="s">
        <v>119</v>
      </c>
      <c r="C17" s="45" t="s">
        <v>113</v>
      </c>
      <c r="D17" s="26" t="s">
        <v>114</v>
      </c>
      <c r="E17" s="27" t="s">
        <v>13</v>
      </c>
      <c r="F17" s="28">
        <v>42842</v>
      </c>
      <c r="G17" s="28">
        <v>42848</v>
      </c>
      <c r="H17" s="29">
        <f t="shared" ref="H17:H80" si="7">SUM(J17:GI17)</f>
        <v>0</v>
      </c>
      <c r="I17" s="30"/>
      <c r="J17" s="31"/>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4"/>
    </row>
    <row r="18" spans="1:191" x14ac:dyDescent="0.15">
      <c r="A18" s="35">
        <f>A17</f>
        <v>3</v>
      </c>
      <c r="B18" s="36" t="str">
        <f>B17</f>
        <v>RD</v>
      </c>
      <c r="C18" s="36" t="str">
        <f>C17</f>
        <v>要件定義書作成</v>
      </c>
      <c r="D18" s="37"/>
      <c r="E18" s="38" t="s">
        <v>0</v>
      </c>
      <c r="F18" s="39"/>
      <c r="G18" s="39"/>
      <c r="H18" s="55">
        <f t="shared" si="7"/>
        <v>0</v>
      </c>
      <c r="I18" s="40"/>
      <c r="J18" s="41"/>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4"/>
    </row>
    <row r="19" spans="1:191" x14ac:dyDescent="0.15">
      <c r="A19" s="23">
        <v>4</v>
      </c>
      <c r="B19" s="24" t="s">
        <v>119</v>
      </c>
      <c r="C19" s="45" t="s">
        <v>113</v>
      </c>
      <c r="D19" s="26" t="s">
        <v>115</v>
      </c>
      <c r="E19" s="46" t="s">
        <v>13</v>
      </c>
      <c r="F19" s="47">
        <v>42842</v>
      </c>
      <c r="G19" s="47">
        <v>42848</v>
      </c>
      <c r="H19" s="29">
        <f t="shared" si="7"/>
        <v>0</v>
      </c>
      <c r="I19" s="48"/>
      <c r="J19" s="49"/>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2"/>
    </row>
    <row r="20" spans="1:191" x14ac:dyDescent="0.15">
      <c r="A20" s="35">
        <f>A19</f>
        <v>4</v>
      </c>
      <c r="B20" s="36" t="str">
        <f>B19</f>
        <v>RD</v>
      </c>
      <c r="C20" s="36" t="str">
        <f>C19</f>
        <v>要件定義書作成</v>
      </c>
      <c r="D20" s="37"/>
      <c r="E20" s="53" t="s">
        <v>0</v>
      </c>
      <c r="F20" s="54"/>
      <c r="G20" s="54"/>
      <c r="H20" s="55">
        <f t="shared" si="7"/>
        <v>0</v>
      </c>
      <c r="I20" s="56"/>
      <c r="J20" s="57"/>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c r="CE20" s="59"/>
      <c r="CF20" s="59"/>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c r="DR20" s="59"/>
      <c r="DS20" s="59"/>
      <c r="DT20" s="59"/>
      <c r="DU20" s="59"/>
      <c r="DV20" s="59"/>
      <c r="DW20" s="59"/>
      <c r="DX20" s="59"/>
      <c r="DY20" s="59"/>
      <c r="DZ20" s="59"/>
      <c r="EA20" s="59"/>
      <c r="EB20" s="59"/>
      <c r="EC20" s="59"/>
      <c r="ED20" s="59"/>
      <c r="EE20" s="59"/>
      <c r="EF20" s="59"/>
      <c r="EG20" s="59"/>
      <c r="EH20" s="59"/>
      <c r="EI20" s="59"/>
      <c r="EJ20" s="59"/>
      <c r="EK20" s="59"/>
      <c r="EL20" s="59"/>
      <c r="EM20" s="59"/>
      <c r="EN20" s="59"/>
      <c r="EO20" s="59"/>
      <c r="EP20" s="59"/>
      <c r="EQ20" s="59"/>
      <c r="ER20" s="59"/>
      <c r="ES20" s="59"/>
      <c r="ET20" s="59"/>
      <c r="EU20" s="59"/>
      <c r="EV20" s="59"/>
      <c r="EW20" s="59"/>
      <c r="EX20" s="59"/>
      <c r="EY20" s="59"/>
      <c r="EZ20" s="59"/>
      <c r="FA20" s="59"/>
      <c r="FB20" s="59"/>
      <c r="FC20" s="59"/>
      <c r="FD20" s="59"/>
      <c r="FE20" s="59"/>
      <c r="FF20" s="59"/>
      <c r="FG20" s="59"/>
      <c r="FH20" s="59"/>
      <c r="FI20" s="59"/>
      <c r="FJ20" s="59"/>
      <c r="FK20" s="59"/>
      <c r="FL20" s="59"/>
      <c r="FM20" s="59"/>
      <c r="FN20" s="59"/>
      <c r="FO20" s="59"/>
      <c r="FP20" s="59"/>
      <c r="FQ20" s="59"/>
      <c r="FR20" s="59"/>
      <c r="FS20" s="59"/>
      <c r="FT20" s="59"/>
      <c r="FU20" s="59"/>
      <c r="FV20" s="59"/>
      <c r="FW20" s="59"/>
      <c r="FX20" s="59"/>
      <c r="FY20" s="59"/>
      <c r="FZ20" s="59"/>
      <c r="GA20" s="59"/>
      <c r="GB20" s="59"/>
      <c r="GC20" s="59"/>
      <c r="GD20" s="59"/>
      <c r="GE20" s="59"/>
      <c r="GF20" s="59"/>
      <c r="GG20" s="59"/>
      <c r="GH20" s="59"/>
      <c r="GI20" s="60"/>
    </row>
    <row r="21" spans="1:191" x14ac:dyDescent="0.15">
      <c r="A21" s="23">
        <v>5</v>
      </c>
      <c r="B21" s="24" t="s">
        <v>120</v>
      </c>
      <c r="C21" s="45" t="s">
        <v>121</v>
      </c>
      <c r="D21" s="26" t="s">
        <v>114</v>
      </c>
      <c r="E21" s="46" t="s">
        <v>13</v>
      </c>
      <c r="F21" s="47">
        <v>42849</v>
      </c>
      <c r="G21" s="47">
        <v>42861</v>
      </c>
      <c r="H21" s="29">
        <f t="shared" si="7"/>
        <v>0</v>
      </c>
      <c r="I21" s="48"/>
      <c r="J21" s="49"/>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2"/>
    </row>
    <row r="22" spans="1:191" x14ac:dyDescent="0.15">
      <c r="A22" s="35">
        <f>A21</f>
        <v>5</v>
      </c>
      <c r="B22" s="36" t="str">
        <f>B21</f>
        <v>FD</v>
      </c>
      <c r="C22" s="36" t="str">
        <f>C21</f>
        <v>Webアプリ機能設計書作成</v>
      </c>
      <c r="D22" s="37"/>
      <c r="E22" s="53" t="s">
        <v>0</v>
      </c>
      <c r="F22" s="54"/>
      <c r="G22" s="54"/>
      <c r="H22" s="55">
        <f t="shared" si="7"/>
        <v>0</v>
      </c>
      <c r="I22" s="56"/>
      <c r="J22" s="57"/>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c r="CE22" s="59"/>
      <c r="CF22" s="59"/>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c r="DR22" s="59"/>
      <c r="DS22" s="59"/>
      <c r="DT22" s="59"/>
      <c r="DU22" s="59"/>
      <c r="DV22" s="59"/>
      <c r="DW22" s="59"/>
      <c r="DX22" s="59"/>
      <c r="DY22" s="59"/>
      <c r="DZ22" s="59"/>
      <c r="EA22" s="59"/>
      <c r="EB22" s="59"/>
      <c r="EC22" s="59"/>
      <c r="ED22" s="59"/>
      <c r="EE22" s="59"/>
      <c r="EF22" s="59"/>
      <c r="EG22" s="59"/>
      <c r="EH22" s="59"/>
      <c r="EI22" s="59"/>
      <c r="EJ22" s="59"/>
      <c r="EK22" s="59"/>
      <c r="EL22" s="59"/>
      <c r="EM22" s="59"/>
      <c r="EN22" s="59"/>
      <c r="EO22" s="59"/>
      <c r="EP22" s="59"/>
      <c r="EQ22" s="59"/>
      <c r="ER22" s="59"/>
      <c r="ES22" s="59"/>
      <c r="ET22" s="59"/>
      <c r="EU22" s="59"/>
      <c r="EV22" s="59"/>
      <c r="EW22" s="59"/>
      <c r="EX22" s="59"/>
      <c r="EY22" s="59"/>
      <c r="EZ22" s="59"/>
      <c r="FA22" s="59"/>
      <c r="FB22" s="59"/>
      <c r="FC22" s="59"/>
      <c r="FD22" s="59"/>
      <c r="FE22" s="59"/>
      <c r="FF22" s="59"/>
      <c r="FG22" s="59"/>
      <c r="FH22" s="59"/>
      <c r="FI22" s="59"/>
      <c r="FJ22" s="59"/>
      <c r="FK22" s="59"/>
      <c r="FL22" s="59"/>
      <c r="FM22" s="59"/>
      <c r="FN22" s="59"/>
      <c r="FO22" s="59"/>
      <c r="FP22" s="59"/>
      <c r="FQ22" s="59"/>
      <c r="FR22" s="59"/>
      <c r="FS22" s="59"/>
      <c r="FT22" s="59"/>
      <c r="FU22" s="59"/>
      <c r="FV22" s="59"/>
      <c r="FW22" s="59"/>
      <c r="FX22" s="59"/>
      <c r="FY22" s="59"/>
      <c r="FZ22" s="59"/>
      <c r="GA22" s="59"/>
      <c r="GB22" s="59"/>
      <c r="GC22" s="59"/>
      <c r="GD22" s="59"/>
      <c r="GE22" s="59"/>
      <c r="GF22" s="59"/>
      <c r="GG22" s="59"/>
      <c r="GH22" s="59"/>
      <c r="GI22" s="60"/>
    </row>
    <row r="23" spans="1:191" x14ac:dyDescent="0.15">
      <c r="A23" s="23">
        <v>6</v>
      </c>
      <c r="B23" s="24" t="s">
        <v>120</v>
      </c>
      <c r="C23" s="45" t="s">
        <v>122</v>
      </c>
      <c r="D23" s="26" t="s">
        <v>170</v>
      </c>
      <c r="E23" s="27" t="s">
        <v>13</v>
      </c>
      <c r="F23" s="28">
        <v>42861</v>
      </c>
      <c r="G23" s="28">
        <v>42862</v>
      </c>
      <c r="H23" s="29">
        <f t="shared" si="7"/>
        <v>0</v>
      </c>
      <c r="I23" s="30"/>
      <c r="J23" s="31"/>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4"/>
    </row>
    <row r="24" spans="1:191" x14ac:dyDescent="0.15">
      <c r="A24" s="35">
        <f>A23</f>
        <v>6</v>
      </c>
      <c r="B24" s="36" t="str">
        <f>B23</f>
        <v>FD</v>
      </c>
      <c r="C24" s="36" t="str">
        <f>C23</f>
        <v>Webアプリ機能設計書レビュー</v>
      </c>
      <c r="D24" s="37"/>
      <c r="E24" s="38" t="s">
        <v>0</v>
      </c>
      <c r="F24" s="39"/>
      <c r="G24" s="39"/>
      <c r="H24" s="55">
        <f t="shared" si="7"/>
        <v>0</v>
      </c>
      <c r="I24" s="40"/>
      <c r="J24" s="41"/>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4"/>
    </row>
    <row r="25" spans="1:191" x14ac:dyDescent="0.15">
      <c r="A25" s="23">
        <v>7</v>
      </c>
      <c r="B25" s="24" t="s">
        <v>120</v>
      </c>
      <c r="C25" s="45" t="s">
        <v>123</v>
      </c>
      <c r="D25" s="26" t="s">
        <v>114</v>
      </c>
      <c r="E25" s="46" t="s">
        <v>13</v>
      </c>
      <c r="F25" s="47">
        <v>42863</v>
      </c>
      <c r="G25" s="47">
        <v>42869</v>
      </c>
      <c r="H25" s="29">
        <f t="shared" si="7"/>
        <v>0</v>
      </c>
      <c r="I25" s="48"/>
      <c r="J25" s="49"/>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2"/>
    </row>
    <row r="26" spans="1:191" x14ac:dyDescent="0.15">
      <c r="A26" s="35">
        <f>A25</f>
        <v>7</v>
      </c>
      <c r="B26" s="36" t="str">
        <f>B25</f>
        <v>FD</v>
      </c>
      <c r="C26" s="36" t="str">
        <f>C25</f>
        <v>Webアプリ機能設計書レビュー指摘対応</v>
      </c>
      <c r="D26" s="37" t="str">
        <f>D25</f>
        <v>那須</v>
      </c>
      <c r="E26" s="53" t="s">
        <v>0</v>
      </c>
      <c r="F26" s="54"/>
      <c r="G26" s="54"/>
      <c r="H26" s="55">
        <f t="shared" si="7"/>
        <v>0</v>
      </c>
      <c r="I26" s="56">
        <f>IF(OR(H25="",H26=""),"",H26-H25)</f>
        <v>0</v>
      </c>
      <c r="J26" s="57"/>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c r="CE26" s="59"/>
      <c r="CF26" s="59"/>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c r="DR26" s="59"/>
      <c r="DS26" s="59"/>
      <c r="DT26" s="59"/>
      <c r="DU26" s="59"/>
      <c r="DV26" s="59"/>
      <c r="DW26" s="59"/>
      <c r="DX26" s="59"/>
      <c r="DY26" s="59"/>
      <c r="DZ26" s="59"/>
      <c r="EA26" s="59"/>
      <c r="EB26" s="59"/>
      <c r="EC26" s="59"/>
      <c r="ED26" s="59"/>
      <c r="EE26" s="59"/>
      <c r="EF26" s="59"/>
      <c r="EG26" s="59"/>
      <c r="EH26" s="59"/>
      <c r="EI26" s="59"/>
      <c r="EJ26" s="59"/>
      <c r="EK26" s="59"/>
      <c r="EL26" s="59"/>
      <c r="EM26" s="59"/>
      <c r="EN26" s="59"/>
      <c r="EO26" s="59"/>
      <c r="EP26" s="59"/>
      <c r="EQ26" s="59"/>
      <c r="ER26" s="59"/>
      <c r="ES26" s="59"/>
      <c r="ET26" s="59"/>
      <c r="EU26" s="59"/>
      <c r="EV26" s="59"/>
      <c r="EW26" s="59"/>
      <c r="EX26" s="59"/>
      <c r="EY26" s="59"/>
      <c r="EZ26" s="59"/>
      <c r="FA26" s="59"/>
      <c r="FB26" s="59"/>
      <c r="FC26" s="59"/>
      <c r="FD26" s="59"/>
      <c r="FE26" s="59"/>
      <c r="FF26" s="59"/>
      <c r="FG26" s="59"/>
      <c r="FH26" s="59"/>
      <c r="FI26" s="59"/>
      <c r="FJ26" s="59"/>
      <c r="FK26" s="59"/>
      <c r="FL26" s="59"/>
      <c r="FM26" s="59"/>
      <c r="FN26" s="59"/>
      <c r="FO26" s="59"/>
      <c r="FP26" s="59"/>
      <c r="FQ26" s="59"/>
      <c r="FR26" s="59"/>
      <c r="FS26" s="59"/>
      <c r="FT26" s="59"/>
      <c r="FU26" s="59"/>
      <c r="FV26" s="59"/>
      <c r="FW26" s="59"/>
      <c r="FX26" s="59"/>
      <c r="FY26" s="59"/>
      <c r="FZ26" s="59"/>
      <c r="GA26" s="59"/>
      <c r="GB26" s="59"/>
      <c r="GC26" s="59"/>
      <c r="GD26" s="59"/>
      <c r="GE26" s="59"/>
      <c r="GF26" s="59"/>
      <c r="GG26" s="59"/>
      <c r="GH26" s="59"/>
      <c r="GI26" s="60"/>
    </row>
    <row r="27" spans="1:191" x14ac:dyDescent="0.15">
      <c r="A27" s="23">
        <v>8</v>
      </c>
      <c r="B27" s="24" t="s">
        <v>120</v>
      </c>
      <c r="C27" s="45" t="s">
        <v>124</v>
      </c>
      <c r="D27" s="26" t="s">
        <v>115</v>
      </c>
      <c r="E27" s="27" t="s">
        <v>13</v>
      </c>
      <c r="F27" s="28">
        <v>42849</v>
      </c>
      <c r="G27" s="28">
        <v>42861</v>
      </c>
      <c r="H27" s="29">
        <f t="shared" si="7"/>
        <v>0</v>
      </c>
      <c r="I27" s="30"/>
      <c r="J27" s="31"/>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4"/>
    </row>
    <row r="28" spans="1:191" x14ac:dyDescent="0.15">
      <c r="A28" s="35">
        <f>A27</f>
        <v>8</v>
      </c>
      <c r="B28" s="36" t="str">
        <f>B27</f>
        <v>FD</v>
      </c>
      <c r="C28" s="36" t="str">
        <f>C27</f>
        <v>監視端末機能設計書作成</v>
      </c>
      <c r="D28" s="37" t="str">
        <f>D27</f>
        <v>若山</v>
      </c>
      <c r="E28" s="38" t="s">
        <v>0</v>
      </c>
      <c r="F28" s="39"/>
      <c r="G28" s="39"/>
      <c r="H28" s="55">
        <f t="shared" si="7"/>
        <v>0</v>
      </c>
      <c r="I28" s="40">
        <f>IF(OR(H27="",H28=""),"",H28-H27)</f>
        <v>0</v>
      </c>
      <c r="J28" s="41"/>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4"/>
    </row>
    <row r="29" spans="1:191" x14ac:dyDescent="0.15">
      <c r="A29" s="23">
        <v>9</v>
      </c>
      <c r="B29" s="24" t="s">
        <v>120</v>
      </c>
      <c r="C29" s="45" t="s">
        <v>125</v>
      </c>
      <c r="D29" s="26" t="s">
        <v>170</v>
      </c>
      <c r="E29" s="46" t="s">
        <v>13</v>
      </c>
      <c r="F29" s="47">
        <v>42861</v>
      </c>
      <c r="G29" s="47">
        <v>42862</v>
      </c>
      <c r="H29" s="29">
        <f t="shared" si="7"/>
        <v>0</v>
      </c>
      <c r="I29" s="48"/>
      <c r="J29" s="49"/>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2"/>
    </row>
    <row r="30" spans="1:191" x14ac:dyDescent="0.15">
      <c r="A30" s="35">
        <f>A29</f>
        <v>9</v>
      </c>
      <c r="B30" s="36" t="str">
        <f>B29</f>
        <v>FD</v>
      </c>
      <c r="C30" s="36" t="str">
        <f>C29</f>
        <v>監視端末機能設計書レビュー</v>
      </c>
      <c r="D30" s="37" t="str">
        <f>D29</f>
        <v>伊藤</v>
      </c>
      <c r="E30" s="53" t="s">
        <v>0</v>
      </c>
      <c r="F30" s="54"/>
      <c r="G30" s="54"/>
      <c r="H30" s="55">
        <f t="shared" si="7"/>
        <v>0</v>
      </c>
      <c r="I30" s="56">
        <f>IF(OR(H29="",H30=""),"",H30-H29)</f>
        <v>0</v>
      </c>
      <c r="J30" s="57"/>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c r="CE30" s="59"/>
      <c r="CF30" s="59"/>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c r="DR30" s="59"/>
      <c r="DS30" s="59"/>
      <c r="DT30" s="59"/>
      <c r="DU30" s="59"/>
      <c r="DV30" s="59"/>
      <c r="DW30" s="59"/>
      <c r="DX30" s="59"/>
      <c r="DY30" s="59"/>
      <c r="DZ30" s="59"/>
      <c r="EA30" s="59"/>
      <c r="EB30" s="59"/>
      <c r="EC30" s="59"/>
      <c r="ED30" s="59"/>
      <c r="EE30" s="59"/>
      <c r="EF30" s="59"/>
      <c r="EG30" s="59"/>
      <c r="EH30" s="59"/>
      <c r="EI30" s="59"/>
      <c r="EJ30" s="59"/>
      <c r="EK30" s="59"/>
      <c r="EL30" s="59"/>
      <c r="EM30" s="59"/>
      <c r="EN30" s="59"/>
      <c r="EO30" s="59"/>
      <c r="EP30" s="59"/>
      <c r="EQ30" s="59"/>
      <c r="ER30" s="59"/>
      <c r="ES30" s="59"/>
      <c r="ET30" s="59"/>
      <c r="EU30" s="59"/>
      <c r="EV30" s="59"/>
      <c r="EW30" s="59"/>
      <c r="EX30" s="59"/>
      <c r="EY30" s="59"/>
      <c r="EZ30" s="59"/>
      <c r="FA30" s="59"/>
      <c r="FB30" s="59"/>
      <c r="FC30" s="59"/>
      <c r="FD30" s="59"/>
      <c r="FE30" s="59"/>
      <c r="FF30" s="59"/>
      <c r="FG30" s="59"/>
      <c r="FH30" s="59"/>
      <c r="FI30" s="59"/>
      <c r="FJ30" s="59"/>
      <c r="FK30" s="59"/>
      <c r="FL30" s="59"/>
      <c r="FM30" s="59"/>
      <c r="FN30" s="59"/>
      <c r="FO30" s="59"/>
      <c r="FP30" s="59"/>
      <c r="FQ30" s="59"/>
      <c r="FR30" s="59"/>
      <c r="FS30" s="59"/>
      <c r="FT30" s="59"/>
      <c r="FU30" s="59"/>
      <c r="FV30" s="59"/>
      <c r="FW30" s="59"/>
      <c r="FX30" s="59"/>
      <c r="FY30" s="59"/>
      <c r="FZ30" s="59"/>
      <c r="GA30" s="59"/>
      <c r="GB30" s="59"/>
      <c r="GC30" s="59"/>
      <c r="GD30" s="59"/>
      <c r="GE30" s="59"/>
      <c r="GF30" s="59"/>
      <c r="GG30" s="59"/>
      <c r="GH30" s="59"/>
      <c r="GI30" s="60"/>
    </row>
    <row r="31" spans="1:191" x14ac:dyDescent="0.15">
      <c r="A31" s="23">
        <v>10</v>
      </c>
      <c r="B31" s="24" t="s">
        <v>120</v>
      </c>
      <c r="C31" s="45" t="s">
        <v>126</v>
      </c>
      <c r="D31" s="26" t="s">
        <v>115</v>
      </c>
      <c r="E31" s="27" t="s">
        <v>13</v>
      </c>
      <c r="F31" s="28">
        <v>42863</v>
      </c>
      <c r="G31" s="28">
        <v>42869</v>
      </c>
      <c r="H31" s="29">
        <f t="shared" si="7"/>
        <v>0</v>
      </c>
      <c r="I31" s="30"/>
      <c r="J31" s="31"/>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4"/>
    </row>
    <row r="32" spans="1:191" x14ac:dyDescent="0.15">
      <c r="A32" s="35">
        <f>A31</f>
        <v>10</v>
      </c>
      <c r="B32" s="36" t="str">
        <f>B31</f>
        <v>FD</v>
      </c>
      <c r="C32" s="36" t="str">
        <f>C31</f>
        <v>監視端末機能設計書レビュー指摘対応</v>
      </c>
      <c r="D32" s="37" t="str">
        <f>D31</f>
        <v>若山</v>
      </c>
      <c r="E32" s="38" t="s">
        <v>0</v>
      </c>
      <c r="F32" s="39"/>
      <c r="G32" s="39"/>
      <c r="H32" s="55">
        <f t="shared" si="7"/>
        <v>0</v>
      </c>
      <c r="I32" s="40">
        <f>IF(OR(H31="",H32=""),"",H32-H31)</f>
        <v>0</v>
      </c>
      <c r="J32" s="41"/>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4"/>
    </row>
    <row r="33" spans="1:191" x14ac:dyDescent="0.15">
      <c r="A33" s="23">
        <v>11</v>
      </c>
      <c r="B33" s="24" t="s">
        <v>120</v>
      </c>
      <c r="C33" s="45" t="s">
        <v>127</v>
      </c>
      <c r="D33" s="26" t="s">
        <v>171</v>
      </c>
      <c r="E33" s="46" t="s">
        <v>13</v>
      </c>
      <c r="F33" s="47">
        <v>42849</v>
      </c>
      <c r="G33" s="47">
        <v>42861</v>
      </c>
      <c r="H33" s="29">
        <f t="shared" si="7"/>
        <v>0</v>
      </c>
      <c r="I33" s="48"/>
      <c r="J33" s="49"/>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2"/>
    </row>
    <row r="34" spans="1:191" x14ac:dyDescent="0.15">
      <c r="A34" s="35">
        <f>A33</f>
        <v>11</v>
      </c>
      <c r="B34" s="36" t="str">
        <f>B33</f>
        <v>FD</v>
      </c>
      <c r="C34" s="36" t="str">
        <f>C33</f>
        <v>Webアプリ機能評価仕様書作成</v>
      </c>
      <c r="D34" s="37" t="str">
        <f>D33</f>
        <v>高澤</v>
      </c>
      <c r="E34" s="53" t="s">
        <v>0</v>
      </c>
      <c r="F34" s="54"/>
      <c r="G34" s="54"/>
      <c r="H34" s="55">
        <f t="shared" si="7"/>
        <v>0</v>
      </c>
      <c r="I34" s="56">
        <f>IF(OR(H33="",H34=""),"",H34-H33)</f>
        <v>0</v>
      </c>
      <c r="J34" s="57"/>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c r="CE34" s="59"/>
      <c r="CF34" s="59"/>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c r="DR34" s="59"/>
      <c r="DS34" s="59"/>
      <c r="DT34" s="59"/>
      <c r="DU34" s="59"/>
      <c r="DV34" s="59"/>
      <c r="DW34" s="59"/>
      <c r="DX34" s="59"/>
      <c r="DY34" s="59"/>
      <c r="DZ34" s="59"/>
      <c r="EA34" s="59"/>
      <c r="EB34" s="59"/>
      <c r="EC34" s="59"/>
      <c r="ED34" s="59"/>
      <c r="EE34" s="59"/>
      <c r="EF34" s="59"/>
      <c r="EG34" s="59"/>
      <c r="EH34" s="59"/>
      <c r="EI34" s="59"/>
      <c r="EJ34" s="59"/>
      <c r="EK34" s="59"/>
      <c r="EL34" s="59"/>
      <c r="EM34" s="59"/>
      <c r="EN34" s="59"/>
      <c r="EO34" s="59"/>
      <c r="EP34" s="59"/>
      <c r="EQ34" s="59"/>
      <c r="ER34" s="59"/>
      <c r="ES34" s="59"/>
      <c r="ET34" s="59"/>
      <c r="EU34" s="59"/>
      <c r="EV34" s="59"/>
      <c r="EW34" s="59"/>
      <c r="EX34" s="59"/>
      <c r="EY34" s="59"/>
      <c r="EZ34" s="59"/>
      <c r="FA34" s="59"/>
      <c r="FB34" s="59"/>
      <c r="FC34" s="59"/>
      <c r="FD34" s="59"/>
      <c r="FE34" s="59"/>
      <c r="FF34" s="59"/>
      <c r="FG34" s="59"/>
      <c r="FH34" s="59"/>
      <c r="FI34" s="59"/>
      <c r="FJ34" s="59"/>
      <c r="FK34" s="59"/>
      <c r="FL34" s="59"/>
      <c r="FM34" s="59"/>
      <c r="FN34" s="59"/>
      <c r="FO34" s="59"/>
      <c r="FP34" s="59"/>
      <c r="FQ34" s="59"/>
      <c r="FR34" s="59"/>
      <c r="FS34" s="59"/>
      <c r="FT34" s="59"/>
      <c r="FU34" s="59"/>
      <c r="FV34" s="59"/>
      <c r="FW34" s="59"/>
      <c r="FX34" s="59"/>
      <c r="FY34" s="59"/>
      <c r="FZ34" s="59"/>
      <c r="GA34" s="59"/>
      <c r="GB34" s="59"/>
      <c r="GC34" s="59"/>
      <c r="GD34" s="59"/>
      <c r="GE34" s="59"/>
      <c r="GF34" s="59"/>
      <c r="GG34" s="59"/>
      <c r="GH34" s="59"/>
      <c r="GI34" s="60"/>
    </row>
    <row r="35" spans="1:191" x14ac:dyDescent="0.15">
      <c r="A35" s="23">
        <v>12</v>
      </c>
      <c r="B35" s="24" t="s">
        <v>120</v>
      </c>
      <c r="C35" s="45" t="s">
        <v>128</v>
      </c>
      <c r="D35" s="26" t="s">
        <v>170</v>
      </c>
      <c r="E35" s="27" t="s">
        <v>13</v>
      </c>
      <c r="F35" s="28">
        <v>42861</v>
      </c>
      <c r="G35" s="28">
        <v>42862</v>
      </c>
      <c r="H35" s="29">
        <f t="shared" si="7"/>
        <v>0</v>
      </c>
      <c r="I35" s="30"/>
      <c r="J35" s="31"/>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4"/>
    </row>
    <row r="36" spans="1:191" x14ac:dyDescent="0.15">
      <c r="A36" s="35">
        <f>A35</f>
        <v>12</v>
      </c>
      <c r="B36" s="36" t="str">
        <f>B35</f>
        <v>FD</v>
      </c>
      <c r="C36" s="36" t="str">
        <f>C35</f>
        <v>Webアプリ機能評価仕様書レビュー</v>
      </c>
      <c r="D36" s="37" t="str">
        <f>D35</f>
        <v>伊藤</v>
      </c>
      <c r="E36" s="38" t="s">
        <v>0</v>
      </c>
      <c r="F36" s="39"/>
      <c r="G36" s="39"/>
      <c r="H36" s="55">
        <f t="shared" si="7"/>
        <v>0</v>
      </c>
      <c r="I36" s="40">
        <f>IF(OR(H35="",H36=""),"",H36-H35)</f>
        <v>0</v>
      </c>
      <c r="J36" s="41"/>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4"/>
    </row>
    <row r="37" spans="1:191" x14ac:dyDescent="0.15">
      <c r="A37" s="23">
        <v>13</v>
      </c>
      <c r="B37" s="24" t="s">
        <v>120</v>
      </c>
      <c r="C37" s="45" t="s">
        <v>129</v>
      </c>
      <c r="D37" s="26" t="s">
        <v>171</v>
      </c>
      <c r="E37" s="46" t="s">
        <v>13</v>
      </c>
      <c r="F37" s="47">
        <v>42863</v>
      </c>
      <c r="G37" s="47">
        <v>42869</v>
      </c>
      <c r="H37" s="29">
        <f t="shared" si="7"/>
        <v>0</v>
      </c>
      <c r="I37" s="48"/>
      <c r="J37" s="49"/>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2"/>
    </row>
    <row r="38" spans="1:191" x14ac:dyDescent="0.15">
      <c r="A38" s="35">
        <f>A37</f>
        <v>13</v>
      </c>
      <c r="B38" s="36" t="str">
        <f>B37</f>
        <v>FD</v>
      </c>
      <c r="C38" s="36" t="str">
        <f>C37</f>
        <v>Webアプリ機能評価仕様書レビュー指摘対応</v>
      </c>
      <c r="D38" s="37" t="str">
        <f>D37</f>
        <v>高澤</v>
      </c>
      <c r="E38" s="53" t="s">
        <v>0</v>
      </c>
      <c r="F38" s="54"/>
      <c r="G38" s="54"/>
      <c r="H38" s="55">
        <f t="shared" si="7"/>
        <v>0</v>
      </c>
      <c r="I38" s="56">
        <f>IF(OR(H37="",H38=""),"",H38-H37)</f>
        <v>0</v>
      </c>
      <c r="J38" s="57"/>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59"/>
      <c r="CA38" s="59"/>
      <c r="CB38" s="59"/>
      <c r="CC38" s="59"/>
      <c r="CD38" s="59"/>
      <c r="CE38" s="59"/>
      <c r="CF38" s="59"/>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c r="DR38" s="59"/>
      <c r="DS38" s="59"/>
      <c r="DT38" s="59"/>
      <c r="DU38" s="59"/>
      <c r="DV38" s="59"/>
      <c r="DW38" s="59"/>
      <c r="DX38" s="59"/>
      <c r="DY38" s="59"/>
      <c r="DZ38" s="59"/>
      <c r="EA38" s="59"/>
      <c r="EB38" s="59"/>
      <c r="EC38" s="59"/>
      <c r="ED38" s="59"/>
      <c r="EE38" s="59"/>
      <c r="EF38" s="59"/>
      <c r="EG38" s="59"/>
      <c r="EH38" s="59"/>
      <c r="EI38" s="59"/>
      <c r="EJ38" s="59"/>
      <c r="EK38" s="59"/>
      <c r="EL38" s="59"/>
      <c r="EM38" s="59"/>
      <c r="EN38" s="59"/>
      <c r="EO38" s="59"/>
      <c r="EP38" s="59"/>
      <c r="EQ38" s="59"/>
      <c r="ER38" s="59"/>
      <c r="ES38" s="59"/>
      <c r="ET38" s="59"/>
      <c r="EU38" s="59"/>
      <c r="EV38" s="59"/>
      <c r="EW38" s="59"/>
      <c r="EX38" s="59"/>
      <c r="EY38" s="59"/>
      <c r="EZ38" s="59"/>
      <c r="FA38" s="59"/>
      <c r="FB38" s="59"/>
      <c r="FC38" s="59"/>
      <c r="FD38" s="59"/>
      <c r="FE38" s="59"/>
      <c r="FF38" s="59"/>
      <c r="FG38" s="59"/>
      <c r="FH38" s="59"/>
      <c r="FI38" s="59"/>
      <c r="FJ38" s="59"/>
      <c r="FK38" s="59"/>
      <c r="FL38" s="59"/>
      <c r="FM38" s="59"/>
      <c r="FN38" s="59"/>
      <c r="FO38" s="59"/>
      <c r="FP38" s="59"/>
      <c r="FQ38" s="59"/>
      <c r="FR38" s="59"/>
      <c r="FS38" s="59"/>
      <c r="FT38" s="59"/>
      <c r="FU38" s="59"/>
      <c r="FV38" s="59"/>
      <c r="FW38" s="59"/>
      <c r="FX38" s="59"/>
      <c r="FY38" s="59"/>
      <c r="FZ38" s="59"/>
      <c r="GA38" s="59"/>
      <c r="GB38" s="59"/>
      <c r="GC38" s="59"/>
      <c r="GD38" s="59"/>
      <c r="GE38" s="59"/>
      <c r="GF38" s="59"/>
      <c r="GG38" s="59"/>
      <c r="GH38" s="59"/>
      <c r="GI38" s="60"/>
    </row>
    <row r="39" spans="1:191" x14ac:dyDescent="0.15">
      <c r="A39" s="23">
        <v>14</v>
      </c>
      <c r="B39" s="24" t="s">
        <v>120</v>
      </c>
      <c r="C39" s="45" t="s">
        <v>130</v>
      </c>
      <c r="D39" s="26" t="s">
        <v>172</v>
      </c>
      <c r="E39" s="46" t="s">
        <v>13</v>
      </c>
      <c r="F39" s="47">
        <v>42849</v>
      </c>
      <c r="G39" s="47">
        <v>42861</v>
      </c>
      <c r="H39" s="29">
        <f t="shared" si="7"/>
        <v>0</v>
      </c>
      <c r="I39" s="48"/>
      <c r="J39" s="49"/>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2"/>
    </row>
    <row r="40" spans="1:191" x14ac:dyDescent="0.15">
      <c r="A40" s="35">
        <f>A39</f>
        <v>14</v>
      </c>
      <c r="B40" s="36" t="str">
        <f>B39</f>
        <v>FD</v>
      </c>
      <c r="C40" s="36" t="str">
        <f>C39</f>
        <v>監視端末機能評価仕様書作成</v>
      </c>
      <c r="D40" s="37" t="str">
        <f>D39</f>
        <v>長田</v>
      </c>
      <c r="E40" s="53" t="s">
        <v>0</v>
      </c>
      <c r="F40" s="54"/>
      <c r="G40" s="54"/>
      <c r="H40" s="55">
        <f t="shared" si="7"/>
        <v>0</v>
      </c>
      <c r="I40" s="56">
        <f>IF(OR(H39="",H40=""),"",H40-H39)</f>
        <v>0</v>
      </c>
      <c r="J40" s="57"/>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59"/>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c r="DR40" s="59"/>
      <c r="DS40" s="59"/>
      <c r="DT40" s="59"/>
      <c r="DU40" s="59"/>
      <c r="DV40" s="59"/>
      <c r="DW40" s="59"/>
      <c r="DX40" s="59"/>
      <c r="DY40" s="59"/>
      <c r="DZ40" s="59"/>
      <c r="EA40" s="59"/>
      <c r="EB40" s="59"/>
      <c r="EC40" s="59"/>
      <c r="ED40" s="59"/>
      <c r="EE40" s="59"/>
      <c r="EF40" s="59"/>
      <c r="EG40" s="59"/>
      <c r="EH40" s="59"/>
      <c r="EI40" s="59"/>
      <c r="EJ40" s="59"/>
      <c r="EK40" s="59"/>
      <c r="EL40" s="59"/>
      <c r="EM40" s="59"/>
      <c r="EN40" s="59"/>
      <c r="EO40" s="59"/>
      <c r="EP40" s="59"/>
      <c r="EQ40" s="59"/>
      <c r="ER40" s="59"/>
      <c r="ES40" s="59"/>
      <c r="ET40" s="59"/>
      <c r="EU40" s="59"/>
      <c r="EV40" s="59"/>
      <c r="EW40" s="59"/>
      <c r="EX40" s="59"/>
      <c r="EY40" s="59"/>
      <c r="EZ40" s="59"/>
      <c r="FA40" s="59"/>
      <c r="FB40" s="59"/>
      <c r="FC40" s="59"/>
      <c r="FD40" s="59"/>
      <c r="FE40" s="59"/>
      <c r="FF40" s="59"/>
      <c r="FG40" s="59"/>
      <c r="FH40" s="59"/>
      <c r="FI40" s="59"/>
      <c r="FJ40" s="59"/>
      <c r="FK40" s="59"/>
      <c r="FL40" s="59"/>
      <c r="FM40" s="59"/>
      <c r="FN40" s="59"/>
      <c r="FO40" s="59"/>
      <c r="FP40" s="59"/>
      <c r="FQ40" s="59"/>
      <c r="FR40" s="59"/>
      <c r="FS40" s="59"/>
      <c r="FT40" s="59"/>
      <c r="FU40" s="59"/>
      <c r="FV40" s="59"/>
      <c r="FW40" s="59"/>
      <c r="FX40" s="59"/>
      <c r="FY40" s="59"/>
      <c r="FZ40" s="59"/>
      <c r="GA40" s="59"/>
      <c r="GB40" s="59"/>
      <c r="GC40" s="59"/>
      <c r="GD40" s="59"/>
      <c r="GE40" s="59"/>
      <c r="GF40" s="59"/>
      <c r="GG40" s="59"/>
      <c r="GH40" s="59"/>
      <c r="GI40" s="60"/>
    </row>
    <row r="41" spans="1:191" x14ac:dyDescent="0.15">
      <c r="A41" s="23">
        <v>15</v>
      </c>
      <c r="B41" s="24" t="s">
        <v>120</v>
      </c>
      <c r="C41" s="45" t="s">
        <v>132</v>
      </c>
      <c r="D41" s="26" t="s">
        <v>170</v>
      </c>
      <c r="E41" s="27" t="s">
        <v>13</v>
      </c>
      <c r="F41" s="28">
        <v>42861</v>
      </c>
      <c r="G41" s="28">
        <v>42862</v>
      </c>
      <c r="H41" s="29">
        <f t="shared" si="7"/>
        <v>0</v>
      </c>
      <c r="I41" s="30"/>
      <c r="J41" s="31"/>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4"/>
    </row>
    <row r="42" spans="1:191" x14ac:dyDescent="0.15">
      <c r="A42" s="35">
        <f>A41</f>
        <v>15</v>
      </c>
      <c r="B42" s="36" t="str">
        <f>B41</f>
        <v>FD</v>
      </c>
      <c r="C42" s="36" t="str">
        <f>C41</f>
        <v>監視端末機能評価仕様書レビュー</v>
      </c>
      <c r="D42" s="37" t="str">
        <f>D41</f>
        <v>伊藤</v>
      </c>
      <c r="E42" s="53" t="s">
        <v>0</v>
      </c>
      <c r="F42" s="39"/>
      <c r="G42" s="39"/>
      <c r="H42" s="55">
        <f t="shared" si="7"/>
        <v>0</v>
      </c>
      <c r="I42" s="56">
        <f>IF(OR(H41="",H42=""),"",H42-H41)</f>
        <v>0</v>
      </c>
      <c r="J42" s="57"/>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c r="FT42" s="59"/>
      <c r="FU42" s="59"/>
      <c r="FV42" s="59"/>
      <c r="FW42" s="59"/>
      <c r="FX42" s="59"/>
      <c r="FY42" s="59"/>
      <c r="FZ42" s="59"/>
      <c r="GA42" s="59"/>
      <c r="GB42" s="59"/>
      <c r="GC42" s="59"/>
      <c r="GD42" s="59"/>
      <c r="GE42" s="59"/>
      <c r="GF42" s="59"/>
      <c r="GG42" s="59"/>
      <c r="GH42" s="59"/>
      <c r="GI42" s="60"/>
    </row>
    <row r="43" spans="1:191" x14ac:dyDescent="0.15">
      <c r="A43" s="23">
        <v>16</v>
      </c>
      <c r="B43" s="24" t="s">
        <v>120</v>
      </c>
      <c r="C43" s="45" t="s">
        <v>133</v>
      </c>
      <c r="D43" s="26" t="s">
        <v>172</v>
      </c>
      <c r="E43" s="27" t="s">
        <v>13</v>
      </c>
      <c r="F43" s="47">
        <v>42863</v>
      </c>
      <c r="G43" s="47">
        <v>42869</v>
      </c>
      <c r="H43" s="29">
        <f t="shared" si="7"/>
        <v>0</v>
      </c>
      <c r="I43" s="30"/>
      <c r="J43" s="31"/>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4"/>
    </row>
    <row r="44" spans="1:191" x14ac:dyDescent="0.15">
      <c r="A44" s="35">
        <f>A43</f>
        <v>16</v>
      </c>
      <c r="B44" s="36" t="str">
        <f>B43</f>
        <v>FD</v>
      </c>
      <c r="C44" s="36" t="str">
        <f>C43</f>
        <v>監視端末機能評価仕様書レビュー指摘対応</v>
      </c>
      <c r="D44" s="37" t="str">
        <f>D43</f>
        <v>長田</v>
      </c>
      <c r="E44" s="53" t="s">
        <v>0</v>
      </c>
      <c r="F44" s="54"/>
      <c r="G44" s="54"/>
      <c r="H44" s="55">
        <f t="shared" si="7"/>
        <v>0</v>
      </c>
      <c r="I44" s="56">
        <f>IF(OR(H43="",H44=""),"",H44-H43)</f>
        <v>0</v>
      </c>
      <c r="J44" s="57"/>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c r="GA44" s="59"/>
      <c r="GB44" s="59"/>
      <c r="GC44" s="59"/>
      <c r="GD44" s="59"/>
      <c r="GE44" s="59"/>
      <c r="GF44" s="59"/>
      <c r="GG44" s="59"/>
      <c r="GH44" s="59"/>
      <c r="GI44" s="60"/>
    </row>
    <row r="45" spans="1:191" x14ac:dyDescent="0.15">
      <c r="A45" s="23">
        <v>17</v>
      </c>
      <c r="B45" s="24" t="s">
        <v>131</v>
      </c>
      <c r="C45" s="45" t="s">
        <v>173</v>
      </c>
      <c r="D45" s="26" t="s">
        <v>114</v>
      </c>
      <c r="E45" s="27" t="s">
        <v>13</v>
      </c>
      <c r="F45" s="28">
        <v>42870</v>
      </c>
      <c r="G45" s="28">
        <v>42882</v>
      </c>
      <c r="H45" s="29">
        <f t="shared" si="7"/>
        <v>0</v>
      </c>
      <c r="I45" s="30"/>
      <c r="J45" s="31"/>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4"/>
    </row>
    <row r="46" spans="1:191" x14ac:dyDescent="0.15">
      <c r="A46" s="35">
        <f>A45</f>
        <v>17</v>
      </c>
      <c r="B46" s="36" t="str">
        <f>B45</f>
        <v>SD</v>
      </c>
      <c r="C46" s="36" t="str">
        <f>C45</f>
        <v>Webアプリ構造設計書作成</v>
      </c>
      <c r="D46" s="37" t="str">
        <f>D45</f>
        <v>那須</v>
      </c>
      <c r="E46" s="53" t="s">
        <v>0</v>
      </c>
      <c r="F46" s="54"/>
      <c r="G46" s="54"/>
      <c r="H46" s="55">
        <f t="shared" si="7"/>
        <v>0</v>
      </c>
      <c r="I46" s="56">
        <f>IF(OR(H45="",H46=""),"",H46-H45)</f>
        <v>0</v>
      </c>
      <c r="J46" s="57"/>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c r="GA46" s="59"/>
      <c r="GB46" s="59"/>
      <c r="GC46" s="59"/>
      <c r="GD46" s="59"/>
      <c r="GE46" s="59"/>
      <c r="GF46" s="59"/>
      <c r="GG46" s="59"/>
      <c r="GH46" s="59"/>
      <c r="GI46" s="60"/>
    </row>
    <row r="47" spans="1:191" x14ac:dyDescent="0.15">
      <c r="A47" s="23">
        <v>18</v>
      </c>
      <c r="B47" s="24" t="s">
        <v>131</v>
      </c>
      <c r="C47" s="45" t="s">
        <v>174</v>
      </c>
      <c r="D47" s="26" t="s">
        <v>170</v>
      </c>
      <c r="E47" s="27" t="s">
        <v>13</v>
      </c>
      <c r="F47" s="28">
        <v>42882</v>
      </c>
      <c r="G47" s="28">
        <v>42883</v>
      </c>
      <c r="H47" s="29">
        <f t="shared" si="7"/>
        <v>0</v>
      </c>
      <c r="I47" s="30"/>
      <c r="J47" s="31"/>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4"/>
    </row>
    <row r="48" spans="1:191" x14ac:dyDescent="0.15">
      <c r="A48" s="35">
        <f>A47</f>
        <v>18</v>
      </c>
      <c r="B48" s="36" t="str">
        <f>B47</f>
        <v>SD</v>
      </c>
      <c r="C48" s="36" t="str">
        <f>C47</f>
        <v>Webアプリ構造設計書レビュー</v>
      </c>
      <c r="D48" s="37" t="str">
        <f>D47</f>
        <v>伊藤</v>
      </c>
      <c r="E48" s="53" t="s">
        <v>0</v>
      </c>
      <c r="F48" s="54"/>
      <c r="G48" s="54"/>
      <c r="H48" s="55">
        <f t="shared" si="7"/>
        <v>0</v>
      </c>
      <c r="I48" s="56">
        <f>IF(OR(H47="",H48=""),"",H48-H47)</f>
        <v>0</v>
      </c>
      <c r="J48" s="57"/>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c r="GA48" s="59"/>
      <c r="GB48" s="59"/>
      <c r="GC48" s="59"/>
      <c r="GD48" s="59"/>
      <c r="GE48" s="59"/>
      <c r="GF48" s="59"/>
      <c r="GG48" s="59"/>
      <c r="GH48" s="59"/>
      <c r="GI48" s="60"/>
    </row>
    <row r="49" spans="1:191" x14ac:dyDescent="0.15">
      <c r="A49" s="23">
        <v>19</v>
      </c>
      <c r="B49" s="24" t="s">
        <v>131</v>
      </c>
      <c r="C49" s="45" t="s">
        <v>175</v>
      </c>
      <c r="D49" s="26" t="s">
        <v>114</v>
      </c>
      <c r="E49" s="27" t="s">
        <v>13</v>
      </c>
      <c r="F49" s="28">
        <v>42884</v>
      </c>
      <c r="G49" s="28">
        <v>42890</v>
      </c>
      <c r="H49" s="29">
        <f t="shared" si="7"/>
        <v>0</v>
      </c>
      <c r="I49" s="30"/>
      <c r="J49" s="31"/>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4"/>
    </row>
    <row r="50" spans="1:191" x14ac:dyDescent="0.15">
      <c r="A50" s="35">
        <f>A49</f>
        <v>19</v>
      </c>
      <c r="B50" s="36" t="str">
        <f>B49</f>
        <v>SD</v>
      </c>
      <c r="C50" s="36" t="str">
        <f>C49</f>
        <v>Webアプリ構造設計書レビュー指摘対応</v>
      </c>
      <c r="D50" s="37" t="str">
        <f>D49</f>
        <v>那須</v>
      </c>
      <c r="E50" s="53" t="s">
        <v>0</v>
      </c>
      <c r="F50" s="54"/>
      <c r="G50" s="54"/>
      <c r="H50" s="55">
        <f t="shared" si="7"/>
        <v>0</v>
      </c>
      <c r="I50" s="56">
        <f>IF(OR(H49="",H50=""),"",H50-H49)</f>
        <v>0</v>
      </c>
      <c r="J50" s="57"/>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c r="GA50" s="59"/>
      <c r="GB50" s="59"/>
      <c r="GC50" s="59"/>
      <c r="GD50" s="59"/>
      <c r="GE50" s="59"/>
      <c r="GF50" s="59"/>
      <c r="GG50" s="59"/>
      <c r="GH50" s="59"/>
      <c r="GI50" s="60"/>
    </row>
    <row r="51" spans="1:191" x14ac:dyDescent="0.15">
      <c r="A51" s="23">
        <v>20</v>
      </c>
      <c r="B51" s="24" t="s">
        <v>131</v>
      </c>
      <c r="C51" s="45" t="s">
        <v>176</v>
      </c>
      <c r="D51" s="26" t="s">
        <v>115</v>
      </c>
      <c r="E51" s="27" t="s">
        <v>13</v>
      </c>
      <c r="F51" s="28">
        <v>42870</v>
      </c>
      <c r="G51" s="28">
        <v>42882</v>
      </c>
      <c r="H51" s="29">
        <f t="shared" si="7"/>
        <v>0</v>
      </c>
      <c r="I51" s="30"/>
      <c r="J51" s="31"/>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4"/>
    </row>
    <row r="52" spans="1:191" x14ac:dyDescent="0.15">
      <c r="A52" s="35">
        <f>A51</f>
        <v>20</v>
      </c>
      <c r="B52" s="36" t="str">
        <f>B51</f>
        <v>SD</v>
      </c>
      <c r="C52" s="36" t="str">
        <f>C51</f>
        <v>監視端末構造設計書作成</v>
      </c>
      <c r="D52" s="37" t="str">
        <f>D51</f>
        <v>若山</v>
      </c>
      <c r="E52" s="53" t="s">
        <v>0</v>
      </c>
      <c r="F52" s="54"/>
      <c r="G52" s="54"/>
      <c r="H52" s="55">
        <f t="shared" si="7"/>
        <v>0</v>
      </c>
      <c r="I52" s="56">
        <f>IF(OR(H51="",H52=""),"",H52-H51)</f>
        <v>0</v>
      </c>
      <c r="J52" s="57"/>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c r="GA52" s="59"/>
      <c r="GB52" s="59"/>
      <c r="GC52" s="59"/>
      <c r="GD52" s="59"/>
      <c r="GE52" s="59"/>
      <c r="GF52" s="59"/>
      <c r="GG52" s="59"/>
      <c r="GH52" s="59"/>
      <c r="GI52" s="60"/>
    </row>
    <row r="53" spans="1:191" x14ac:dyDescent="0.15">
      <c r="A53" s="23">
        <v>21</v>
      </c>
      <c r="B53" s="24" t="s">
        <v>131</v>
      </c>
      <c r="C53" s="45" t="s">
        <v>177</v>
      </c>
      <c r="D53" s="26" t="s">
        <v>170</v>
      </c>
      <c r="E53" s="27" t="s">
        <v>13</v>
      </c>
      <c r="F53" s="28">
        <v>42882</v>
      </c>
      <c r="G53" s="28">
        <v>42883</v>
      </c>
      <c r="H53" s="29">
        <f t="shared" si="7"/>
        <v>0</v>
      </c>
      <c r="I53" s="30"/>
      <c r="J53" s="31"/>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4"/>
    </row>
    <row r="54" spans="1:191" x14ac:dyDescent="0.15">
      <c r="A54" s="35">
        <f>A53</f>
        <v>21</v>
      </c>
      <c r="B54" s="36" t="str">
        <f>B53</f>
        <v>SD</v>
      </c>
      <c r="C54" s="36" t="str">
        <f>C53</f>
        <v>監視端末構造設計書レビュー</v>
      </c>
      <c r="D54" s="37" t="str">
        <f>D53</f>
        <v>伊藤</v>
      </c>
      <c r="E54" s="53" t="s">
        <v>0</v>
      </c>
      <c r="F54" s="54"/>
      <c r="G54" s="54"/>
      <c r="H54" s="55">
        <f t="shared" si="7"/>
        <v>0</v>
      </c>
      <c r="I54" s="56">
        <f>IF(OR(H53="",H54=""),"",H54-H53)</f>
        <v>0</v>
      </c>
      <c r="J54" s="57"/>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c r="BT54" s="59"/>
      <c r="BU54" s="59"/>
      <c r="BV54" s="59"/>
      <c r="BW54" s="59"/>
      <c r="BX54" s="59"/>
      <c r="BY54" s="59"/>
      <c r="BZ54" s="59"/>
      <c r="CA54" s="59"/>
      <c r="CB54" s="59"/>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60"/>
    </row>
    <row r="55" spans="1:191" x14ac:dyDescent="0.15">
      <c r="A55" s="23">
        <v>22</v>
      </c>
      <c r="B55" s="24" t="s">
        <v>131</v>
      </c>
      <c r="C55" s="45" t="s">
        <v>178</v>
      </c>
      <c r="D55" s="26" t="s">
        <v>115</v>
      </c>
      <c r="E55" s="27" t="s">
        <v>13</v>
      </c>
      <c r="F55" s="28">
        <v>42884</v>
      </c>
      <c r="G55" s="28">
        <v>42890</v>
      </c>
      <c r="H55" s="29">
        <f t="shared" si="7"/>
        <v>0</v>
      </c>
      <c r="I55" s="30"/>
      <c r="J55" s="31"/>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4"/>
    </row>
    <row r="56" spans="1:191" x14ac:dyDescent="0.15">
      <c r="A56" s="35">
        <f>A55</f>
        <v>22</v>
      </c>
      <c r="B56" s="36" t="str">
        <f>B55</f>
        <v>SD</v>
      </c>
      <c r="C56" s="36" t="str">
        <f>C55</f>
        <v>監視端末構造設計書レビュー指摘対応</v>
      </c>
      <c r="D56" s="37" t="str">
        <f>D55</f>
        <v>若山</v>
      </c>
      <c r="E56" s="53" t="s">
        <v>0</v>
      </c>
      <c r="F56" s="54"/>
      <c r="G56" s="54"/>
      <c r="H56" s="55">
        <f t="shared" si="7"/>
        <v>0</v>
      </c>
      <c r="I56" s="56">
        <f>IF(OR(H55="",H56=""),"",H56-H55)</f>
        <v>0</v>
      </c>
      <c r="J56" s="57"/>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c r="EC56" s="59"/>
      <c r="ED56" s="59"/>
      <c r="EE56" s="59"/>
      <c r="EF56" s="59"/>
      <c r="EG56" s="59"/>
      <c r="EH56" s="59"/>
      <c r="EI56" s="59"/>
      <c r="EJ56" s="59"/>
      <c r="EK56" s="59"/>
      <c r="EL56" s="59"/>
      <c r="EM56" s="59"/>
      <c r="EN56" s="59"/>
      <c r="EO56" s="59"/>
      <c r="EP56" s="59"/>
      <c r="EQ56" s="59"/>
      <c r="ER56" s="59"/>
      <c r="ES56" s="59"/>
      <c r="ET56" s="59"/>
      <c r="EU56" s="59"/>
      <c r="EV56" s="59"/>
      <c r="EW56" s="59"/>
      <c r="EX56" s="59"/>
      <c r="EY56" s="59"/>
      <c r="EZ56" s="59"/>
      <c r="FA56" s="59"/>
      <c r="FB56" s="59"/>
      <c r="FC56" s="59"/>
      <c r="FD56" s="59"/>
      <c r="FE56" s="59"/>
      <c r="FF56" s="59"/>
      <c r="FG56" s="59"/>
      <c r="FH56" s="59"/>
      <c r="FI56" s="59"/>
      <c r="FJ56" s="59"/>
      <c r="FK56" s="59"/>
      <c r="FL56" s="59"/>
      <c r="FM56" s="59"/>
      <c r="FN56" s="59"/>
      <c r="FO56" s="59"/>
      <c r="FP56" s="59"/>
      <c r="FQ56" s="59"/>
      <c r="FR56" s="59"/>
      <c r="FS56" s="59"/>
      <c r="FT56" s="59"/>
      <c r="FU56" s="59"/>
      <c r="FV56" s="59"/>
      <c r="FW56" s="59"/>
      <c r="FX56" s="59"/>
      <c r="FY56" s="59"/>
      <c r="FZ56" s="59"/>
      <c r="GA56" s="59"/>
      <c r="GB56" s="59"/>
      <c r="GC56" s="59"/>
      <c r="GD56" s="59"/>
      <c r="GE56" s="59"/>
      <c r="GF56" s="59"/>
      <c r="GG56" s="59"/>
      <c r="GH56" s="59"/>
      <c r="GI56" s="60"/>
    </row>
    <row r="57" spans="1:191" x14ac:dyDescent="0.15">
      <c r="A57" s="23">
        <v>23</v>
      </c>
      <c r="B57" s="24" t="s">
        <v>131</v>
      </c>
      <c r="C57" s="45" t="s">
        <v>134</v>
      </c>
      <c r="D57" s="26" t="s">
        <v>171</v>
      </c>
      <c r="E57" s="27" t="s">
        <v>13</v>
      </c>
      <c r="F57" s="28">
        <v>42870</v>
      </c>
      <c r="G57" s="28">
        <v>42882</v>
      </c>
      <c r="H57" s="29">
        <f t="shared" si="7"/>
        <v>0</v>
      </c>
      <c r="I57" s="30"/>
      <c r="J57" s="31"/>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4"/>
    </row>
    <row r="58" spans="1:191" x14ac:dyDescent="0.15">
      <c r="A58" s="35">
        <f>A57</f>
        <v>23</v>
      </c>
      <c r="B58" s="36" t="str">
        <f>B57</f>
        <v>SD</v>
      </c>
      <c r="C58" s="36" t="str">
        <f>C57</f>
        <v>Webアプリ構造評価仕様書作成</v>
      </c>
      <c r="D58" s="37" t="str">
        <f>D57</f>
        <v>高澤</v>
      </c>
      <c r="E58" s="53" t="s">
        <v>0</v>
      </c>
      <c r="F58" s="54"/>
      <c r="G58" s="54"/>
      <c r="H58" s="55">
        <f t="shared" si="7"/>
        <v>0</v>
      </c>
      <c r="I58" s="56">
        <f>IF(OR(H57="",H58=""),"",H58-H57)</f>
        <v>0</v>
      </c>
      <c r="J58" s="57"/>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c r="EC58" s="59"/>
      <c r="ED58" s="59"/>
      <c r="EE58" s="59"/>
      <c r="EF58" s="59"/>
      <c r="EG58" s="59"/>
      <c r="EH58" s="59"/>
      <c r="EI58" s="59"/>
      <c r="EJ58" s="59"/>
      <c r="EK58" s="59"/>
      <c r="EL58" s="59"/>
      <c r="EM58" s="59"/>
      <c r="EN58" s="59"/>
      <c r="EO58" s="59"/>
      <c r="EP58" s="59"/>
      <c r="EQ58" s="59"/>
      <c r="ER58" s="59"/>
      <c r="ES58" s="59"/>
      <c r="ET58" s="59"/>
      <c r="EU58" s="59"/>
      <c r="EV58" s="59"/>
      <c r="EW58" s="59"/>
      <c r="EX58" s="59"/>
      <c r="EY58" s="59"/>
      <c r="EZ58" s="59"/>
      <c r="FA58" s="59"/>
      <c r="FB58" s="59"/>
      <c r="FC58" s="59"/>
      <c r="FD58" s="59"/>
      <c r="FE58" s="59"/>
      <c r="FF58" s="59"/>
      <c r="FG58" s="59"/>
      <c r="FH58" s="59"/>
      <c r="FI58" s="59"/>
      <c r="FJ58" s="59"/>
      <c r="FK58" s="59"/>
      <c r="FL58" s="59"/>
      <c r="FM58" s="59"/>
      <c r="FN58" s="59"/>
      <c r="FO58" s="59"/>
      <c r="FP58" s="59"/>
      <c r="FQ58" s="59"/>
      <c r="FR58" s="59"/>
      <c r="FS58" s="59"/>
      <c r="FT58" s="59"/>
      <c r="FU58" s="59"/>
      <c r="FV58" s="59"/>
      <c r="FW58" s="59"/>
      <c r="FX58" s="59"/>
      <c r="FY58" s="59"/>
      <c r="FZ58" s="59"/>
      <c r="GA58" s="59"/>
      <c r="GB58" s="59"/>
      <c r="GC58" s="59"/>
      <c r="GD58" s="59"/>
      <c r="GE58" s="59"/>
      <c r="GF58" s="59"/>
      <c r="GG58" s="59"/>
      <c r="GH58" s="59"/>
      <c r="GI58" s="60"/>
    </row>
    <row r="59" spans="1:191" x14ac:dyDescent="0.15">
      <c r="A59" s="23">
        <v>24</v>
      </c>
      <c r="B59" s="24" t="s">
        <v>131</v>
      </c>
      <c r="C59" s="45" t="s">
        <v>135</v>
      </c>
      <c r="D59" s="26" t="s">
        <v>170</v>
      </c>
      <c r="E59" s="27" t="s">
        <v>13</v>
      </c>
      <c r="F59" s="28">
        <v>42882</v>
      </c>
      <c r="G59" s="28">
        <v>42883</v>
      </c>
      <c r="H59" s="29">
        <f t="shared" si="7"/>
        <v>0</v>
      </c>
      <c r="I59" s="30"/>
      <c r="J59" s="31"/>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4"/>
    </row>
    <row r="60" spans="1:191" x14ac:dyDescent="0.15">
      <c r="A60" s="35">
        <f>A59</f>
        <v>24</v>
      </c>
      <c r="B60" s="36" t="str">
        <f>B59</f>
        <v>SD</v>
      </c>
      <c r="C60" s="36" t="str">
        <f>C59</f>
        <v>Webアプリ構造評価仕様書レビュー</v>
      </c>
      <c r="D60" s="37" t="str">
        <f>D59</f>
        <v>伊藤</v>
      </c>
      <c r="E60" s="53" t="s">
        <v>0</v>
      </c>
      <c r="F60" s="54"/>
      <c r="G60" s="54"/>
      <c r="H60" s="55">
        <f t="shared" si="7"/>
        <v>0</v>
      </c>
      <c r="I60" s="56">
        <f>IF(OR(H59="",H60=""),"",H60-H59)</f>
        <v>0</v>
      </c>
      <c r="J60" s="57"/>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c r="BT60" s="59"/>
      <c r="BU60" s="59"/>
      <c r="BV60" s="59"/>
      <c r="BW60" s="59"/>
      <c r="BX60" s="59"/>
      <c r="BY60" s="59"/>
      <c r="BZ60" s="59"/>
      <c r="CA60" s="59"/>
      <c r="CB60" s="59"/>
      <c r="CC60" s="59"/>
      <c r="CD60" s="59"/>
      <c r="CE60" s="59"/>
      <c r="CF60" s="59"/>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c r="DR60" s="59"/>
      <c r="DS60" s="59"/>
      <c r="DT60" s="59"/>
      <c r="DU60" s="59"/>
      <c r="DV60" s="59"/>
      <c r="DW60" s="59"/>
      <c r="DX60" s="59"/>
      <c r="DY60" s="59"/>
      <c r="DZ60" s="59"/>
      <c r="EA60" s="59"/>
      <c r="EB60" s="59"/>
      <c r="EC60" s="59"/>
      <c r="ED60" s="59"/>
      <c r="EE60" s="59"/>
      <c r="EF60" s="59"/>
      <c r="EG60" s="59"/>
      <c r="EH60" s="59"/>
      <c r="EI60" s="59"/>
      <c r="EJ60" s="59"/>
      <c r="EK60" s="59"/>
      <c r="EL60" s="59"/>
      <c r="EM60" s="59"/>
      <c r="EN60" s="59"/>
      <c r="EO60" s="59"/>
      <c r="EP60" s="59"/>
      <c r="EQ60" s="59"/>
      <c r="ER60" s="59"/>
      <c r="ES60" s="59"/>
      <c r="ET60" s="59"/>
      <c r="EU60" s="59"/>
      <c r="EV60" s="59"/>
      <c r="EW60" s="59"/>
      <c r="EX60" s="59"/>
      <c r="EY60" s="59"/>
      <c r="EZ60" s="59"/>
      <c r="FA60" s="59"/>
      <c r="FB60" s="59"/>
      <c r="FC60" s="59"/>
      <c r="FD60" s="59"/>
      <c r="FE60" s="59"/>
      <c r="FF60" s="59"/>
      <c r="FG60" s="59"/>
      <c r="FH60" s="59"/>
      <c r="FI60" s="59"/>
      <c r="FJ60" s="59"/>
      <c r="FK60" s="59"/>
      <c r="FL60" s="59"/>
      <c r="FM60" s="59"/>
      <c r="FN60" s="59"/>
      <c r="FO60" s="59"/>
      <c r="FP60" s="59"/>
      <c r="FQ60" s="59"/>
      <c r="FR60" s="59"/>
      <c r="FS60" s="59"/>
      <c r="FT60" s="59"/>
      <c r="FU60" s="59"/>
      <c r="FV60" s="59"/>
      <c r="FW60" s="59"/>
      <c r="FX60" s="59"/>
      <c r="FY60" s="59"/>
      <c r="FZ60" s="59"/>
      <c r="GA60" s="59"/>
      <c r="GB60" s="59"/>
      <c r="GC60" s="59"/>
      <c r="GD60" s="59"/>
      <c r="GE60" s="59"/>
      <c r="GF60" s="59"/>
      <c r="GG60" s="59"/>
      <c r="GH60" s="59"/>
      <c r="GI60" s="60"/>
    </row>
    <row r="61" spans="1:191" x14ac:dyDescent="0.15">
      <c r="A61" s="23">
        <v>25</v>
      </c>
      <c r="B61" s="24" t="s">
        <v>131</v>
      </c>
      <c r="C61" s="45" t="s">
        <v>136</v>
      </c>
      <c r="D61" s="26" t="s">
        <v>171</v>
      </c>
      <c r="E61" s="27" t="s">
        <v>13</v>
      </c>
      <c r="F61" s="28">
        <v>42884</v>
      </c>
      <c r="G61" s="28">
        <v>42890</v>
      </c>
      <c r="H61" s="29">
        <f t="shared" si="7"/>
        <v>0</v>
      </c>
      <c r="I61" s="30"/>
      <c r="J61" s="31"/>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4"/>
    </row>
    <row r="62" spans="1:191" x14ac:dyDescent="0.15">
      <c r="A62" s="35">
        <f>A61</f>
        <v>25</v>
      </c>
      <c r="B62" s="36" t="str">
        <f>B61</f>
        <v>SD</v>
      </c>
      <c r="C62" s="36" t="str">
        <f>C61</f>
        <v>Webアプリ構造評価仕様書レビュー指摘対応</v>
      </c>
      <c r="D62" s="37" t="str">
        <f>D61</f>
        <v>高澤</v>
      </c>
      <c r="E62" s="53" t="s">
        <v>0</v>
      </c>
      <c r="F62" s="54"/>
      <c r="G62" s="54"/>
      <c r="H62" s="55">
        <f t="shared" si="7"/>
        <v>0</v>
      </c>
      <c r="I62" s="56">
        <f>IF(OR(H61="",H62=""),"",H62-H61)</f>
        <v>0</v>
      </c>
      <c r="J62" s="57"/>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60"/>
    </row>
    <row r="63" spans="1:191" x14ac:dyDescent="0.15">
      <c r="A63" s="23">
        <v>26</v>
      </c>
      <c r="B63" s="24" t="s">
        <v>131</v>
      </c>
      <c r="C63" s="45" t="s">
        <v>137</v>
      </c>
      <c r="D63" s="26" t="s">
        <v>172</v>
      </c>
      <c r="E63" s="27" t="s">
        <v>13</v>
      </c>
      <c r="F63" s="28">
        <v>42870</v>
      </c>
      <c r="G63" s="28">
        <v>42882</v>
      </c>
      <c r="H63" s="29">
        <f t="shared" si="7"/>
        <v>0</v>
      </c>
      <c r="I63" s="30"/>
      <c r="J63" s="31"/>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4"/>
    </row>
    <row r="64" spans="1:191" x14ac:dyDescent="0.15">
      <c r="A64" s="35">
        <f>A63</f>
        <v>26</v>
      </c>
      <c r="B64" s="36" t="str">
        <f>B63</f>
        <v>SD</v>
      </c>
      <c r="C64" s="36" t="str">
        <f>C63</f>
        <v>監視端末構造評価仕様書作成</v>
      </c>
      <c r="D64" s="37" t="str">
        <f>D63</f>
        <v>長田</v>
      </c>
      <c r="E64" s="53" t="s">
        <v>0</v>
      </c>
      <c r="F64" s="54"/>
      <c r="G64" s="54"/>
      <c r="H64" s="55">
        <f t="shared" si="7"/>
        <v>0</v>
      </c>
      <c r="I64" s="56">
        <f>IF(OR(H63="",H64=""),"",H64-H63)</f>
        <v>0</v>
      </c>
      <c r="J64" s="57"/>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c r="BS64" s="59"/>
      <c r="BT64" s="59"/>
      <c r="BU64" s="59"/>
      <c r="BV64" s="59"/>
      <c r="BW64" s="59"/>
      <c r="BX64" s="59"/>
      <c r="BY64" s="59"/>
      <c r="BZ64" s="59"/>
      <c r="CA64" s="59"/>
      <c r="CB64" s="59"/>
      <c r="CC64" s="59"/>
      <c r="CD64" s="59"/>
      <c r="CE64" s="59"/>
      <c r="CF64" s="59"/>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c r="DR64" s="59"/>
      <c r="DS64" s="59"/>
      <c r="DT64" s="59"/>
      <c r="DU64" s="59"/>
      <c r="DV64" s="59"/>
      <c r="DW64" s="59"/>
      <c r="DX64" s="59"/>
      <c r="DY64" s="59"/>
      <c r="DZ64" s="59"/>
      <c r="EA64" s="59"/>
      <c r="EB64" s="59"/>
      <c r="EC64" s="59"/>
      <c r="ED64" s="59"/>
      <c r="EE64" s="59"/>
      <c r="EF64" s="59"/>
      <c r="EG64" s="59"/>
      <c r="EH64" s="59"/>
      <c r="EI64" s="59"/>
      <c r="EJ64" s="59"/>
      <c r="EK64" s="59"/>
      <c r="EL64" s="59"/>
      <c r="EM64" s="59"/>
      <c r="EN64" s="59"/>
      <c r="EO64" s="59"/>
      <c r="EP64" s="59"/>
      <c r="EQ64" s="59"/>
      <c r="ER64" s="59"/>
      <c r="ES64" s="59"/>
      <c r="ET64" s="59"/>
      <c r="EU64" s="59"/>
      <c r="EV64" s="59"/>
      <c r="EW64" s="59"/>
      <c r="EX64" s="59"/>
      <c r="EY64" s="59"/>
      <c r="EZ64" s="59"/>
      <c r="FA64" s="59"/>
      <c r="FB64" s="59"/>
      <c r="FC64" s="59"/>
      <c r="FD64" s="59"/>
      <c r="FE64" s="59"/>
      <c r="FF64" s="59"/>
      <c r="FG64" s="59"/>
      <c r="FH64" s="59"/>
      <c r="FI64" s="59"/>
      <c r="FJ64" s="59"/>
      <c r="FK64" s="59"/>
      <c r="FL64" s="59"/>
      <c r="FM64" s="59"/>
      <c r="FN64" s="59"/>
      <c r="FO64" s="59"/>
      <c r="FP64" s="59"/>
      <c r="FQ64" s="59"/>
      <c r="FR64" s="59"/>
      <c r="FS64" s="59"/>
      <c r="FT64" s="59"/>
      <c r="FU64" s="59"/>
      <c r="FV64" s="59"/>
      <c r="FW64" s="59"/>
      <c r="FX64" s="59"/>
      <c r="FY64" s="59"/>
      <c r="FZ64" s="59"/>
      <c r="GA64" s="59"/>
      <c r="GB64" s="59"/>
      <c r="GC64" s="59"/>
      <c r="GD64" s="59"/>
      <c r="GE64" s="59"/>
      <c r="GF64" s="59"/>
      <c r="GG64" s="59"/>
      <c r="GH64" s="59"/>
      <c r="GI64" s="60"/>
    </row>
    <row r="65" spans="1:191" x14ac:dyDescent="0.15">
      <c r="A65" s="23">
        <v>27</v>
      </c>
      <c r="B65" s="24" t="s">
        <v>131</v>
      </c>
      <c r="C65" s="45" t="s">
        <v>138</v>
      </c>
      <c r="D65" s="26" t="s">
        <v>170</v>
      </c>
      <c r="E65" s="27" t="s">
        <v>13</v>
      </c>
      <c r="F65" s="28">
        <v>42882</v>
      </c>
      <c r="G65" s="28">
        <v>42883</v>
      </c>
      <c r="H65" s="29">
        <f t="shared" si="7"/>
        <v>0</v>
      </c>
      <c r="I65" s="30"/>
      <c r="J65" s="31"/>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4"/>
    </row>
    <row r="66" spans="1:191" x14ac:dyDescent="0.15">
      <c r="A66" s="35">
        <f>A65</f>
        <v>27</v>
      </c>
      <c r="B66" s="36" t="str">
        <f>B65</f>
        <v>SD</v>
      </c>
      <c r="C66" s="36" t="str">
        <f>C65</f>
        <v>監視端末構造評価仕様書レビュー</v>
      </c>
      <c r="D66" s="37" t="str">
        <f>D65</f>
        <v>伊藤</v>
      </c>
      <c r="E66" s="53" t="s">
        <v>0</v>
      </c>
      <c r="F66" s="54"/>
      <c r="G66" s="54"/>
      <c r="H66" s="55">
        <f t="shared" si="7"/>
        <v>0</v>
      </c>
      <c r="I66" s="56">
        <f>IF(OR(H65="",H66=""),"",H66-H65)</f>
        <v>0</v>
      </c>
      <c r="J66" s="57"/>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c r="BS66" s="59"/>
      <c r="BT66" s="59"/>
      <c r="BU66" s="59"/>
      <c r="BV66" s="59"/>
      <c r="BW66" s="59"/>
      <c r="BX66" s="59"/>
      <c r="BY66" s="59"/>
      <c r="BZ66" s="59"/>
      <c r="CA66" s="59"/>
      <c r="CB66" s="59"/>
      <c r="CC66" s="59"/>
      <c r="CD66" s="59"/>
      <c r="CE66" s="59"/>
      <c r="CF66" s="59"/>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c r="DR66" s="59"/>
      <c r="DS66" s="59"/>
      <c r="DT66" s="59"/>
      <c r="DU66" s="59"/>
      <c r="DV66" s="59"/>
      <c r="DW66" s="59"/>
      <c r="DX66" s="59"/>
      <c r="DY66" s="59"/>
      <c r="DZ66" s="59"/>
      <c r="EA66" s="59"/>
      <c r="EB66" s="59"/>
      <c r="EC66" s="59"/>
      <c r="ED66" s="59"/>
      <c r="EE66" s="59"/>
      <c r="EF66" s="59"/>
      <c r="EG66" s="59"/>
      <c r="EH66" s="59"/>
      <c r="EI66" s="59"/>
      <c r="EJ66" s="59"/>
      <c r="EK66" s="59"/>
      <c r="EL66" s="59"/>
      <c r="EM66" s="59"/>
      <c r="EN66" s="59"/>
      <c r="EO66" s="59"/>
      <c r="EP66" s="59"/>
      <c r="EQ66" s="59"/>
      <c r="ER66" s="59"/>
      <c r="ES66" s="59"/>
      <c r="ET66" s="59"/>
      <c r="EU66" s="59"/>
      <c r="EV66" s="59"/>
      <c r="EW66" s="59"/>
      <c r="EX66" s="59"/>
      <c r="EY66" s="59"/>
      <c r="EZ66" s="59"/>
      <c r="FA66" s="59"/>
      <c r="FB66" s="59"/>
      <c r="FC66" s="59"/>
      <c r="FD66" s="59"/>
      <c r="FE66" s="59"/>
      <c r="FF66" s="59"/>
      <c r="FG66" s="59"/>
      <c r="FH66" s="59"/>
      <c r="FI66" s="59"/>
      <c r="FJ66" s="59"/>
      <c r="FK66" s="59"/>
      <c r="FL66" s="59"/>
      <c r="FM66" s="59"/>
      <c r="FN66" s="59"/>
      <c r="FO66" s="59"/>
      <c r="FP66" s="59"/>
      <c r="FQ66" s="59"/>
      <c r="FR66" s="59"/>
      <c r="FS66" s="59"/>
      <c r="FT66" s="59"/>
      <c r="FU66" s="59"/>
      <c r="FV66" s="59"/>
      <c r="FW66" s="59"/>
      <c r="FX66" s="59"/>
      <c r="FY66" s="59"/>
      <c r="FZ66" s="59"/>
      <c r="GA66" s="59"/>
      <c r="GB66" s="59"/>
      <c r="GC66" s="59"/>
      <c r="GD66" s="59"/>
      <c r="GE66" s="59"/>
      <c r="GF66" s="59"/>
      <c r="GG66" s="59"/>
      <c r="GH66" s="59"/>
      <c r="GI66" s="60"/>
    </row>
    <row r="67" spans="1:191" x14ac:dyDescent="0.15">
      <c r="A67" s="23">
        <v>28</v>
      </c>
      <c r="B67" s="24" t="s">
        <v>131</v>
      </c>
      <c r="C67" s="45" t="s">
        <v>139</v>
      </c>
      <c r="D67" s="26" t="s">
        <v>172</v>
      </c>
      <c r="E67" s="27" t="s">
        <v>13</v>
      </c>
      <c r="F67" s="28">
        <v>42884</v>
      </c>
      <c r="G67" s="28">
        <v>42890</v>
      </c>
      <c r="H67" s="29">
        <f t="shared" si="7"/>
        <v>0</v>
      </c>
      <c r="I67" s="30"/>
      <c r="J67" s="31"/>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c r="FA67" s="33"/>
      <c r="FB67" s="33"/>
      <c r="FC67" s="33"/>
      <c r="FD67" s="33"/>
      <c r="FE67" s="33"/>
      <c r="FF67" s="33"/>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4"/>
    </row>
    <row r="68" spans="1:191" x14ac:dyDescent="0.15">
      <c r="A68" s="35">
        <f>A67</f>
        <v>28</v>
      </c>
      <c r="B68" s="36" t="str">
        <f>B67</f>
        <v>SD</v>
      </c>
      <c r="C68" s="36" t="str">
        <f>C67</f>
        <v>監視端末構造評価仕様書レビュー指摘対応</v>
      </c>
      <c r="D68" s="37" t="str">
        <f>D67</f>
        <v>長田</v>
      </c>
      <c r="E68" s="53" t="s">
        <v>0</v>
      </c>
      <c r="F68" s="54"/>
      <c r="G68" s="54"/>
      <c r="H68" s="55">
        <f t="shared" si="7"/>
        <v>0</v>
      </c>
      <c r="I68" s="56">
        <f>IF(OR(H67="",H68=""),"",H68-H67)</f>
        <v>0</v>
      </c>
      <c r="J68" s="57"/>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c r="BS68" s="59"/>
      <c r="BT68" s="59"/>
      <c r="BU68" s="59"/>
      <c r="BV68" s="59"/>
      <c r="BW68" s="59"/>
      <c r="BX68" s="59"/>
      <c r="BY68" s="59"/>
      <c r="BZ68" s="59"/>
      <c r="CA68" s="59"/>
      <c r="CB68" s="59"/>
      <c r="CC68" s="59"/>
      <c r="CD68" s="59"/>
      <c r="CE68" s="59"/>
      <c r="CF68" s="59"/>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c r="DR68" s="59"/>
      <c r="DS68" s="59"/>
      <c r="DT68" s="59"/>
      <c r="DU68" s="59"/>
      <c r="DV68" s="59"/>
      <c r="DW68" s="59"/>
      <c r="DX68" s="59"/>
      <c r="DY68" s="59"/>
      <c r="DZ68" s="59"/>
      <c r="EA68" s="59"/>
      <c r="EB68" s="59"/>
      <c r="EC68" s="59"/>
      <c r="ED68" s="59"/>
      <c r="EE68" s="59"/>
      <c r="EF68" s="59"/>
      <c r="EG68" s="59"/>
      <c r="EH68" s="59"/>
      <c r="EI68" s="59"/>
      <c r="EJ68" s="59"/>
      <c r="EK68" s="59"/>
      <c r="EL68" s="59"/>
      <c r="EM68" s="59"/>
      <c r="EN68" s="59"/>
      <c r="EO68" s="59"/>
      <c r="EP68" s="59"/>
      <c r="EQ68" s="59"/>
      <c r="ER68" s="59"/>
      <c r="ES68" s="59"/>
      <c r="ET68" s="59"/>
      <c r="EU68" s="59"/>
      <c r="EV68" s="59"/>
      <c r="EW68" s="59"/>
      <c r="EX68" s="59"/>
      <c r="EY68" s="59"/>
      <c r="EZ68" s="59"/>
      <c r="FA68" s="59"/>
      <c r="FB68" s="59"/>
      <c r="FC68" s="59"/>
      <c r="FD68" s="59"/>
      <c r="FE68" s="59"/>
      <c r="FF68" s="59"/>
      <c r="FG68" s="59"/>
      <c r="FH68" s="59"/>
      <c r="FI68" s="59"/>
      <c r="FJ68" s="59"/>
      <c r="FK68" s="59"/>
      <c r="FL68" s="59"/>
      <c r="FM68" s="59"/>
      <c r="FN68" s="59"/>
      <c r="FO68" s="59"/>
      <c r="FP68" s="59"/>
      <c r="FQ68" s="59"/>
      <c r="FR68" s="59"/>
      <c r="FS68" s="59"/>
      <c r="FT68" s="59"/>
      <c r="FU68" s="59"/>
      <c r="FV68" s="59"/>
      <c r="FW68" s="59"/>
      <c r="FX68" s="59"/>
      <c r="FY68" s="59"/>
      <c r="FZ68" s="59"/>
      <c r="GA68" s="59"/>
      <c r="GB68" s="59"/>
      <c r="GC68" s="59"/>
      <c r="GD68" s="59"/>
      <c r="GE68" s="59"/>
      <c r="GF68" s="59"/>
      <c r="GG68" s="59"/>
      <c r="GH68" s="59"/>
      <c r="GI68" s="60"/>
    </row>
    <row r="69" spans="1:191" x14ac:dyDescent="0.15">
      <c r="A69" s="23">
        <v>29</v>
      </c>
      <c r="B69" s="24" t="s">
        <v>140</v>
      </c>
      <c r="C69" s="45" t="s">
        <v>141</v>
      </c>
      <c r="D69" s="26" t="s">
        <v>114</v>
      </c>
      <c r="E69" s="27" t="s">
        <v>13</v>
      </c>
      <c r="F69" s="28">
        <v>42891</v>
      </c>
      <c r="G69" s="28">
        <v>42903</v>
      </c>
      <c r="H69" s="29">
        <f t="shared" si="7"/>
        <v>0</v>
      </c>
      <c r="I69" s="30"/>
      <c r="J69" s="31"/>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c r="DQ69" s="33"/>
      <c r="DR69" s="33"/>
      <c r="DS69" s="33"/>
      <c r="DT69" s="33"/>
      <c r="DU69" s="33"/>
      <c r="DV69" s="33"/>
      <c r="DW69" s="33"/>
      <c r="DX69" s="33"/>
      <c r="DY69" s="33"/>
      <c r="DZ69" s="33"/>
      <c r="EA69" s="33"/>
      <c r="EB69" s="33"/>
      <c r="EC69" s="33"/>
      <c r="ED69" s="33"/>
      <c r="EE69" s="33"/>
      <c r="EF69" s="33"/>
      <c r="EG69" s="33"/>
      <c r="EH69" s="33"/>
      <c r="EI69" s="33"/>
      <c r="EJ69" s="33"/>
      <c r="EK69" s="33"/>
      <c r="EL69" s="33"/>
      <c r="EM69" s="33"/>
      <c r="EN69" s="33"/>
      <c r="EO69" s="33"/>
      <c r="EP69" s="33"/>
      <c r="EQ69" s="33"/>
      <c r="ER69" s="33"/>
      <c r="ES69" s="33"/>
      <c r="ET69" s="33"/>
      <c r="EU69" s="33"/>
      <c r="EV69" s="33"/>
      <c r="EW69" s="33"/>
      <c r="EX69" s="33"/>
      <c r="EY69" s="33"/>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4"/>
    </row>
    <row r="70" spans="1:191" x14ac:dyDescent="0.15">
      <c r="A70" s="35">
        <f>A69</f>
        <v>29</v>
      </c>
      <c r="B70" s="36" t="str">
        <f>B69</f>
        <v>DD</v>
      </c>
      <c r="C70" s="36" t="str">
        <f>C69</f>
        <v>Webアプリ詳細設計書作成</v>
      </c>
      <c r="D70" s="37" t="str">
        <f>D69</f>
        <v>那須</v>
      </c>
      <c r="E70" s="53" t="s">
        <v>0</v>
      </c>
      <c r="F70" s="54"/>
      <c r="G70" s="54"/>
      <c r="H70" s="55">
        <f t="shared" si="7"/>
        <v>0</v>
      </c>
      <c r="I70" s="56">
        <f>IF(OR(H69="",H70=""),"",H70-H69)</f>
        <v>0</v>
      </c>
      <c r="J70" s="57"/>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c r="BS70" s="59"/>
      <c r="BT70" s="59"/>
      <c r="BU70" s="59"/>
      <c r="BV70" s="59"/>
      <c r="BW70" s="59"/>
      <c r="BX70" s="59"/>
      <c r="BY70" s="59"/>
      <c r="BZ70" s="59"/>
      <c r="CA70" s="59"/>
      <c r="CB70" s="59"/>
      <c r="CC70" s="59"/>
      <c r="CD70" s="59"/>
      <c r="CE70" s="59"/>
      <c r="CF70" s="59"/>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c r="DR70" s="59"/>
      <c r="DS70" s="59"/>
      <c r="DT70" s="59"/>
      <c r="DU70" s="59"/>
      <c r="DV70" s="59"/>
      <c r="DW70" s="59"/>
      <c r="DX70" s="59"/>
      <c r="DY70" s="59"/>
      <c r="DZ70" s="59"/>
      <c r="EA70" s="59"/>
      <c r="EB70" s="59"/>
      <c r="EC70" s="59"/>
      <c r="ED70" s="59"/>
      <c r="EE70" s="59"/>
      <c r="EF70" s="59"/>
      <c r="EG70" s="59"/>
      <c r="EH70" s="59"/>
      <c r="EI70" s="59"/>
      <c r="EJ70" s="59"/>
      <c r="EK70" s="59"/>
      <c r="EL70" s="59"/>
      <c r="EM70" s="59"/>
      <c r="EN70" s="59"/>
      <c r="EO70" s="59"/>
      <c r="EP70" s="59"/>
      <c r="EQ70" s="59"/>
      <c r="ER70" s="59"/>
      <c r="ES70" s="59"/>
      <c r="ET70" s="59"/>
      <c r="EU70" s="59"/>
      <c r="EV70" s="59"/>
      <c r="EW70" s="59"/>
      <c r="EX70" s="59"/>
      <c r="EY70" s="59"/>
      <c r="EZ70" s="59"/>
      <c r="FA70" s="59"/>
      <c r="FB70" s="59"/>
      <c r="FC70" s="59"/>
      <c r="FD70" s="59"/>
      <c r="FE70" s="59"/>
      <c r="FF70" s="59"/>
      <c r="FG70" s="59"/>
      <c r="FH70" s="59"/>
      <c r="FI70" s="59"/>
      <c r="FJ70" s="59"/>
      <c r="FK70" s="59"/>
      <c r="FL70" s="59"/>
      <c r="FM70" s="59"/>
      <c r="FN70" s="59"/>
      <c r="FO70" s="59"/>
      <c r="FP70" s="59"/>
      <c r="FQ70" s="59"/>
      <c r="FR70" s="59"/>
      <c r="FS70" s="59"/>
      <c r="FT70" s="59"/>
      <c r="FU70" s="59"/>
      <c r="FV70" s="59"/>
      <c r="FW70" s="59"/>
      <c r="FX70" s="59"/>
      <c r="FY70" s="59"/>
      <c r="FZ70" s="59"/>
      <c r="GA70" s="59"/>
      <c r="GB70" s="59"/>
      <c r="GC70" s="59"/>
      <c r="GD70" s="59"/>
      <c r="GE70" s="59"/>
      <c r="GF70" s="59"/>
      <c r="GG70" s="59"/>
      <c r="GH70" s="59"/>
      <c r="GI70" s="60"/>
    </row>
    <row r="71" spans="1:191" x14ac:dyDescent="0.15">
      <c r="A71" s="23">
        <v>30</v>
      </c>
      <c r="B71" s="24" t="s">
        <v>140</v>
      </c>
      <c r="C71" s="45" t="s">
        <v>142</v>
      </c>
      <c r="D71" s="26" t="s">
        <v>170</v>
      </c>
      <c r="E71" s="27" t="s">
        <v>13</v>
      </c>
      <c r="F71" s="28">
        <v>42903</v>
      </c>
      <c r="G71" s="28">
        <v>42904</v>
      </c>
      <c r="H71" s="29">
        <f t="shared" si="7"/>
        <v>0</v>
      </c>
      <c r="I71" s="30"/>
      <c r="J71" s="31"/>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4"/>
    </row>
    <row r="72" spans="1:191" x14ac:dyDescent="0.15">
      <c r="A72" s="35">
        <f>A71</f>
        <v>30</v>
      </c>
      <c r="B72" s="36" t="str">
        <f>B71</f>
        <v>DD</v>
      </c>
      <c r="C72" s="36" t="str">
        <f>C71</f>
        <v>Webアプリ詳細設計書レビュー</v>
      </c>
      <c r="D72" s="37" t="str">
        <f>D71</f>
        <v>伊藤</v>
      </c>
      <c r="E72" s="53" t="s">
        <v>0</v>
      </c>
      <c r="F72" s="54"/>
      <c r="G72" s="54"/>
      <c r="H72" s="55">
        <f t="shared" si="7"/>
        <v>0</v>
      </c>
      <c r="I72" s="56">
        <f>IF(OR(H71="",H72=""),"",H72-H71)</f>
        <v>0</v>
      </c>
      <c r="J72" s="57"/>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c r="BS72" s="59"/>
      <c r="BT72" s="59"/>
      <c r="BU72" s="59"/>
      <c r="BV72" s="59"/>
      <c r="BW72" s="59"/>
      <c r="BX72" s="59"/>
      <c r="BY72" s="59"/>
      <c r="BZ72" s="59"/>
      <c r="CA72" s="59"/>
      <c r="CB72" s="59"/>
      <c r="CC72" s="59"/>
      <c r="CD72" s="59"/>
      <c r="CE72" s="59"/>
      <c r="CF72" s="59"/>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c r="DR72" s="59"/>
      <c r="DS72" s="59"/>
      <c r="DT72" s="59"/>
      <c r="DU72" s="59"/>
      <c r="DV72" s="59"/>
      <c r="DW72" s="59"/>
      <c r="DX72" s="59"/>
      <c r="DY72" s="59"/>
      <c r="DZ72" s="59"/>
      <c r="EA72" s="59"/>
      <c r="EB72" s="59"/>
      <c r="EC72" s="59"/>
      <c r="ED72" s="59"/>
      <c r="EE72" s="59"/>
      <c r="EF72" s="59"/>
      <c r="EG72" s="59"/>
      <c r="EH72" s="59"/>
      <c r="EI72" s="59"/>
      <c r="EJ72" s="59"/>
      <c r="EK72" s="59"/>
      <c r="EL72" s="59"/>
      <c r="EM72" s="59"/>
      <c r="EN72" s="59"/>
      <c r="EO72" s="59"/>
      <c r="EP72" s="59"/>
      <c r="EQ72" s="59"/>
      <c r="ER72" s="59"/>
      <c r="ES72" s="59"/>
      <c r="ET72" s="59"/>
      <c r="EU72" s="59"/>
      <c r="EV72" s="59"/>
      <c r="EW72" s="59"/>
      <c r="EX72" s="59"/>
      <c r="EY72" s="59"/>
      <c r="EZ72" s="59"/>
      <c r="FA72" s="59"/>
      <c r="FB72" s="59"/>
      <c r="FC72" s="59"/>
      <c r="FD72" s="59"/>
      <c r="FE72" s="59"/>
      <c r="FF72" s="59"/>
      <c r="FG72" s="59"/>
      <c r="FH72" s="59"/>
      <c r="FI72" s="59"/>
      <c r="FJ72" s="59"/>
      <c r="FK72" s="59"/>
      <c r="FL72" s="59"/>
      <c r="FM72" s="59"/>
      <c r="FN72" s="59"/>
      <c r="FO72" s="59"/>
      <c r="FP72" s="59"/>
      <c r="FQ72" s="59"/>
      <c r="FR72" s="59"/>
      <c r="FS72" s="59"/>
      <c r="FT72" s="59"/>
      <c r="FU72" s="59"/>
      <c r="FV72" s="59"/>
      <c r="FW72" s="59"/>
      <c r="FX72" s="59"/>
      <c r="FY72" s="59"/>
      <c r="FZ72" s="59"/>
      <c r="GA72" s="59"/>
      <c r="GB72" s="59"/>
      <c r="GC72" s="59"/>
      <c r="GD72" s="59"/>
      <c r="GE72" s="59"/>
      <c r="GF72" s="59"/>
      <c r="GG72" s="59"/>
      <c r="GH72" s="59"/>
      <c r="GI72" s="60"/>
    </row>
    <row r="73" spans="1:191" x14ac:dyDescent="0.15">
      <c r="A73" s="23">
        <v>31</v>
      </c>
      <c r="B73" s="24" t="s">
        <v>140</v>
      </c>
      <c r="C73" s="45" t="s">
        <v>143</v>
      </c>
      <c r="D73" s="26" t="s">
        <v>114</v>
      </c>
      <c r="E73" s="27" t="s">
        <v>13</v>
      </c>
      <c r="F73" s="28">
        <v>42905</v>
      </c>
      <c r="G73" s="28">
        <v>42911</v>
      </c>
      <c r="H73" s="29">
        <f t="shared" si="7"/>
        <v>0</v>
      </c>
      <c r="I73" s="30"/>
      <c r="J73" s="31"/>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c r="FA73" s="33"/>
      <c r="FB73" s="33"/>
      <c r="FC73" s="33"/>
      <c r="FD73" s="33"/>
      <c r="FE73" s="33"/>
      <c r="FF73" s="33"/>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4"/>
    </row>
    <row r="74" spans="1:191" x14ac:dyDescent="0.15">
      <c r="A74" s="35">
        <f>A73</f>
        <v>31</v>
      </c>
      <c r="B74" s="36" t="str">
        <f>B73</f>
        <v>DD</v>
      </c>
      <c r="C74" s="36" t="str">
        <f>C73</f>
        <v>Webアプリ詳細設計書レビュー指摘対応</v>
      </c>
      <c r="D74" s="37" t="str">
        <f>D73</f>
        <v>那須</v>
      </c>
      <c r="E74" s="53" t="s">
        <v>0</v>
      </c>
      <c r="F74" s="54"/>
      <c r="G74" s="54"/>
      <c r="H74" s="55">
        <f t="shared" si="7"/>
        <v>0</v>
      </c>
      <c r="I74" s="56">
        <f>IF(OR(H73="",H74=""),"",H74-H73)</f>
        <v>0</v>
      </c>
      <c r="J74" s="57"/>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c r="DR74" s="59"/>
      <c r="DS74" s="59"/>
      <c r="DT74" s="59"/>
      <c r="DU74" s="59"/>
      <c r="DV74" s="59"/>
      <c r="DW74" s="59"/>
      <c r="DX74" s="59"/>
      <c r="DY74" s="59"/>
      <c r="DZ74" s="59"/>
      <c r="EA74" s="59"/>
      <c r="EB74" s="59"/>
      <c r="EC74" s="59"/>
      <c r="ED74" s="59"/>
      <c r="EE74" s="59"/>
      <c r="EF74" s="59"/>
      <c r="EG74" s="59"/>
      <c r="EH74" s="59"/>
      <c r="EI74" s="59"/>
      <c r="EJ74" s="59"/>
      <c r="EK74" s="59"/>
      <c r="EL74" s="59"/>
      <c r="EM74" s="59"/>
      <c r="EN74" s="59"/>
      <c r="EO74" s="59"/>
      <c r="EP74" s="59"/>
      <c r="EQ74" s="59"/>
      <c r="ER74" s="59"/>
      <c r="ES74" s="59"/>
      <c r="ET74" s="59"/>
      <c r="EU74" s="59"/>
      <c r="EV74" s="59"/>
      <c r="EW74" s="59"/>
      <c r="EX74" s="59"/>
      <c r="EY74" s="59"/>
      <c r="EZ74" s="59"/>
      <c r="FA74" s="59"/>
      <c r="FB74" s="59"/>
      <c r="FC74" s="59"/>
      <c r="FD74" s="59"/>
      <c r="FE74" s="59"/>
      <c r="FF74" s="59"/>
      <c r="FG74" s="59"/>
      <c r="FH74" s="59"/>
      <c r="FI74" s="59"/>
      <c r="FJ74" s="59"/>
      <c r="FK74" s="59"/>
      <c r="FL74" s="59"/>
      <c r="FM74" s="59"/>
      <c r="FN74" s="59"/>
      <c r="FO74" s="59"/>
      <c r="FP74" s="59"/>
      <c r="FQ74" s="59"/>
      <c r="FR74" s="59"/>
      <c r="FS74" s="59"/>
      <c r="FT74" s="59"/>
      <c r="FU74" s="59"/>
      <c r="FV74" s="59"/>
      <c r="FW74" s="59"/>
      <c r="FX74" s="59"/>
      <c r="FY74" s="59"/>
      <c r="FZ74" s="59"/>
      <c r="GA74" s="59"/>
      <c r="GB74" s="59"/>
      <c r="GC74" s="59"/>
      <c r="GD74" s="59"/>
      <c r="GE74" s="59"/>
      <c r="GF74" s="59"/>
      <c r="GG74" s="59"/>
      <c r="GH74" s="59"/>
      <c r="GI74" s="60"/>
    </row>
    <row r="75" spans="1:191" x14ac:dyDescent="0.15">
      <c r="A75" s="23">
        <v>32</v>
      </c>
      <c r="B75" s="24" t="s">
        <v>140</v>
      </c>
      <c r="C75" s="45" t="s">
        <v>144</v>
      </c>
      <c r="D75" s="26" t="s">
        <v>115</v>
      </c>
      <c r="E75" s="27" t="s">
        <v>13</v>
      </c>
      <c r="F75" s="28">
        <v>42891</v>
      </c>
      <c r="G75" s="28">
        <v>42903</v>
      </c>
      <c r="H75" s="29">
        <f t="shared" si="7"/>
        <v>0</v>
      </c>
      <c r="I75" s="30"/>
      <c r="J75" s="31"/>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c r="DQ75" s="33"/>
      <c r="DR75" s="33"/>
      <c r="DS75" s="33"/>
      <c r="DT75" s="33"/>
      <c r="DU75" s="33"/>
      <c r="DV75" s="33"/>
      <c r="DW75" s="33"/>
      <c r="DX75" s="33"/>
      <c r="DY75" s="33"/>
      <c r="DZ75" s="33"/>
      <c r="EA75" s="33"/>
      <c r="EB75" s="33"/>
      <c r="EC75" s="33"/>
      <c r="ED75" s="33"/>
      <c r="EE75" s="33"/>
      <c r="EF75" s="33"/>
      <c r="EG75" s="33"/>
      <c r="EH75" s="33"/>
      <c r="EI75" s="33"/>
      <c r="EJ75" s="33"/>
      <c r="EK75" s="33"/>
      <c r="EL75" s="33"/>
      <c r="EM75" s="33"/>
      <c r="EN75" s="33"/>
      <c r="EO75" s="33"/>
      <c r="EP75" s="33"/>
      <c r="EQ75" s="33"/>
      <c r="ER75" s="33"/>
      <c r="ES75" s="33"/>
      <c r="ET75" s="33"/>
      <c r="EU75" s="33"/>
      <c r="EV75" s="33"/>
      <c r="EW75" s="33"/>
      <c r="EX75" s="33"/>
      <c r="EY75" s="33"/>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4"/>
    </row>
    <row r="76" spans="1:191" x14ac:dyDescent="0.15">
      <c r="A76" s="35">
        <f>A75</f>
        <v>32</v>
      </c>
      <c r="B76" s="36" t="str">
        <f>B75</f>
        <v>DD</v>
      </c>
      <c r="C76" s="36" t="str">
        <f>C75</f>
        <v>監視端末詳細設計書作成</v>
      </c>
      <c r="D76" s="37" t="str">
        <f>D75</f>
        <v>若山</v>
      </c>
      <c r="E76" s="53" t="s">
        <v>0</v>
      </c>
      <c r="F76" s="54"/>
      <c r="G76" s="54"/>
      <c r="H76" s="55">
        <f t="shared" si="7"/>
        <v>0</v>
      </c>
      <c r="I76" s="56">
        <f>IF(OR(H75="",H76=""),"",H76-H75)</f>
        <v>0</v>
      </c>
      <c r="J76" s="57"/>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c r="DR76" s="59"/>
      <c r="DS76" s="59"/>
      <c r="DT76" s="59"/>
      <c r="DU76" s="59"/>
      <c r="DV76" s="59"/>
      <c r="DW76" s="59"/>
      <c r="DX76" s="59"/>
      <c r="DY76" s="59"/>
      <c r="DZ76" s="59"/>
      <c r="EA76" s="59"/>
      <c r="EB76" s="59"/>
      <c r="EC76" s="59"/>
      <c r="ED76" s="59"/>
      <c r="EE76" s="59"/>
      <c r="EF76" s="59"/>
      <c r="EG76" s="59"/>
      <c r="EH76" s="59"/>
      <c r="EI76" s="59"/>
      <c r="EJ76" s="59"/>
      <c r="EK76" s="59"/>
      <c r="EL76" s="59"/>
      <c r="EM76" s="59"/>
      <c r="EN76" s="59"/>
      <c r="EO76" s="59"/>
      <c r="EP76" s="59"/>
      <c r="EQ76" s="59"/>
      <c r="ER76" s="59"/>
      <c r="ES76" s="59"/>
      <c r="ET76" s="59"/>
      <c r="EU76" s="59"/>
      <c r="EV76" s="59"/>
      <c r="EW76" s="59"/>
      <c r="EX76" s="59"/>
      <c r="EY76" s="59"/>
      <c r="EZ76" s="59"/>
      <c r="FA76" s="59"/>
      <c r="FB76" s="59"/>
      <c r="FC76" s="59"/>
      <c r="FD76" s="59"/>
      <c r="FE76" s="59"/>
      <c r="FF76" s="59"/>
      <c r="FG76" s="59"/>
      <c r="FH76" s="59"/>
      <c r="FI76" s="59"/>
      <c r="FJ76" s="59"/>
      <c r="FK76" s="59"/>
      <c r="FL76" s="59"/>
      <c r="FM76" s="59"/>
      <c r="FN76" s="59"/>
      <c r="FO76" s="59"/>
      <c r="FP76" s="59"/>
      <c r="FQ76" s="59"/>
      <c r="FR76" s="59"/>
      <c r="FS76" s="59"/>
      <c r="FT76" s="59"/>
      <c r="FU76" s="59"/>
      <c r="FV76" s="59"/>
      <c r="FW76" s="59"/>
      <c r="FX76" s="59"/>
      <c r="FY76" s="59"/>
      <c r="FZ76" s="59"/>
      <c r="GA76" s="59"/>
      <c r="GB76" s="59"/>
      <c r="GC76" s="59"/>
      <c r="GD76" s="59"/>
      <c r="GE76" s="59"/>
      <c r="GF76" s="59"/>
      <c r="GG76" s="59"/>
      <c r="GH76" s="59"/>
      <c r="GI76" s="60"/>
    </row>
    <row r="77" spans="1:191" x14ac:dyDescent="0.15">
      <c r="A77" s="23">
        <v>33</v>
      </c>
      <c r="B77" s="24" t="s">
        <v>140</v>
      </c>
      <c r="C77" s="45" t="s">
        <v>145</v>
      </c>
      <c r="D77" s="26" t="s">
        <v>170</v>
      </c>
      <c r="E77" s="27" t="s">
        <v>13</v>
      </c>
      <c r="F77" s="28">
        <v>42903</v>
      </c>
      <c r="G77" s="28">
        <v>42904</v>
      </c>
      <c r="H77" s="29">
        <f t="shared" si="7"/>
        <v>0</v>
      </c>
      <c r="I77" s="30"/>
      <c r="J77" s="31"/>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4"/>
    </row>
    <row r="78" spans="1:191" x14ac:dyDescent="0.15">
      <c r="A78" s="35">
        <f>A77</f>
        <v>33</v>
      </c>
      <c r="B78" s="36" t="str">
        <f>B77</f>
        <v>DD</v>
      </c>
      <c r="C78" s="36" t="str">
        <f>C77</f>
        <v>監視端末詳細設計書レビュー</v>
      </c>
      <c r="D78" s="37" t="str">
        <f>D77</f>
        <v>伊藤</v>
      </c>
      <c r="E78" s="53" t="s">
        <v>0</v>
      </c>
      <c r="F78" s="54"/>
      <c r="G78" s="54"/>
      <c r="H78" s="55">
        <f t="shared" si="7"/>
        <v>0</v>
      </c>
      <c r="I78" s="56">
        <f>IF(OR(H77="",H78=""),"",H78-H77)</f>
        <v>0</v>
      </c>
      <c r="J78" s="57"/>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c r="DR78" s="59"/>
      <c r="DS78" s="59"/>
      <c r="DT78" s="59"/>
      <c r="DU78" s="59"/>
      <c r="DV78" s="59"/>
      <c r="DW78" s="59"/>
      <c r="DX78" s="59"/>
      <c r="DY78" s="59"/>
      <c r="DZ78" s="59"/>
      <c r="EA78" s="59"/>
      <c r="EB78" s="59"/>
      <c r="EC78" s="59"/>
      <c r="ED78" s="59"/>
      <c r="EE78" s="59"/>
      <c r="EF78" s="59"/>
      <c r="EG78" s="59"/>
      <c r="EH78" s="59"/>
      <c r="EI78" s="59"/>
      <c r="EJ78" s="59"/>
      <c r="EK78" s="59"/>
      <c r="EL78" s="59"/>
      <c r="EM78" s="59"/>
      <c r="EN78" s="59"/>
      <c r="EO78" s="59"/>
      <c r="EP78" s="59"/>
      <c r="EQ78" s="59"/>
      <c r="ER78" s="59"/>
      <c r="ES78" s="59"/>
      <c r="ET78" s="59"/>
      <c r="EU78" s="59"/>
      <c r="EV78" s="59"/>
      <c r="EW78" s="59"/>
      <c r="EX78" s="59"/>
      <c r="EY78" s="59"/>
      <c r="EZ78" s="59"/>
      <c r="FA78" s="59"/>
      <c r="FB78" s="59"/>
      <c r="FC78" s="59"/>
      <c r="FD78" s="59"/>
      <c r="FE78" s="59"/>
      <c r="FF78" s="59"/>
      <c r="FG78" s="59"/>
      <c r="FH78" s="59"/>
      <c r="FI78" s="59"/>
      <c r="FJ78" s="59"/>
      <c r="FK78" s="59"/>
      <c r="FL78" s="59"/>
      <c r="FM78" s="59"/>
      <c r="FN78" s="59"/>
      <c r="FO78" s="59"/>
      <c r="FP78" s="59"/>
      <c r="FQ78" s="59"/>
      <c r="FR78" s="59"/>
      <c r="FS78" s="59"/>
      <c r="FT78" s="59"/>
      <c r="FU78" s="59"/>
      <c r="FV78" s="59"/>
      <c r="FW78" s="59"/>
      <c r="FX78" s="59"/>
      <c r="FY78" s="59"/>
      <c r="FZ78" s="59"/>
      <c r="GA78" s="59"/>
      <c r="GB78" s="59"/>
      <c r="GC78" s="59"/>
      <c r="GD78" s="59"/>
      <c r="GE78" s="59"/>
      <c r="GF78" s="59"/>
      <c r="GG78" s="59"/>
      <c r="GH78" s="59"/>
      <c r="GI78" s="60"/>
    </row>
    <row r="79" spans="1:191" x14ac:dyDescent="0.15">
      <c r="A79" s="23">
        <v>34</v>
      </c>
      <c r="B79" s="24" t="s">
        <v>140</v>
      </c>
      <c r="C79" s="45" t="s">
        <v>146</v>
      </c>
      <c r="D79" s="26" t="s">
        <v>115</v>
      </c>
      <c r="E79" s="27" t="s">
        <v>13</v>
      </c>
      <c r="F79" s="28">
        <v>42905</v>
      </c>
      <c r="G79" s="28">
        <v>42911</v>
      </c>
      <c r="H79" s="29">
        <f t="shared" si="7"/>
        <v>0</v>
      </c>
      <c r="I79" s="30"/>
      <c r="J79" s="31"/>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c r="FA79" s="33"/>
      <c r="FB79" s="33"/>
      <c r="FC79" s="33"/>
      <c r="FD79" s="33"/>
      <c r="FE79" s="33"/>
      <c r="FF79" s="33"/>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4"/>
    </row>
    <row r="80" spans="1:191" x14ac:dyDescent="0.15">
      <c r="A80" s="35">
        <f>A79</f>
        <v>34</v>
      </c>
      <c r="B80" s="36" t="str">
        <f>B79</f>
        <v>DD</v>
      </c>
      <c r="C80" s="36" t="str">
        <f>C79</f>
        <v>監視端末詳細設計書レビュー指摘対応</v>
      </c>
      <c r="D80" s="37" t="str">
        <f>D79</f>
        <v>若山</v>
      </c>
      <c r="E80" s="53" t="s">
        <v>0</v>
      </c>
      <c r="F80" s="54"/>
      <c r="G80" s="54"/>
      <c r="H80" s="55">
        <f t="shared" si="7"/>
        <v>0</v>
      </c>
      <c r="I80" s="56">
        <f>IF(OR(H79="",H80=""),"",H80-H79)</f>
        <v>0</v>
      </c>
      <c r="J80" s="57"/>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c r="DR80" s="59"/>
      <c r="DS80" s="59"/>
      <c r="DT80" s="59"/>
      <c r="DU80" s="59"/>
      <c r="DV80" s="59"/>
      <c r="DW80" s="59"/>
      <c r="DX80" s="59"/>
      <c r="DY80" s="59"/>
      <c r="DZ80" s="59"/>
      <c r="EA80" s="59"/>
      <c r="EB80" s="59"/>
      <c r="EC80" s="59"/>
      <c r="ED80" s="59"/>
      <c r="EE80" s="59"/>
      <c r="EF80" s="59"/>
      <c r="EG80" s="59"/>
      <c r="EH80" s="59"/>
      <c r="EI80" s="59"/>
      <c r="EJ80" s="59"/>
      <c r="EK80" s="59"/>
      <c r="EL80" s="59"/>
      <c r="EM80" s="59"/>
      <c r="EN80" s="59"/>
      <c r="EO80" s="59"/>
      <c r="EP80" s="59"/>
      <c r="EQ80" s="59"/>
      <c r="ER80" s="59"/>
      <c r="ES80" s="59"/>
      <c r="ET80" s="59"/>
      <c r="EU80" s="59"/>
      <c r="EV80" s="59"/>
      <c r="EW80" s="59"/>
      <c r="EX80" s="59"/>
      <c r="EY80" s="59"/>
      <c r="EZ80" s="59"/>
      <c r="FA80" s="59"/>
      <c r="FB80" s="59"/>
      <c r="FC80" s="59"/>
      <c r="FD80" s="59"/>
      <c r="FE80" s="59"/>
      <c r="FF80" s="59"/>
      <c r="FG80" s="59"/>
      <c r="FH80" s="59"/>
      <c r="FI80" s="59"/>
      <c r="FJ80" s="59"/>
      <c r="FK80" s="59"/>
      <c r="FL80" s="59"/>
      <c r="FM80" s="59"/>
      <c r="FN80" s="59"/>
      <c r="FO80" s="59"/>
      <c r="FP80" s="59"/>
      <c r="FQ80" s="59"/>
      <c r="FR80" s="59"/>
      <c r="FS80" s="59"/>
      <c r="FT80" s="59"/>
      <c r="FU80" s="59"/>
      <c r="FV80" s="59"/>
      <c r="FW80" s="59"/>
      <c r="FX80" s="59"/>
      <c r="FY80" s="59"/>
      <c r="FZ80" s="59"/>
      <c r="GA80" s="59"/>
      <c r="GB80" s="59"/>
      <c r="GC80" s="59"/>
      <c r="GD80" s="59"/>
      <c r="GE80" s="59"/>
      <c r="GF80" s="59"/>
      <c r="GG80" s="59"/>
      <c r="GH80" s="59"/>
      <c r="GI80" s="60"/>
    </row>
    <row r="81" spans="1:191" x14ac:dyDescent="0.15">
      <c r="A81" s="23">
        <v>35</v>
      </c>
      <c r="B81" s="24" t="s">
        <v>140</v>
      </c>
      <c r="C81" s="45" t="s">
        <v>147</v>
      </c>
      <c r="D81" s="26" t="s">
        <v>171</v>
      </c>
      <c r="E81" s="27" t="s">
        <v>13</v>
      </c>
      <c r="F81" s="28">
        <v>42891</v>
      </c>
      <c r="G81" s="28">
        <v>42903</v>
      </c>
      <c r="H81" s="29">
        <f t="shared" ref="H81:H104" si="8">SUM(J81:GI81)</f>
        <v>0</v>
      </c>
      <c r="I81" s="30"/>
      <c r="J81" s="31"/>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c r="FN81" s="33"/>
      <c r="FO81" s="33"/>
      <c r="FP81" s="33"/>
      <c r="FQ81" s="33"/>
      <c r="FR81" s="33"/>
      <c r="FS81" s="33"/>
      <c r="FT81" s="33"/>
      <c r="FU81" s="33"/>
      <c r="FV81" s="33"/>
      <c r="FW81" s="33"/>
      <c r="FX81" s="33"/>
      <c r="FY81" s="33"/>
      <c r="FZ81" s="33"/>
      <c r="GA81" s="33"/>
      <c r="GB81" s="33"/>
      <c r="GC81" s="33"/>
      <c r="GD81" s="33"/>
      <c r="GE81" s="33"/>
      <c r="GF81" s="33"/>
      <c r="GG81" s="33"/>
      <c r="GH81" s="33"/>
      <c r="GI81" s="34"/>
    </row>
    <row r="82" spans="1:191" x14ac:dyDescent="0.15">
      <c r="A82" s="35">
        <f>A81</f>
        <v>35</v>
      </c>
      <c r="B82" s="36" t="str">
        <f>B81</f>
        <v>DD</v>
      </c>
      <c r="C82" s="36" t="str">
        <f>C81</f>
        <v>Webアプリ詳細評価仕様書作成</v>
      </c>
      <c r="D82" s="37" t="str">
        <f>D81</f>
        <v>高澤</v>
      </c>
      <c r="E82" s="53" t="s">
        <v>0</v>
      </c>
      <c r="F82" s="54"/>
      <c r="G82" s="54"/>
      <c r="H82" s="55">
        <f t="shared" si="8"/>
        <v>0</v>
      </c>
      <c r="I82" s="56">
        <f>IF(OR(H81="",H82=""),"",H82-H81)</f>
        <v>0</v>
      </c>
      <c r="J82" s="57"/>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c r="DR82" s="59"/>
      <c r="DS82" s="59"/>
      <c r="DT82" s="59"/>
      <c r="DU82" s="59"/>
      <c r="DV82" s="59"/>
      <c r="DW82" s="59"/>
      <c r="DX82" s="59"/>
      <c r="DY82" s="59"/>
      <c r="DZ82" s="59"/>
      <c r="EA82" s="59"/>
      <c r="EB82" s="59"/>
      <c r="EC82" s="59"/>
      <c r="ED82" s="59"/>
      <c r="EE82" s="59"/>
      <c r="EF82" s="59"/>
      <c r="EG82" s="59"/>
      <c r="EH82" s="59"/>
      <c r="EI82" s="59"/>
      <c r="EJ82" s="59"/>
      <c r="EK82" s="59"/>
      <c r="EL82" s="59"/>
      <c r="EM82" s="59"/>
      <c r="EN82" s="59"/>
      <c r="EO82" s="59"/>
      <c r="EP82" s="59"/>
      <c r="EQ82" s="59"/>
      <c r="ER82" s="59"/>
      <c r="ES82" s="59"/>
      <c r="ET82" s="59"/>
      <c r="EU82" s="59"/>
      <c r="EV82" s="59"/>
      <c r="EW82" s="59"/>
      <c r="EX82" s="59"/>
      <c r="EY82" s="59"/>
      <c r="EZ82" s="59"/>
      <c r="FA82" s="59"/>
      <c r="FB82" s="59"/>
      <c r="FC82" s="59"/>
      <c r="FD82" s="59"/>
      <c r="FE82" s="59"/>
      <c r="FF82" s="59"/>
      <c r="FG82" s="59"/>
      <c r="FH82" s="59"/>
      <c r="FI82" s="59"/>
      <c r="FJ82" s="59"/>
      <c r="FK82" s="59"/>
      <c r="FL82" s="59"/>
      <c r="FM82" s="59"/>
      <c r="FN82" s="59"/>
      <c r="FO82" s="59"/>
      <c r="FP82" s="59"/>
      <c r="FQ82" s="59"/>
      <c r="FR82" s="59"/>
      <c r="FS82" s="59"/>
      <c r="FT82" s="59"/>
      <c r="FU82" s="59"/>
      <c r="FV82" s="59"/>
      <c r="FW82" s="59"/>
      <c r="FX82" s="59"/>
      <c r="FY82" s="59"/>
      <c r="FZ82" s="59"/>
      <c r="GA82" s="59"/>
      <c r="GB82" s="59"/>
      <c r="GC82" s="59"/>
      <c r="GD82" s="59"/>
      <c r="GE82" s="59"/>
      <c r="GF82" s="59"/>
      <c r="GG82" s="59"/>
      <c r="GH82" s="59"/>
      <c r="GI82" s="60"/>
    </row>
    <row r="83" spans="1:191" x14ac:dyDescent="0.15">
      <c r="A83" s="23">
        <v>36</v>
      </c>
      <c r="B83" s="24" t="s">
        <v>140</v>
      </c>
      <c r="C83" s="45" t="s">
        <v>148</v>
      </c>
      <c r="D83" s="26" t="s">
        <v>170</v>
      </c>
      <c r="E83" s="27" t="s">
        <v>13</v>
      </c>
      <c r="F83" s="28">
        <v>42903</v>
      </c>
      <c r="G83" s="28">
        <v>42904</v>
      </c>
      <c r="H83" s="29">
        <f t="shared" si="8"/>
        <v>0</v>
      </c>
      <c r="I83" s="30"/>
      <c r="J83" s="31"/>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4"/>
    </row>
    <row r="84" spans="1:191" x14ac:dyDescent="0.15">
      <c r="A84" s="35">
        <f>A83</f>
        <v>36</v>
      </c>
      <c r="B84" s="36" t="str">
        <f>B83</f>
        <v>DD</v>
      </c>
      <c r="C84" s="36" t="str">
        <f>C83</f>
        <v>Webアプリ詳細評価仕様書レビュー</v>
      </c>
      <c r="D84" s="37" t="str">
        <f>D83</f>
        <v>伊藤</v>
      </c>
      <c r="E84" s="53" t="s">
        <v>0</v>
      </c>
      <c r="F84" s="54"/>
      <c r="G84" s="54"/>
      <c r="H84" s="55">
        <f t="shared" si="8"/>
        <v>0</v>
      </c>
      <c r="I84" s="56">
        <f>IF(OR(H83="",H84=""),"",H84-H83)</f>
        <v>0</v>
      </c>
      <c r="J84" s="57"/>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c r="BW84" s="59"/>
      <c r="BX84" s="59"/>
      <c r="BY84" s="59"/>
      <c r="BZ84" s="59"/>
      <c r="CA84" s="59"/>
      <c r="CB84" s="59"/>
      <c r="CC84" s="59"/>
      <c r="CD84" s="59"/>
      <c r="CE84" s="59"/>
      <c r="CF84" s="59"/>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c r="DR84" s="59"/>
      <c r="DS84" s="59"/>
      <c r="DT84" s="59"/>
      <c r="DU84" s="59"/>
      <c r="DV84" s="59"/>
      <c r="DW84" s="59"/>
      <c r="DX84" s="59"/>
      <c r="DY84" s="59"/>
      <c r="DZ84" s="59"/>
      <c r="EA84" s="59"/>
      <c r="EB84" s="59"/>
      <c r="EC84" s="59"/>
      <c r="ED84" s="59"/>
      <c r="EE84" s="59"/>
      <c r="EF84" s="59"/>
      <c r="EG84" s="59"/>
      <c r="EH84" s="59"/>
      <c r="EI84" s="59"/>
      <c r="EJ84" s="59"/>
      <c r="EK84" s="59"/>
      <c r="EL84" s="59"/>
      <c r="EM84" s="59"/>
      <c r="EN84" s="59"/>
      <c r="EO84" s="59"/>
      <c r="EP84" s="59"/>
      <c r="EQ84" s="59"/>
      <c r="ER84" s="59"/>
      <c r="ES84" s="59"/>
      <c r="ET84" s="59"/>
      <c r="EU84" s="59"/>
      <c r="EV84" s="59"/>
      <c r="EW84" s="59"/>
      <c r="EX84" s="59"/>
      <c r="EY84" s="59"/>
      <c r="EZ84" s="59"/>
      <c r="FA84" s="59"/>
      <c r="FB84" s="59"/>
      <c r="FC84" s="59"/>
      <c r="FD84" s="59"/>
      <c r="FE84" s="59"/>
      <c r="FF84" s="59"/>
      <c r="FG84" s="59"/>
      <c r="FH84" s="59"/>
      <c r="FI84" s="59"/>
      <c r="FJ84" s="59"/>
      <c r="FK84" s="59"/>
      <c r="FL84" s="59"/>
      <c r="FM84" s="59"/>
      <c r="FN84" s="59"/>
      <c r="FO84" s="59"/>
      <c r="FP84" s="59"/>
      <c r="FQ84" s="59"/>
      <c r="FR84" s="59"/>
      <c r="FS84" s="59"/>
      <c r="FT84" s="59"/>
      <c r="FU84" s="59"/>
      <c r="FV84" s="59"/>
      <c r="FW84" s="59"/>
      <c r="FX84" s="59"/>
      <c r="FY84" s="59"/>
      <c r="FZ84" s="59"/>
      <c r="GA84" s="59"/>
      <c r="GB84" s="59"/>
      <c r="GC84" s="59"/>
      <c r="GD84" s="59"/>
      <c r="GE84" s="59"/>
      <c r="GF84" s="59"/>
      <c r="GG84" s="59"/>
      <c r="GH84" s="59"/>
      <c r="GI84" s="60"/>
    </row>
    <row r="85" spans="1:191" x14ac:dyDescent="0.15">
      <c r="A85" s="23">
        <v>37</v>
      </c>
      <c r="B85" s="24" t="s">
        <v>140</v>
      </c>
      <c r="C85" s="45" t="s">
        <v>149</v>
      </c>
      <c r="D85" s="26" t="s">
        <v>171</v>
      </c>
      <c r="E85" s="27" t="s">
        <v>13</v>
      </c>
      <c r="F85" s="28">
        <v>42905</v>
      </c>
      <c r="G85" s="28">
        <v>42911</v>
      </c>
      <c r="H85" s="29">
        <f t="shared" si="8"/>
        <v>0</v>
      </c>
      <c r="I85" s="30"/>
      <c r="J85" s="31"/>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4"/>
    </row>
    <row r="86" spans="1:191" x14ac:dyDescent="0.15">
      <c r="A86" s="35">
        <f>A85</f>
        <v>37</v>
      </c>
      <c r="B86" s="36" t="str">
        <f>B85</f>
        <v>DD</v>
      </c>
      <c r="C86" s="36" t="str">
        <f>C85</f>
        <v>Webアプリ詳細評価仕様書レビュー指摘対応</v>
      </c>
      <c r="D86" s="37" t="str">
        <f>D85</f>
        <v>高澤</v>
      </c>
      <c r="E86" s="53" t="s">
        <v>0</v>
      </c>
      <c r="F86" s="54"/>
      <c r="G86" s="54"/>
      <c r="H86" s="55">
        <f t="shared" si="8"/>
        <v>0</v>
      </c>
      <c r="I86" s="56">
        <f>IF(OR(H85="",H86=""),"",H86-H85)</f>
        <v>0</v>
      </c>
      <c r="J86" s="57"/>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c r="BW86" s="59"/>
      <c r="BX86" s="59"/>
      <c r="BY86" s="59"/>
      <c r="BZ86" s="59"/>
      <c r="CA86" s="59"/>
      <c r="CB86" s="59"/>
      <c r="CC86" s="59"/>
      <c r="CD86" s="59"/>
      <c r="CE86" s="59"/>
      <c r="CF86" s="59"/>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c r="DR86" s="59"/>
      <c r="DS86" s="59"/>
      <c r="DT86" s="59"/>
      <c r="DU86" s="59"/>
      <c r="DV86" s="59"/>
      <c r="DW86" s="59"/>
      <c r="DX86" s="59"/>
      <c r="DY86" s="59"/>
      <c r="DZ86" s="59"/>
      <c r="EA86" s="59"/>
      <c r="EB86" s="59"/>
      <c r="EC86" s="59"/>
      <c r="ED86" s="59"/>
      <c r="EE86" s="59"/>
      <c r="EF86" s="59"/>
      <c r="EG86" s="59"/>
      <c r="EH86" s="59"/>
      <c r="EI86" s="59"/>
      <c r="EJ86" s="59"/>
      <c r="EK86" s="59"/>
      <c r="EL86" s="59"/>
      <c r="EM86" s="59"/>
      <c r="EN86" s="59"/>
      <c r="EO86" s="59"/>
      <c r="EP86" s="59"/>
      <c r="EQ86" s="59"/>
      <c r="ER86" s="59"/>
      <c r="ES86" s="59"/>
      <c r="ET86" s="59"/>
      <c r="EU86" s="59"/>
      <c r="EV86" s="59"/>
      <c r="EW86" s="59"/>
      <c r="EX86" s="59"/>
      <c r="EY86" s="59"/>
      <c r="EZ86" s="59"/>
      <c r="FA86" s="59"/>
      <c r="FB86" s="59"/>
      <c r="FC86" s="59"/>
      <c r="FD86" s="59"/>
      <c r="FE86" s="59"/>
      <c r="FF86" s="59"/>
      <c r="FG86" s="59"/>
      <c r="FH86" s="59"/>
      <c r="FI86" s="59"/>
      <c r="FJ86" s="59"/>
      <c r="FK86" s="59"/>
      <c r="FL86" s="59"/>
      <c r="FM86" s="59"/>
      <c r="FN86" s="59"/>
      <c r="FO86" s="59"/>
      <c r="FP86" s="59"/>
      <c r="FQ86" s="59"/>
      <c r="FR86" s="59"/>
      <c r="FS86" s="59"/>
      <c r="FT86" s="59"/>
      <c r="FU86" s="59"/>
      <c r="FV86" s="59"/>
      <c r="FW86" s="59"/>
      <c r="FX86" s="59"/>
      <c r="FY86" s="59"/>
      <c r="FZ86" s="59"/>
      <c r="GA86" s="59"/>
      <c r="GB86" s="59"/>
      <c r="GC86" s="59"/>
      <c r="GD86" s="59"/>
      <c r="GE86" s="59"/>
      <c r="GF86" s="59"/>
      <c r="GG86" s="59"/>
      <c r="GH86" s="59"/>
      <c r="GI86" s="60"/>
    </row>
    <row r="87" spans="1:191" x14ac:dyDescent="0.15">
      <c r="A87" s="23">
        <v>38</v>
      </c>
      <c r="B87" s="24" t="s">
        <v>140</v>
      </c>
      <c r="C87" s="45" t="s">
        <v>150</v>
      </c>
      <c r="D87" s="26" t="s">
        <v>172</v>
      </c>
      <c r="E87" s="27" t="s">
        <v>13</v>
      </c>
      <c r="F87" s="28">
        <v>42891</v>
      </c>
      <c r="G87" s="28">
        <v>42903</v>
      </c>
      <c r="H87" s="29">
        <f t="shared" si="8"/>
        <v>0</v>
      </c>
      <c r="I87" s="30"/>
      <c r="J87" s="31"/>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c r="FN87" s="33"/>
      <c r="FO87" s="33"/>
      <c r="FP87" s="33"/>
      <c r="FQ87" s="33"/>
      <c r="FR87" s="33"/>
      <c r="FS87" s="33"/>
      <c r="FT87" s="33"/>
      <c r="FU87" s="33"/>
      <c r="FV87" s="33"/>
      <c r="FW87" s="33"/>
      <c r="FX87" s="33"/>
      <c r="FY87" s="33"/>
      <c r="FZ87" s="33"/>
      <c r="GA87" s="33"/>
      <c r="GB87" s="33"/>
      <c r="GC87" s="33"/>
      <c r="GD87" s="33"/>
      <c r="GE87" s="33"/>
      <c r="GF87" s="33"/>
      <c r="GG87" s="33"/>
      <c r="GH87" s="33"/>
      <c r="GI87" s="34"/>
    </row>
    <row r="88" spans="1:191" x14ac:dyDescent="0.15">
      <c r="A88" s="35">
        <f>A87</f>
        <v>38</v>
      </c>
      <c r="B88" s="36" t="str">
        <f>B87</f>
        <v>DD</v>
      </c>
      <c r="C88" s="36" t="str">
        <f>C87</f>
        <v>監視端末詳細評価仕様書作成</v>
      </c>
      <c r="D88" s="37" t="str">
        <f>D87</f>
        <v>長田</v>
      </c>
      <c r="E88" s="53" t="s">
        <v>0</v>
      </c>
      <c r="F88" s="54"/>
      <c r="G88" s="54"/>
      <c r="H88" s="55">
        <f t="shared" si="8"/>
        <v>0</v>
      </c>
      <c r="I88" s="56">
        <f>IF(OR(H87="",H88=""),"",H88-H87)</f>
        <v>0</v>
      </c>
      <c r="J88" s="57"/>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c r="BW88" s="59"/>
      <c r="BX88" s="59"/>
      <c r="BY88" s="59"/>
      <c r="BZ88" s="59"/>
      <c r="CA88" s="59"/>
      <c r="CB88" s="59"/>
      <c r="CC88" s="59"/>
      <c r="CD88" s="59"/>
      <c r="CE88" s="59"/>
      <c r="CF88" s="59"/>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c r="DR88" s="59"/>
      <c r="DS88" s="59"/>
      <c r="DT88" s="59"/>
      <c r="DU88" s="59"/>
      <c r="DV88" s="59"/>
      <c r="DW88" s="59"/>
      <c r="DX88" s="59"/>
      <c r="DY88" s="59"/>
      <c r="DZ88" s="59"/>
      <c r="EA88" s="59"/>
      <c r="EB88" s="59"/>
      <c r="EC88" s="59"/>
      <c r="ED88" s="59"/>
      <c r="EE88" s="59"/>
      <c r="EF88" s="59"/>
      <c r="EG88" s="59"/>
      <c r="EH88" s="59"/>
      <c r="EI88" s="59"/>
      <c r="EJ88" s="59"/>
      <c r="EK88" s="59"/>
      <c r="EL88" s="59"/>
      <c r="EM88" s="59"/>
      <c r="EN88" s="59"/>
      <c r="EO88" s="59"/>
      <c r="EP88" s="59"/>
      <c r="EQ88" s="59"/>
      <c r="ER88" s="59"/>
      <c r="ES88" s="59"/>
      <c r="ET88" s="59"/>
      <c r="EU88" s="59"/>
      <c r="EV88" s="59"/>
      <c r="EW88" s="59"/>
      <c r="EX88" s="59"/>
      <c r="EY88" s="59"/>
      <c r="EZ88" s="59"/>
      <c r="FA88" s="59"/>
      <c r="FB88" s="59"/>
      <c r="FC88" s="59"/>
      <c r="FD88" s="59"/>
      <c r="FE88" s="59"/>
      <c r="FF88" s="59"/>
      <c r="FG88" s="59"/>
      <c r="FH88" s="59"/>
      <c r="FI88" s="59"/>
      <c r="FJ88" s="59"/>
      <c r="FK88" s="59"/>
      <c r="FL88" s="59"/>
      <c r="FM88" s="59"/>
      <c r="FN88" s="59"/>
      <c r="FO88" s="59"/>
      <c r="FP88" s="59"/>
      <c r="FQ88" s="59"/>
      <c r="FR88" s="59"/>
      <c r="FS88" s="59"/>
      <c r="FT88" s="59"/>
      <c r="FU88" s="59"/>
      <c r="FV88" s="59"/>
      <c r="FW88" s="59"/>
      <c r="FX88" s="59"/>
      <c r="FY88" s="59"/>
      <c r="FZ88" s="59"/>
      <c r="GA88" s="59"/>
      <c r="GB88" s="59"/>
      <c r="GC88" s="59"/>
      <c r="GD88" s="59"/>
      <c r="GE88" s="59"/>
      <c r="GF88" s="59"/>
      <c r="GG88" s="59"/>
      <c r="GH88" s="59"/>
      <c r="GI88" s="60"/>
    </row>
    <row r="89" spans="1:191" x14ac:dyDescent="0.15">
      <c r="A89" s="23">
        <v>39</v>
      </c>
      <c r="B89" s="24" t="s">
        <v>140</v>
      </c>
      <c r="C89" s="45" t="s">
        <v>151</v>
      </c>
      <c r="D89" s="26" t="s">
        <v>170</v>
      </c>
      <c r="E89" s="27" t="s">
        <v>13</v>
      </c>
      <c r="F89" s="28">
        <v>42903</v>
      </c>
      <c r="G89" s="28">
        <v>42904</v>
      </c>
      <c r="H89" s="29">
        <f t="shared" si="8"/>
        <v>0</v>
      </c>
      <c r="I89" s="30"/>
      <c r="J89" s="31"/>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4"/>
    </row>
    <row r="90" spans="1:191" x14ac:dyDescent="0.15">
      <c r="A90" s="35">
        <f>A89</f>
        <v>39</v>
      </c>
      <c r="B90" s="36" t="str">
        <f>B89</f>
        <v>DD</v>
      </c>
      <c r="C90" s="36" t="str">
        <f>C89</f>
        <v>監視端末詳細評価仕様書レビュー</v>
      </c>
      <c r="D90" s="37" t="str">
        <f>D89</f>
        <v>伊藤</v>
      </c>
      <c r="E90" s="53" t="s">
        <v>0</v>
      </c>
      <c r="F90" s="54"/>
      <c r="G90" s="54"/>
      <c r="H90" s="55">
        <f t="shared" si="8"/>
        <v>0</v>
      </c>
      <c r="I90" s="56">
        <f>IF(OR(H89="",H90=""),"",H90-H89)</f>
        <v>0</v>
      </c>
      <c r="J90" s="57"/>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c r="BS90" s="59"/>
      <c r="BT90" s="59"/>
      <c r="BU90" s="59"/>
      <c r="BV90" s="59"/>
      <c r="BW90" s="59"/>
      <c r="BX90" s="59"/>
      <c r="BY90" s="59"/>
      <c r="BZ90" s="59"/>
      <c r="CA90" s="59"/>
      <c r="CB90" s="59"/>
      <c r="CC90" s="59"/>
      <c r="CD90" s="59"/>
      <c r="CE90" s="59"/>
      <c r="CF90" s="59"/>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c r="DR90" s="59"/>
      <c r="DS90" s="59"/>
      <c r="DT90" s="59"/>
      <c r="DU90" s="59"/>
      <c r="DV90" s="59"/>
      <c r="DW90" s="59"/>
      <c r="DX90" s="59"/>
      <c r="DY90" s="59"/>
      <c r="DZ90" s="59"/>
      <c r="EA90" s="59"/>
      <c r="EB90" s="59"/>
      <c r="EC90" s="59"/>
      <c r="ED90" s="59"/>
      <c r="EE90" s="59"/>
      <c r="EF90" s="59"/>
      <c r="EG90" s="59"/>
      <c r="EH90" s="59"/>
      <c r="EI90" s="59"/>
      <c r="EJ90" s="59"/>
      <c r="EK90" s="59"/>
      <c r="EL90" s="59"/>
      <c r="EM90" s="59"/>
      <c r="EN90" s="59"/>
      <c r="EO90" s="59"/>
      <c r="EP90" s="59"/>
      <c r="EQ90" s="59"/>
      <c r="ER90" s="59"/>
      <c r="ES90" s="59"/>
      <c r="ET90" s="59"/>
      <c r="EU90" s="59"/>
      <c r="EV90" s="59"/>
      <c r="EW90" s="59"/>
      <c r="EX90" s="59"/>
      <c r="EY90" s="59"/>
      <c r="EZ90" s="59"/>
      <c r="FA90" s="59"/>
      <c r="FB90" s="59"/>
      <c r="FC90" s="59"/>
      <c r="FD90" s="59"/>
      <c r="FE90" s="59"/>
      <c r="FF90" s="59"/>
      <c r="FG90" s="59"/>
      <c r="FH90" s="59"/>
      <c r="FI90" s="59"/>
      <c r="FJ90" s="59"/>
      <c r="FK90" s="59"/>
      <c r="FL90" s="59"/>
      <c r="FM90" s="59"/>
      <c r="FN90" s="59"/>
      <c r="FO90" s="59"/>
      <c r="FP90" s="59"/>
      <c r="FQ90" s="59"/>
      <c r="FR90" s="59"/>
      <c r="FS90" s="59"/>
      <c r="FT90" s="59"/>
      <c r="FU90" s="59"/>
      <c r="FV90" s="59"/>
      <c r="FW90" s="59"/>
      <c r="FX90" s="59"/>
      <c r="FY90" s="59"/>
      <c r="FZ90" s="59"/>
      <c r="GA90" s="59"/>
      <c r="GB90" s="59"/>
      <c r="GC90" s="59"/>
      <c r="GD90" s="59"/>
      <c r="GE90" s="59"/>
      <c r="GF90" s="59"/>
      <c r="GG90" s="59"/>
      <c r="GH90" s="59"/>
      <c r="GI90" s="60"/>
    </row>
    <row r="91" spans="1:191" x14ac:dyDescent="0.15">
      <c r="A91" s="23">
        <v>40</v>
      </c>
      <c r="B91" s="24" t="s">
        <v>140</v>
      </c>
      <c r="C91" s="45" t="s">
        <v>152</v>
      </c>
      <c r="D91" s="26" t="s">
        <v>172</v>
      </c>
      <c r="E91" s="27" t="s">
        <v>13</v>
      </c>
      <c r="F91" s="28">
        <v>42905</v>
      </c>
      <c r="G91" s="28">
        <v>42911</v>
      </c>
      <c r="H91" s="29">
        <f t="shared" si="8"/>
        <v>0</v>
      </c>
      <c r="I91" s="30"/>
      <c r="J91" s="31"/>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4"/>
    </row>
    <row r="92" spans="1:191" x14ac:dyDescent="0.15">
      <c r="A92" s="35">
        <f>A91</f>
        <v>40</v>
      </c>
      <c r="B92" s="36" t="str">
        <f>B91</f>
        <v>DD</v>
      </c>
      <c r="C92" s="36" t="str">
        <f>C91</f>
        <v>監視端末詳細評価仕様書レビュー指摘対応</v>
      </c>
      <c r="D92" s="37" t="str">
        <f>D91</f>
        <v>長田</v>
      </c>
      <c r="E92" s="53" t="s">
        <v>0</v>
      </c>
      <c r="F92" s="54"/>
      <c r="G92" s="54"/>
      <c r="H92" s="55">
        <f t="shared" si="8"/>
        <v>0</v>
      </c>
      <c r="I92" s="56">
        <f>IF(OR(H91="",H92=""),"",H92-H91)</f>
        <v>0</v>
      </c>
      <c r="J92" s="57"/>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c r="BS92" s="59"/>
      <c r="BT92" s="59"/>
      <c r="BU92" s="59"/>
      <c r="BV92" s="59"/>
      <c r="BW92" s="59"/>
      <c r="BX92" s="59"/>
      <c r="BY92" s="59"/>
      <c r="BZ92" s="59"/>
      <c r="CA92" s="59"/>
      <c r="CB92" s="59"/>
      <c r="CC92" s="59"/>
      <c r="CD92" s="59"/>
      <c r="CE92" s="59"/>
      <c r="CF92" s="59"/>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c r="DR92" s="59"/>
      <c r="DS92" s="59"/>
      <c r="DT92" s="59"/>
      <c r="DU92" s="59"/>
      <c r="DV92" s="59"/>
      <c r="DW92" s="59"/>
      <c r="DX92" s="59"/>
      <c r="DY92" s="59"/>
      <c r="DZ92" s="59"/>
      <c r="EA92" s="59"/>
      <c r="EB92" s="59"/>
      <c r="EC92" s="59"/>
      <c r="ED92" s="59"/>
      <c r="EE92" s="59"/>
      <c r="EF92" s="59"/>
      <c r="EG92" s="59"/>
      <c r="EH92" s="59"/>
      <c r="EI92" s="59"/>
      <c r="EJ92" s="59"/>
      <c r="EK92" s="59"/>
      <c r="EL92" s="59"/>
      <c r="EM92" s="59"/>
      <c r="EN92" s="59"/>
      <c r="EO92" s="59"/>
      <c r="EP92" s="59"/>
      <c r="EQ92" s="59"/>
      <c r="ER92" s="59"/>
      <c r="ES92" s="59"/>
      <c r="ET92" s="59"/>
      <c r="EU92" s="59"/>
      <c r="EV92" s="59"/>
      <c r="EW92" s="59"/>
      <c r="EX92" s="59"/>
      <c r="EY92" s="59"/>
      <c r="EZ92" s="59"/>
      <c r="FA92" s="59"/>
      <c r="FB92" s="59"/>
      <c r="FC92" s="59"/>
      <c r="FD92" s="59"/>
      <c r="FE92" s="59"/>
      <c r="FF92" s="59"/>
      <c r="FG92" s="59"/>
      <c r="FH92" s="59"/>
      <c r="FI92" s="59"/>
      <c r="FJ92" s="59"/>
      <c r="FK92" s="59"/>
      <c r="FL92" s="59"/>
      <c r="FM92" s="59"/>
      <c r="FN92" s="59"/>
      <c r="FO92" s="59"/>
      <c r="FP92" s="59"/>
      <c r="FQ92" s="59"/>
      <c r="FR92" s="59"/>
      <c r="FS92" s="59"/>
      <c r="FT92" s="59"/>
      <c r="FU92" s="59"/>
      <c r="FV92" s="59"/>
      <c r="FW92" s="59"/>
      <c r="FX92" s="59"/>
      <c r="FY92" s="59"/>
      <c r="FZ92" s="59"/>
      <c r="GA92" s="59"/>
      <c r="GB92" s="59"/>
      <c r="GC92" s="59"/>
      <c r="GD92" s="59"/>
      <c r="GE92" s="59"/>
      <c r="GF92" s="59"/>
      <c r="GG92" s="59"/>
      <c r="GH92" s="59"/>
      <c r="GI92" s="60"/>
    </row>
    <row r="93" spans="1:191" x14ac:dyDescent="0.15">
      <c r="A93" s="23">
        <v>41</v>
      </c>
      <c r="B93" s="24" t="s">
        <v>153</v>
      </c>
      <c r="C93" s="45" t="s">
        <v>155</v>
      </c>
      <c r="D93" s="26" t="s">
        <v>114</v>
      </c>
      <c r="E93" s="27" t="s">
        <v>13</v>
      </c>
      <c r="F93" s="28">
        <v>42912</v>
      </c>
      <c r="G93" s="28">
        <v>42945</v>
      </c>
      <c r="H93" s="29">
        <f t="shared" si="8"/>
        <v>0</v>
      </c>
      <c r="I93" s="30"/>
      <c r="J93" s="31"/>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c r="FN93" s="33"/>
      <c r="FO93" s="33"/>
      <c r="FP93" s="33"/>
      <c r="FQ93" s="33"/>
      <c r="FR93" s="33"/>
      <c r="FS93" s="33"/>
      <c r="FT93" s="33"/>
      <c r="FU93" s="33"/>
      <c r="FV93" s="33"/>
      <c r="FW93" s="33"/>
      <c r="FX93" s="33"/>
      <c r="FY93" s="33"/>
      <c r="FZ93" s="33"/>
      <c r="GA93" s="33"/>
      <c r="GB93" s="33"/>
      <c r="GC93" s="33"/>
      <c r="GD93" s="33"/>
      <c r="GE93" s="33"/>
      <c r="GF93" s="33"/>
      <c r="GG93" s="33"/>
      <c r="GH93" s="33"/>
      <c r="GI93" s="34"/>
    </row>
    <row r="94" spans="1:191" x14ac:dyDescent="0.15">
      <c r="A94" s="35">
        <f>A93</f>
        <v>41</v>
      </c>
      <c r="B94" s="36" t="str">
        <f>B93</f>
        <v>PG</v>
      </c>
      <c r="C94" s="36" t="str">
        <f>C93</f>
        <v>Webアプリ実装</v>
      </c>
      <c r="D94" s="37" t="str">
        <f>D93</f>
        <v>那須</v>
      </c>
      <c r="E94" s="53" t="s">
        <v>0</v>
      </c>
      <c r="F94" s="54"/>
      <c r="G94" s="54"/>
      <c r="H94" s="55">
        <f t="shared" si="8"/>
        <v>0</v>
      </c>
      <c r="I94" s="56">
        <f>IF(OR(H93="",H94=""),"",H94-H93)</f>
        <v>0</v>
      </c>
      <c r="J94" s="57"/>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c r="BS94" s="59"/>
      <c r="BT94" s="59"/>
      <c r="BU94" s="59"/>
      <c r="BV94" s="59"/>
      <c r="BW94" s="59"/>
      <c r="BX94" s="59"/>
      <c r="BY94" s="59"/>
      <c r="BZ94" s="59"/>
      <c r="CA94" s="59"/>
      <c r="CB94" s="59"/>
      <c r="CC94" s="59"/>
      <c r="CD94" s="59"/>
      <c r="CE94" s="59"/>
      <c r="CF94" s="59"/>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c r="DR94" s="59"/>
      <c r="DS94" s="59"/>
      <c r="DT94" s="59"/>
      <c r="DU94" s="59"/>
      <c r="DV94" s="59"/>
      <c r="DW94" s="59"/>
      <c r="DX94" s="59"/>
      <c r="DY94" s="59"/>
      <c r="DZ94" s="59"/>
      <c r="EA94" s="59"/>
      <c r="EB94" s="59"/>
      <c r="EC94" s="59"/>
      <c r="ED94" s="59"/>
      <c r="EE94" s="59"/>
      <c r="EF94" s="59"/>
      <c r="EG94" s="59"/>
      <c r="EH94" s="59"/>
      <c r="EI94" s="59"/>
      <c r="EJ94" s="59"/>
      <c r="EK94" s="59"/>
      <c r="EL94" s="59"/>
      <c r="EM94" s="59"/>
      <c r="EN94" s="59"/>
      <c r="EO94" s="59"/>
      <c r="EP94" s="59"/>
      <c r="EQ94" s="59"/>
      <c r="ER94" s="59"/>
      <c r="ES94" s="59"/>
      <c r="ET94" s="59"/>
      <c r="EU94" s="59"/>
      <c r="EV94" s="59"/>
      <c r="EW94" s="59"/>
      <c r="EX94" s="59"/>
      <c r="EY94" s="59"/>
      <c r="EZ94" s="59"/>
      <c r="FA94" s="59"/>
      <c r="FB94" s="59"/>
      <c r="FC94" s="59"/>
      <c r="FD94" s="59"/>
      <c r="FE94" s="59"/>
      <c r="FF94" s="59"/>
      <c r="FG94" s="59"/>
      <c r="FH94" s="59"/>
      <c r="FI94" s="59"/>
      <c r="FJ94" s="59"/>
      <c r="FK94" s="59"/>
      <c r="FL94" s="59"/>
      <c r="FM94" s="59"/>
      <c r="FN94" s="59"/>
      <c r="FO94" s="59"/>
      <c r="FP94" s="59"/>
      <c r="FQ94" s="59"/>
      <c r="FR94" s="59"/>
      <c r="FS94" s="59"/>
      <c r="FT94" s="59"/>
      <c r="FU94" s="59"/>
      <c r="FV94" s="59"/>
      <c r="FW94" s="59"/>
      <c r="FX94" s="59"/>
      <c r="FY94" s="59"/>
      <c r="FZ94" s="59"/>
      <c r="GA94" s="59"/>
      <c r="GB94" s="59"/>
      <c r="GC94" s="59"/>
      <c r="GD94" s="59"/>
      <c r="GE94" s="59"/>
      <c r="GF94" s="59"/>
      <c r="GG94" s="59"/>
      <c r="GH94" s="59"/>
      <c r="GI94" s="60"/>
    </row>
    <row r="95" spans="1:191" x14ac:dyDescent="0.15">
      <c r="A95" s="23">
        <v>42</v>
      </c>
      <c r="B95" s="24" t="s">
        <v>154</v>
      </c>
      <c r="C95" s="45" t="s">
        <v>156</v>
      </c>
      <c r="D95" s="26" t="s">
        <v>170</v>
      </c>
      <c r="E95" s="27" t="s">
        <v>13</v>
      </c>
      <c r="F95" s="28">
        <v>42945</v>
      </c>
      <c r="G95" s="28">
        <v>42946</v>
      </c>
      <c r="H95" s="29">
        <f t="shared" si="8"/>
        <v>0</v>
      </c>
      <c r="I95" s="30"/>
      <c r="J95" s="31"/>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4"/>
    </row>
    <row r="96" spans="1:191" x14ac:dyDescent="0.15">
      <c r="A96" s="35">
        <f>A95</f>
        <v>42</v>
      </c>
      <c r="B96" s="36" t="str">
        <f>B95</f>
        <v>PG</v>
      </c>
      <c r="C96" s="36" t="str">
        <f>C95</f>
        <v>Webアプリ実装レビュー</v>
      </c>
      <c r="D96" s="37" t="str">
        <f>D95</f>
        <v>伊藤</v>
      </c>
      <c r="E96" s="53" t="s">
        <v>0</v>
      </c>
      <c r="F96" s="54"/>
      <c r="G96" s="54"/>
      <c r="H96" s="55">
        <f t="shared" si="8"/>
        <v>0</v>
      </c>
      <c r="I96" s="56">
        <f>IF(OR(H95="",H96=""),"",H96-H95)</f>
        <v>0</v>
      </c>
      <c r="J96" s="57"/>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c r="DR96" s="59"/>
      <c r="DS96" s="59"/>
      <c r="DT96" s="59"/>
      <c r="DU96" s="59"/>
      <c r="DV96" s="59"/>
      <c r="DW96" s="59"/>
      <c r="DX96" s="59"/>
      <c r="DY96" s="59"/>
      <c r="DZ96" s="59"/>
      <c r="EA96" s="59"/>
      <c r="EB96" s="59"/>
      <c r="EC96" s="59"/>
      <c r="ED96" s="59"/>
      <c r="EE96" s="59"/>
      <c r="EF96" s="59"/>
      <c r="EG96" s="59"/>
      <c r="EH96" s="59"/>
      <c r="EI96" s="59"/>
      <c r="EJ96" s="59"/>
      <c r="EK96" s="59"/>
      <c r="EL96" s="59"/>
      <c r="EM96" s="59"/>
      <c r="EN96" s="59"/>
      <c r="EO96" s="59"/>
      <c r="EP96" s="59"/>
      <c r="EQ96" s="59"/>
      <c r="ER96" s="59"/>
      <c r="ES96" s="59"/>
      <c r="ET96" s="59"/>
      <c r="EU96" s="59"/>
      <c r="EV96" s="59"/>
      <c r="EW96" s="59"/>
      <c r="EX96" s="59"/>
      <c r="EY96" s="59"/>
      <c r="EZ96" s="59"/>
      <c r="FA96" s="59"/>
      <c r="FB96" s="59"/>
      <c r="FC96" s="59"/>
      <c r="FD96" s="59"/>
      <c r="FE96" s="59"/>
      <c r="FF96" s="59"/>
      <c r="FG96" s="59"/>
      <c r="FH96" s="59"/>
      <c r="FI96" s="59"/>
      <c r="FJ96" s="59"/>
      <c r="FK96" s="59"/>
      <c r="FL96" s="59"/>
      <c r="FM96" s="59"/>
      <c r="FN96" s="59"/>
      <c r="FO96" s="59"/>
      <c r="FP96" s="59"/>
      <c r="FQ96" s="59"/>
      <c r="FR96" s="59"/>
      <c r="FS96" s="59"/>
      <c r="FT96" s="59"/>
      <c r="FU96" s="59"/>
      <c r="FV96" s="59"/>
      <c r="FW96" s="59"/>
      <c r="FX96" s="59"/>
      <c r="FY96" s="59"/>
      <c r="FZ96" s="59"/>
      <c r="GA96" s="59"/>
      <c r="GB96" s="59"/>
      <c r="GC96" s="59"/>
      <c r="GD96" s="59"/>
      <c r="GE96" s="59"/>
      <c r="GF96" s="59"/>
      <c r="GG96" s="59"/>
      <c r="GH96" s="59"/>
      <c r="GI96" s="60"/>
    </row>
    <row r="97" spans="1:191" x14ac:dyDescent="0.15">
      <c r="A97" s="23">
        <v>43</v>
      </c>
      <c r="B97" s="24" t="s">
        <v>154</v>
      </c>
      <c r="C97" s="45" t="s">
        <v>157</v>
      </c>
      <c r="D97" s="26" t="s">
        <v>114</v>
      </c>
      <c r="E97" s="27" t="s">
        <v>13</v>
      </c>
      <c r="F97" s="28">
        <v>42947</v>
      </c>
      <c r="G97" s="28">
        <v>42953</v>
      </c>
      <c r="H97" s="29">
        <f t="shared" si="8"/>
        <v>0</v>
      </c>
      <c r="I97" s="30"/>
      <c r="J97" s="31"/>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4"/>
    </row>
    <row r="98" spans="1:191" x14ac:dyDescent="0.15">
      <c r="A98" s="35">
        <f>A97</f>
        <v>43</v>
      </c>
      <c r="B98" s="36" t="str">
        <f>B97</f>
        <v>PG</v>
      </c>
      <c r="C98" s="36" t="str">
        <f>C97</f>
        <v>Webアプリ実装レビュー指摘対応</v>
      </c>
      <c r="D98" s="37" t="str">
        <f>D97</f>
        <v>那須</v>
      </c>
      <c r="E98" s="53" t="s">
        <v>0</v>
      </c>
      <c r="F98" s="54"/>
      <c r="G98" s="54"/>
      <c r="H98" s="55">
        <f t="shared" si="8"/>
        <v>0</v>
      </c>
      <c r="I98" s="56">
        <f>IF(OR(H97="",H98=""),"",H98-H97)</f>
        <v>0</v>
      </c>
      <c r="J98" s="57"/>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c r="BS98" s="59"/>
      <c r="BT98" s="59"/>
      <c r="BU98" s="59"/>
      <c r="BV98" s="59"/>
      <c r="BW98" s="59"/>
      <c r="BX98" s="59"/>
      <c r="BY98" s="59"/>
      <c r="BZ98" s="59"/>
      <c r="CA98" s="59"/>
      <c r="CB98" s="59"/>
      <c r="CC98" s="59"/>
      <c r="CD98" s="59"/>
      <c r="CE98" s="59"/>
      <c r="CF98" s="59"/>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c r="DR98" s="59"/>
      <c r="DS98" s="59"/>
      <c r="DT98" s="59"/>
      <c r="DU98" s="59"/>
      <c r="DV98" s="59"/>
      <c r="DW98" s="59"/>
      <c r="DX98" s="59"/>
      <c r="DY98" s="59"/>
      <c r="DZ98" s="59"/>
      <c r="EA98" s="59"/>
      <c r="EB98" s="59"/>
      <c r="EC98" s="59"/>
      <c r="ED98" s="59"/>
      <c r="EE98" s="59"/>
      <c r="EF98" s="59"/>
      <c r="EG98" s="59"/>
      <c r="EH98" s="59"/>
      <c r="EI98" s="59"/>
      <c r="EJ98" s="59"/>
      <c r="EK98" s="59"/>
      <c r="EL98" s="59"/>
      <c r="EM98" s="59"/>
      <c r="EN98" s="59"/>
      <c r="EO98" s="59"/>
      <c r="EP98" s="59"/>
      <c r="EQ98" s="59"/>
      <c r="ER98" s="59"/>
      <c r="ES98" s="59"/>
      <c r="ET98" s="59"/>
      <c r="EU98" s="59"/>
      <c r="EV98" s="59"/>
      <c r="EW98" s="59"/>
      <c r="EX98" s="59"/>
      <c r="EY98" s="59"/>
      <c r="EZ98" s="59"/>
      <c r="FA98" s="59"/>
      <c r="FB98" s="59"/>
      <c r="FC98" s="59"/>
      <c r="FD98" s="59"/>
      <c r="FE98" s="59"/>
      <c r="FF98" s="59"/>
      <c r="FG98" s="59"/>
      <c r="FH98" s="59"/>
      <c r="FI98" s="59"/>
      <c r="FJ98" s="59"/>
      <c r="FK98" s="59"/>
      <c r="FL98" s="59"/>
      <c r="FM98" s="59"/>
      <c r="FN98" s="59"/>
      <c r="FO98" s="59"/>
      <c r="FP98" s="59"/>
      <c r="FQ98" s="59"/>
      <c r="FR98" s="59"/>
      <c r="FS98" s="59"/>
      <c r="FT98" s="59"/>
      <c r="FU98" s="59"/>
      <c r="FV98" s="59"/>
      <c r="FW98" s="59"/>
      <c r="FX98" s="59"/>
      <c r="FY98" s="59"/>
      <c r="FZ98" s="59"/>
      <c r="GA98" s="59"/>
      <c r="GB98" s="59"/>
      <c r="GC98" s="59"/>
      <c r="GD98" s="59"/>
      <c r="GE98" s="59"/>
      <c r="GF98" s="59"/>
      <c r="GG98" s="59"/>
      <c r="GH98" s="59"/>
      <c r="GI98" s="60"/>
    </row>
    <row r="99" spans="1:191" x14ac:dyDescent="0.15">
      <c r="A99" s="23">
        <v>44</v>
      </c>
      <c r="B99" s="24" t="s">
        <v>154</v>
      </c>
      <c r="C99" s="45" t="s">
        <v>158</v>
      </c>
      <c r="D99" s="26" t="s">
        <v>115</v>
      </c>
      <c r="E99" s="27" t="s">
        <v>13</v>
      </c>
      <c r="F99" s="28">
        <v>42912</v>
      </c>
      <c r="G99" s="28">
        <v>42945</v>
      </c>
      <c r="H99" s="29">
        <f t="shared" si="8"/>
        <v>0</v>
      </c>
      <c r="I99" s="30"/>
      <c r="J99" s="31"/>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c r="FN99" s="33"/>
      <c r="FO99" s="33"/>
      <c r="FP99" s="33"/>
      <c r="FQ99" s="33"/>
      <c r="FR99" s="33"/>
      <c r="FS99" s="33"/>
      <c r="FT99" s="33"/>
      <c r="FU99" s="33"/>
      <c r="FV99" s="33"/>
      <c r="FW99" s="33"/>
      <c r="FX99" s="33"/>
      <c r="FY99" s="33"/>
      <c r="FZ99" s="33"/>
      <c r="GA99" s="33"/>
      <c r="GB99" s="33"/>
      <c r="GC99" s="33"/>
      <c r="GD99" s="33"/>
      <c r="GE99" s="33"/>
      <c r="GF99" s="33"/>
      <c r="GG99" s="33"/>
      <c r="GH99" s="33"/>
      <c r="GI99" s="34"/>
    </row>
    <row r="100" spans="1:191" x14ac:dyDescent="0.15">
      <c r="A100" s="35">
        <f>A99</f>
        <v>44</v>
      </c>
      <c r="B100" s="36" t="str">
        <f>B99</f>
        <v>PG</v>
      </c>
      <c r="C100" s="36" t="str">
        <f>C99</f>
        <v>監視端末実装</v>
      </c>
      <c r="D100" s="37" t="str">
        <f>D99</f>
        <v>若山</v>
      </c>
      <c r="E100" s="53" t="s">
        <v>0</v>
      </c>
      <c r="F100" s="54"/>
      <c r="G100" s="54"/>
      <c r="H100" s="55">
        <f t="shared" si="8"/>
        <v>0</v>
      </c>
      <c r="I100" s="56">
        <f>IF(OR(H99="",H100=""),"",H100-H99)</f>
        <v>0</v>
      </c>
      <c r="J100" s="57"/>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59"/>
      <c r="CE100" s="59"/>
      <c r="CF100" s="59"/>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c r="DR100" s="59"/>
      <c r="DS100" s="59"/>
      <c r="DT100" s="59"/>
      <c r="DU100" s="59"/>
      <c r="DV100" s="59"/>
      <c r="DW100" s="59"/>
      <c r="DX100" s="59"/>
      <c r="DY100" s="59"/>
      <c r="DZ100" s="59"/>
      <c r="EA100" s="59"/>
      <c r="EB100" s="59"/>
      <c r="EC100" s="59"/>
      <c r="ED100" s="59"/>
      <c r="EE100" s="59"/>
      <c r="EF100" s="59"/>
      <c r="EG100" s="59"/>
      <c r="EH100" s="59"/>
      <c r="EI100" s="59"/>
      <c r="EJ100" s="59"/>
      <c r="EK100" s="59"/>
      <c r="EL100" s="59"/>
      <c r="EM100" s="59"/>
      <c r="EN100" s="59"/>
      <c r="EO100" s="59"/>
      <c r="EP100" s="59"/>
      <c r="EQ100" s="59"/>
      <c r="ER100" s="59"/>
      <c r="ES100" s="59"/>
      <c r="ET100" s="59"/>
      <c r="EU100" s="59"/>
      <c r="EV100" s="59"/>
      <c r="EW100" s="59"/>
      <c r="EX100" s="59"/>
      <c r="EY100" s="59"/>
      <c r="EZ100" s="59"/>
      <c r="FA100" s="59"/>
      <c r="FB100" s="59"/>
      <c r="FC100" s="59"/>
      <c r="FD100" s="59"/>
      <c r="FE100" s="59"/>
      <c r="FF100" s="59"/>
      <c r="FG100" s="59"/>
      <c r="FH100" s="59"/>
      <c r="FI100" s="59"/>
      <c r="FJ100" s="59"/>
      <c r="FK100" s="59"/>
      <c r="FL100" s="59"/>
      <c r="FM100" s="59"/>
      <c r="FN100" s="59"/>
      <c r="FO100" s="59"/>
      <c r="FP100" s="59"/>
      <c r="FQ100" s="59"/>
      <c r="FR100" s="59"/>
      <c r="FS100" s="59"/>
      <c r="FT100" s="59"/>
      <c r="FU100" s="59"/>
      <c r="FV100" s="59"/>
      <c r="FW100" s="59"/>
      <c r="FX100" s="59"/>
      <c r="FY100" s="59"/>
      <c r="FZ100" s="59"/>
      <c r="GA100" s="59"/>
      <c r="GB100" s="59"/>
      <c r="GC100" s="59"/>
      <c r="GD100" s="59"/>
      <c r="GE100" s="59"/>
      <c r="GF100" s="59"/>
      <c r="GG100" s="59"/>
      <c r="GH100" s="59"/>
      <c r="GI100" s="60"/>
    </row>
    <row r="101" spans="1:191" x14ac:dyDescent="0.15">
      <c r="A101" s="23">
        <v>45</v>
      </c>
      <c r="B101" s="24" t="s">
        <v>154</v>
      </c>
      <c r="C101" s="45" t="s">
        <v>159</v>
      </c>
      <c r="D101" s="26" t="s">
        <v>170</v>
      </c>
      <c r="E101" s="27" t="s">
        <v>13</v>
      </c>
      <c r="F101" s="28">
        <v>42945</v>
      </c>
      <c r="G101" s="28">
        <v>42946</v>
      </c>
      <c r="H101" s="29">
        <f t="shared" si="8"/>
        <v>0</v>
      </c>
      <c r="I101" s="30"/>
      <c r="J101" s="31"/>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4"/>
    </row>
    <row r="102" spans="1:191" x14ac:dyDescent="0.15">
      <c r="A102" s="35">
        <f>A101</f>
        <v>45</v>
      </c>
      <c r="B102" s="36" t="str">
        <f>B101</f>
        <v>PG</v>
      </c>
      <c r="C102" s="36" t="str">
        <f>C101</f>
        <v>監視端末実装レビュー</v>
      </c>
      <c r="D102" s="37" t="str">
        <f>D101</f>
        <v>伊藤</v>
      </c>
      <c r="E102" s="53" t="s">
        <v>0</v>
      </c>
      <c r="F102" s="54"/>
      <c r="G102" s="54"/>
      <c r="H102" s="55">
        <f t="shared" si="8"/>
        <v>0</v>
      </c>
      <c r="I102" s="56">
        <f>IF(OR(H101="",H102=""),"",H102-H101)</f>
        <v>0</v>
      </c>
      <c r="J102" s="57"/>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c r="DV102" s="59"/>
      <c r="DW102" s="59"/>
      <c r="DX102" s="59"/>
      <c r="DY102" s="59"/>
      <c r="DZ102" s="59"/>
      <c r="EA102" s="59"/>
      <c r="EB102" s="59"/>
      <c r="EC102" s="59"/>
      <c r="ED102" s="59"/>
      <c r="EE102" s="59"/>
      <c r="EF102" s="59"/>
      <c r="EG102" s="59"/>
      <c r="EH102" s="59"/>
      <c r="EI102" s="59"/>
      <c r="EJ102" s="59"/>
      <c r="EK102" s="59"/>
      <c r="EL102" s="59"/>
      <c r="EM102" s="59"/>
      <c r="EN102" s="59"/>
      <c r="EO102" s="59"/>
      <c r="EP102" s="59"/>
      <c r="EQ102" s="59"/>
      <c r="ER102" s="59"/>
      <c r="ES102" s="59"/>
      <c r="ET102" s="59"/>
      <c r="EU102" s="59"/>
      <c r="EV102" s="59"/>
      <c r="EW102" s="59"/>
      <c r="EX102" s="59"/>
      <c r="EY102" s="59"/>
      <c r="EZ102" s="59"/>
      <c r="FA102" s="59"/>
      <c r="FB102" s="59"/>
      <c r="FC102" s="59"/>
      <c r="FD102" s="59"/>
      <c r="FE102" s="59"/>
      <c r="FF102" s="59"/>
      <c r="FG102" s="59"/>
      <c r="FH102" s="59"/>
      <c r="FI102" s="59"/>
      <c r="FJ102" s="59"/>
      <c r="FK102" s="59"/>
      <c r="FL102" s="59"/>
      <c r="FM102" s="59"/>
      <c r="FN102" s="59"/>
      <c r="FO102" s="59"/>
      <c r="FP102" s="59"/>
      <c r="FQ102" s="59"/>
      <c r="FR102" s="59"/>
      <c r="FS102" s="59"/>
      <c r="FT102" s="59"/>
      <c r="FU102" s="59"/>
      <c r="FV102" s="59"/>
      <c r="FW102" s="59"/>
      <c r="FX102" s="59"/>
      <c r="FY102" s="59"/>
      <c r="FZ102" s="59"/>
      <c r="GA102" s="59"/>
      <c r="GB102" s="59"/>
      <c r="GC102" s="59"/>
      <c r="GD102" s="59"/>
      <c r="GE102" s="59"/>
      <c r="GF102" s="59"/>
      <c r="GG102" s="59"/>
      <c r="GH102" s="59"/>
      <c r="GI102" s="60"/>
    </row>
    <row r="103" spans="1:191" x14ac:dyDescent="0.15">
      <c r="A103" s="23">
        <v>46</v>
      </c>
      <c r="B103" s="24" t="s">
        <v>154</v>
      </c>
      <c r="C103" s="45" t="s">
        <v>160</v>
      </c>
      <c r="D103" s="26" t="s">
        <v>115</v>
      </c>
      <c r="E103" s="27" t="s">
        <v>13</v>
      </c>
      <c r="F103" s="28">
        <v>42947</v>
      </c>
      <c r="G103" s="28">
        <v>42953</v>
      </c>
      <c r="H103" s="29">
        <f t="shared" si="8"/>
        <v>0</v>
      </c>
      <c r="I103" s="30"/>
      <c r="J103" s="31"/>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4"/>
    </row>
    <row r="104" spans="1:191" x14ac:dyDescent="0.15">
      <c r="A104" s="35">
        <f>A103</f>
        <v>46</v>
      </c>
      <c r="B104" s="36" t="str">
        <f>B103</f>
        <v>PG</v>
      </c>
      <c r="C104" s="36" t="str">
        <f>C103</f>
        <v>監視端末実装レビュー指摘対応</v>
      </c>
      <c r="D104" s="37" t="str">
        <f>D103</f>
        <v>若山</v>
      </c>
      <c r="E104" s="53" t="s">
        <v>0</v>
      </c>
      <c r="F104" s="54"/>
      <c r="G104" s="54"/>
      <c r="H104" s="55">
        <f t="shared" si="8"/>
        <v>0</v>
      </c>
      <c r="I104" s="56">
        <f>IF(OR(H103="",H104=""),"",H104-H103)</f>
        <v>0</v>
      </c>
      <c r="J104" s="57"/>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59"/>
      <c r="CE104" s="59"/>
      <c r="CF104" s="59"/>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c r="DR104" s="59"/>
      <c r="DS104" s="59"/>
      <c r="DT104" s="59"/>
      <c r="DU104" s="59"/>
      <c r="DV104" s="59"/>
      <c r="DW104" s="59"/>
      <c r="DX104" s="59"/>
      <c r="DY104" s="59"/>
      <c r="DZ104" s="59"/>
      <c r="EA104" s="59"/>
      <c r="EB104" s="59"/>
      <c r="EC104" s="59"/>
      <c r="ED104" s="59"/>
      <c r="EE104" s="59"/>
      <c r="EF104" s="59"/>
      <c r="EG104" s="59"/>
      <c r="EH104" s="59"/>
      <c r="EI104" s="59"/>
      <c r="EJ104" s="59"/>
      <c r="EK104" s="59"/>
      <c r="EL104" s="59"/>
      <c r="EM104" s="59"/>
      <c r="EN104" s="59"/>
      <c r="EO104" s="59"/>
      <c r="EP104" s="59"/>
      <c r="EQ104" s="59"/>
      <c r="ER104" s="59"/>
      <c r="ES104" s="59"/>
      <c r="ET104" s="59"/>
      <c r="EU104" s="59"/>
      <c r="EV104" s="59"/>
      <c r="EW104" s="59"/>
      <c r="EX104" s="59"/>
      <c r="EY104" s="59"/>
      <c r="EZ104" s="59"/>
      <c r="FA104" s="59"/>
      <c r="FB104" s="59"/>
      <c r="FC104" s="59"/>
      <c r="FD104" s="59"/>
      <c r="FE104" s="59"/>
      <c r="FF104" s="59"/>
      <c r="FG104" s="59"/>
      <c r="FH104" s="59"/>
      <c r="FI104" s="59"/>
      <c r="FJ104" s="59"/>
      <c r="FK104" s="59"/>
      <c r="FL104" s="59"/>
      <c r="FM104" s="59"/>
      <c r="FN104" s="59"/>
      <c r="FO104" s="59"/>
      <c r="FP104" s="59"/>
      <c r="FQ104" s="59"/>
      <c r="FR104" s="59"/>
      <c r="FS104" s="59"/>
      <c r="FT104" s="59"/>
      <c r="FU104" s="59"/>
      <c r="FV104" s="59"/>
      <c r="FW104" s="59"/>
      <c r="FX104" s="59"/>
      <c r="FY104" s="59"/>
      <c r="FZ104" s="59"/>
      <c r="GA104" s="59"/>
      <c r="GB104" s="59"/>
      <c r="GC104" s="59"/>
      <c r="GD104" s="59"/>
      <c r="GE104" s="59"/>
      <c r="GF104" s="59"/>
      <c r="GG104" s="59"/>
      <c r="GH104" s="59"/>
      <c r="GI104" s="60"/>
    </row>
    <row r="105" spans="1:191" x14ac:dyDescent="0.15">
      <c r="A105" s="23">
        <v>47</v>
      </c>
      <c r="B105" s="24" t="s">
        <v>161</v>
      </c>
      <c r="C105" s="45" t="s">
        <v>162</v>
      </c>
      <c r="D105" s="26" t="s">
        <v>171</v>
      </c>
      <c r="E105" s="27" t="s">
        <v>13</v>
      </c>
      <c r="F105" s="28">
        <v>42954</v>
      </c>
      <c r="G105" s="28">
        <v>42967</v>
      </c>
      <c r="H105" s="29"/>
      <c r="I105" s="30"/>
      <c r="J105" s="31"/>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4"/>
    </row>
    <row r="106" spans="1:191" x14ac:dyDescent="0.15">
      <c r="A106" s="35">
        <f>A105</f>
        <v>47</v>
      </c>
      <c r="B106" s="36" t="str">
        <f>B105</f>
        <v>UT</v>
      </c>
      <c r="C106" s="36" t="str">
        <f>C105</f>
        <v>Webアプリ単体評価実施</v>
      </c>
      <c r="D106" s="37" t="str">
        <f>D105</f>
        <v>高澤</v>
      </c>
      <c r="E106" s="53" t="s">
        <v>0</v>
      </c>
      <c r="F106" s="54"/>
      <c r="G106" s="54"/>
      <c r="H106" s="55"/>
      <c r="I106" s="56" t="str">
        <f>IF(OR(H105="",H106=""),"",H106-H105)</f>
        <v/>
      </c>
      <c r="J106" s="57"/>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c r="DV106" s="59"/>
      <c r="DW106" s="59"/>
      <c r="DX106" s="59"/>
      <c r="DY106" s="59"/>
      <c r="DZ106" s="59"/>
      <c r="EA106" s="59"/>
      <c r="EB106" s="59"/>
      <c r="EC106" s="59"/>
      <c r="ED106" s="59"/>
      <c r="EE106" s="59"/>
      <c r="EF106" s="59"/>
      <c r="EG106" s="59"/>
      <c r="EH106" s="59"/>
      <c r="EI106" s="59"/>
      <c r="EJ106" s="59"/>
      <c r="EK106" s="59"/>
      <c r="EL106" s="59"/>
      <c r="EM106" s="59"/>
      <c r="EN106" s="59"/>
      <c r="EO106" s="59"/>
      <c r="EP106" s="59"/>
      <c r="EQ106" s="59"/>
      <c r="ER106" s="59"/>
      <c r="ES106" s="59"/>
      <c r="ET106" s="59"/>
      <c r="EU106" s="59"/>
      <c r="EV106" s="59"/>
      <c r="EW106" s="59"/>
      <c r="EX106" s="59"/>
      <c r="EY106" s="59"/>
      <c r="EZ106" s="59"/>
      <c r="FA106" s="59"/>
      <c r="FB106" s="59"/>
      <c r="FC106" s="59"/>
      <c r="FD106" s="59"/>
      <c r="FE106" s="59"/>
      <c r="FF106" s="59"/>
      <c r="FG106" s="59"/>
      <c r="FH106" s="59"/>
      <c r="FI106" s="59"/>
      <c r="FJ106" s="59"/>
      <c r="FK106" s="59"/>
      <c r="FL106" s="59"/>
      <c r="FM106" s="59"/>
      <c r="FN106" s="59"/>
      <c r="FO106" s="59"/>
      <c r="FP106" s="59"/>
      <c r="FQ106" s="59"/>
      <c r="FR106" s="59"/>
      <c r="FS106" s="59"/>
      <c r="FT106" s="59"/>
      <c r="FU106" s="59"/>
      <c r="FV106" s="59"/>
      <c r="FW106" s="59"/>
      <c r="FX106" s="59"/>
      <c r="FY106" s="59"/>
      <c r="FZ106" s="59"/>
      <c r="GA106" s="59"/>
      <c r="GB106" s="59"/>
      <c r="GC106" s="59"/>
      <c r="GD106" s="59"/>
      <c r="GE106" s="59"/>
      <c r="GF106" s="59"/>
      <c r="GG106" s="59"/>
      <c r="GH106" s="59"/>
      <c r="GI106" s="60"/>
    </row>
    <row r="107" spans="1:191" x14ac:dyDescent="0.15">
      <c r="A107" s="23">
        <v>48</v>
      </c>
      <c r="B107" s="24" t="s">
        <v>161</v>
      </c>
      <c r="C107" s="45" t="s">
        <v>163</v>
      </c>
      <c r="D107" s="26" t="s">
        <v>172</v>
      </c>
      <c r="E107" s="27" t="s">
        <v>13</v>
      </c>
      <c r="F107" s="28">
        <v>42954</v>
      </c>
      <c r="G107" s="28">
        <v>42967</v>
      </c>
      <c r="H107" s="29"/>
      <c r="I107" s="30"/>
      <c r="J107" s="31"/>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4"/>
    </row>
    <row r="108" spans="1:191" x14ac:dyDescent="0.15">
      <c r="A108" s="35">
        <f>A107</f>
        <v>48</v>
      </c>
      <c r="B108" s="36" t="str">
        <f>B107</f>
        <v>UT</v>
      </c>
      <c r="C108" s="36" t="str">
        <f>C107</f>
        <v>監視端末単体評価実施</v>
      </c>
      <c r="D108" s="37" t="str">
        <f>D107</f>
        <v>長田</v>
      </c>
      <c r="E108" s="53" t="s">
        <v>0</v>
      </c>
      <c r="F108" s="54"/>
      <c r="G108" s="54"/>
      <c r="H108" s="55"/>
      <c r="I108" s="56" t="str">
        <f>IF(OR(H107="",H108=""),"",H108-H107)</f>
        <v/>
      </c>
      <c r="J108" s="57"/>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59"/>
      <c r="CE108" s="59"/>
      <c r="CF108" s="59"/>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c r="DR108" s="59"/>
      <c r="DS108" s="59"/>
      <c r="DT108" s="59"/>
      <c r="DU108" s="59"/>
      <c r="DV108" s="59"/>
      <c r="DW108" s="59"/>
      <c r="DX108" s="59"/>
      <c r="DY108" s="59"/>
      <c r="DZ108" s="59"/>
      <c r="EA108" s="59"/>
      <c r="EB108" s="59"/>
      <c r="EC108" s="59"/>
      <c r="ED108" s="59"/>
      <c r="EE108" s="59"/>
      <c r="EF108" s="59"/>
      <c r="EG108" s="59"/>
      <c r="EH108" s="59"/>
      <c r="EI108" s="59"/>
      <c r="EJ108" s="59"/>
      <c r="EK108" s="59"/>
      <c r="EL108" s="59"/>
      <c r="EM108" s="59"/>
      <c r="EN108" s="59"/>
      <c r="EO108" s="59"/>
      <c r="EP108" s="59"/>
      <c r="EQ108" s="59"/>
      <c r="ER108" s="59"/>
      <c r="ES108" s="59"/>
      <c r="ET108" s="59"/>
      <c r="EU108" s="59"/>
      <c r="EV108" s="59"/>
      <c r="EW108" s="59"/>
      <c r="EX108" s="59"/>
      <c r="EY108" s="59"/>
      <c r="EZ108" s="59"/>
      <c r="FA108" s="59"/>
      <c r="FB108" s="59"/>
      <c r="FC108" s="59"/>
      <c r="FD108" s="59"/>
      <c r="FE108" s="59"/>
      <c r="FF108" s="59"/>
      <c r="FG108" s="59"/>
      <c r="FH108" s="59"/>
      <c r="FI108" s="59"/>
      <c r="FJ108" s="59"/>
      <c r="FK108" s="59"/>
      <c r="FL108" s="59"/>
      <c r="FM108" s="59"/>
      <c r="FN108" s="59"/>
      <c r="FO108" s="59"/>
      <c r="FP108" s="59"/>
      <c r="FQ108" s="59"/>
      <c r="FR108" s="59"/>
      <c r="FS108" s="59"/>
      <c r="FT108" s="59"/>
      <c r="FU108" s="59"/>
      <c r="FV108" s="59"/>
      <c r="FW108" s="59"/>
      <c r="FX108" s="59"/>
      <c r="FY108" s="59"/>
      <c r="FZ108" s="59"/>
      <c r="GA108" s="59"/>
      <c r="GB108" s="59"/>
      <c r="GC108" s="59"/>
      <c r="GD108" s="59"/>
      <c r="GE108" s="59"/>
      <c r="GF108" s="59"/>
      <c r="GG108" s="59"/>
      <c r="GH108" s="59"/>
      <c r="GI108" s="60"/>
    </row>
    <row r="109" spans="1:191" x14ac:dyDescent="0.15">
      <c r="A109" s="23">
        <v>49</v>
      </c>
      <c r="B109" s="24" t="s">
        <v>164</v>
      </c>
      <c r="C109" s="45" t="s">
        <v>165</v>
      </c>
      <c r="D109" s="26" t="s">
        <v>171</v>
      </c>
      <c r="E109" s="27" t="s">
        <v>13</v>
      </c>
      <c r="F109" s="28">
        <v>42968</v>
      </c>
      <c r="G109" s="28">
        <v>42968</v>
      </c>
      <c r="H109" s="29"/>
      <c r="I109" s="30"/>
      <c r="J109" s="31"/>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4"/>
    </row>
    <row r="110" spans="1:191" x14ac:dyDescent="0.15">
      <c r="A110" s="35">
        <f>A109</f>
        <v>49</v>
      </c>
      <c r="B110" s="36" t="str">
        <f>B109</f>
        <v>IT</v>
      </c>
      <c r="C110" s="36" t="str">
        <f>C109</f>
        <v>Webアプリ結合評価実施</v>
      </c>
      <c r="D110" s="37" t="str">
        <f>D109</f>
        <v>高澤</v>
      </c>
      <c r="E110" s="53" t="s">
        <v>0</v>
      </c>
      <c r="F110" s="54"/>
      <c r="G110" s="54"/>
      <c r="H110" s="55"/>
      <c r="I110" s="56" t="str">
        <f>IF(OR(H109="",H110=""),"",H110-H109)</f>
        <v/>
      </c>
      <c r="J110" s="57"/>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59"/>
      <c r="CE110" s="59"/>
      <c r="CF110" s="59"/>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c r="DR110" s="59"/>
      <c r="DS110" s="59"/>
      <c r="DT110" s="59"/>
      <c r="DU110" s="59"/>
      <c r="DV110" s="59"/>
      <c r="DW110" s="59"/>
      <c r="DX110" s="59"/>
      <c r="DY110" s="59"/>
      <c r="DZ110" s="59"/>
      <c r="EA110" s="59"/>
      <c r="EB110" s="59"/>
      <c r="EC110" s="59"/>
      <c r="ED110" s="59"/>
      <c r="EE110" s="59"/>
      <c r="EF110" s="59"/>
      <c r="EG110" s="59"/>
      <c r="EH110" s="59"/>
      <c r="EI110" s="59"/>
      <c r="EJ110" s="59"/>
      <c r="EK110" s="59"/>
      <c r="EL110" s="59"/>
      <c r="EM110" s="59"/>
      <c r="EN110" s="59"/>
      <c r="EO110" s="59"/>
      <c r="EP110" s="59"/>
      <c r="EQ110" s="59"/>
      <c r="ER110" s="59"/>
      <c r="ES110" s="59"/>
      <c r="ET110" s="59"/>
      <c r="EU110" s="59"/>
      <c r="EV110" s="59"/>
      <c r="EW110" s="59"/>
      <c r="EX110" s="59"/>
      <c r="EY110" s="59"/>
      <c r="EZ110" s="59"/>
      <c r="FA110" s="59"/>
      <c r="FB110" s="59"/>
      <c r="FC110" s="59"/>
      <c r="FD110" s="59"/>
      <c r="FE110" s="59"/>
      <c r="FF110" s="59"/>
      <c r="FG110" s="59"/>
      <c r="FH110" s="59"/>
      <c r="FI110" s="59"/>
      <c r="FJ110" s="59"/>
      <c r="FK110" s="59"/>
      <c r="FL110" s="59"/>
      <c r="FM110" s="59"/>
      <c r="FN110" s="59"/>
      <c r="FO110" s="59"/>
      <c r="FP110" s="59"/>
      <c r="FQ110" s="59"/>
      <c r="FR110" s="59"/>
      <c r="FS110" s="59"/>
      <c r="FT110" s="59"/>
      <c r="FU110" s="59"/>
      <c r="FV110" s="59"/>
      <c r="FW110" s="59"/>
      <c r="FX110" s="59"/>
      <c r="FY110" s="59"/>
      <c r="FZ110" s="59"/>
      <c r="GA110" s="59"/>
      <c r="GB110" s="59"/>
      <c r="GC110" s="59"/>
      <c r="GD110" s="59"/>
      <c r="GE110" s="59"/>
      <c r="GF110" s="59"/>
      <c r="GG110" s="59"/>
      <c r="GH110" s="59"/>
      <c r="GI110" s="60"/>
    </row>
    <row r="111" spans="1:191" x14ac:dyDescent="0.15">
      <c r="A111" s="23">
        <v>50</v>
      </c>
      <c r="B111" s="24" t="s">
        <v>164</v>
      </c>
      <c r="C111" s="45" t="s">
        <v>166</v>
      </c>
      <c r="D111" s="26" t="s">
        <v>172</v>
      </c>
      <c r="E111" s="27" t="s">
        <v>13</v>
      </c>
      <c r="F111" s="28">
        <v>42981</v>
      </c>
      <c r="G111" s="28">
        <v>42981</v>
      </c>
      <c r="H111" s="29"/>
      <c r="I111" s="30"/>
      <c r="J111" s="31"/>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4"/>
    </row>
    <row r="112" spans="1:191" x14ac:dyDescent="0.15">
      <c r="A112" s="35">
        <f>A111</f>
        <v>50</v>
      </c>
      <c r="B112" s="36" t="str">
        <f>B111</f>
        <v>IT</v>
      </c>
      <c r="C112" s="36" t="str">
        <f>C111</f>
        <v>監視端末結合評価実施</v>
      </c>
      <c r="D112" s="37" t="str">
        <f>D111</f>
        <v>長田</v>
      </c>
      <c r="E112" s="53" t="s">
        <v>0</v>
      </c>
      <c r="F112" s="54"/>
      <c r="G112" s="54"/>
      <c r="H112" s="63"/>
      <c r="I112" s="64" t="str">
        <f>IF(OR(H111="",H112=""),"",H112-H111)</f>
        <v/>
      </c>
      <c r="J112" s="65"/>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8"/>
    </row>
    <row r="113" spans="1:191" x14ac:dyDescent="0.15">
      <c r="A113" s="23">
        <v>51</v>
      </c>
      <c r="B113" s="24" t="s">
        <v>167</v>
      </c>
      <c r="C113" s="45" t="s">
        <v>168</v>
      </c>
      <c r="D113" s="26" t="s">
        <v>171</v>
      </c>
      <c r="E113" s="27" t="s">
        <v>13</v>
      </c>
      <c r="F113" s="28">
        <v>42982</v>
      </c>
      <c r="G113" s="28">
        <v>43002</v>
      </c>
      <c r="H113" s="29"/>
      <c r="I113" s="30"/>
      <c r="J113" s="31"/>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4"/>
    </row>
    <row r="114" spans="1:191" x14ac:dyDescent="0.15">
      <c r="A114" s="35">
        <v>51</v>
      </c>
      <c r="B114" s="36" t="str">
        <f>B113</f>
        <v>FT</v>
      </c>
      <c r="C114" s="36" t="str">
        <f>C113</f>
        <v>機能評価実施</v>
      </c>
      <c r="D114" s="37" t="str">
        <f>D113</f>
        <v>高澤</v>
      </c>
      <c r="E114" s="53" t="s">
        <v>0</v>
      </c>
      <c r="F114" s="54"/>
      <c r="G114" s="54"/>
      <c r="H114" s="63"/>
      <c r="I114" s="64" t="str">
        <f>IF(OR(H113="",H114=""),"",H114-H113)</f>
        <v/>
      </c>
      <c r="J114" s="65"/>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8"/>
    </row>
    <row r="115" spans="1:191" x14ac:dyDescent="0.15">
      <c r="A115" s="23">
        <v>52</v>
      </c>
      <c r="B115" s="24" t="s">
        <v>167</v>
      </c>
      <c r="C115" s="45" t="s">
        <v>169</v>
      </c>
      <c r="D115" s="26" t="s">
        <v>172</v>
      </c>
      <c r="E115" s="27" t="s">
        <v>13</v>
      </c>
      <c r="F115" s="28">
        <v>42982</v>
      </c>
      <c r="G115" s="28">
        <v>43002</v>
      </c>
      <c r="H115" s="29"/>
      <c r="I115" s="30"/>
      <c r="J115" s="31"/>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4"/>
    </row>
    <row r="116" spans="1:191" x14ac:dyDescent="0.15">
      <c r="A116" s="35">
        <v>52</v>
      </c>
      <c r="B116" s="36" t="str">
        <f>B115</f>
        <v>FT</v>
      </c>
      <c r="C116" s="36" t="str">
        <f>C115</f>
        <v>機能評価実施</v>
      </c>
      <c r="D116" s="37" t="str">
        <f>D115</f>
        <v>長田</v>
      </c>
      <c r="E116" s="53" t="s">
        <v>0</v>
      </c>
      <c r="F116" s="54"/>
      <c r="G116" s="54"/>
      <c r="H116" s="63"/>
      <c r="I116" s="64" t="str">
        <f>IF(OR(H115="",H116=""),"",H116-H115)</f>
        <v/>
      </c>
      <c r="J116" s="65"/>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8"/>
    </row>
    <row r="117" spans="1:191" x14ac:dyDescent="0.15">
      <c r="A117" s="23">
        <v>53</v>
      </c>
      <c r="B117" s="24"/>
      <c r="C117" s="45"/>
      <c r="D117" s="26"/>
      <c r="E117" s="27" t="s">
        <v>13</v>
      </c>
      <c r="F117" s="28"/>
      <c r="G117" s="28"/>
      <c r="H117" s="29"/>
      <c r="I117" s="30"/>
      <c r="J117" s="31"/>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4"/>
    </row>
    <row r="118" spans="1:191" x14ac:dyDescent="0.15">
      <c r="A118" s="35">
        <v>53</v>
      </c>
      <c r="B118" s="36">
        <f>B117</f>
        <v>0</v>
      </c>
      <c r="C118" s="36">
        <f>C117</f>
        <v>0</v>
      </c>
      <c r="D118" s="37">
        <f>D117</f>
        <v>0</v>
      </c>
      <c r="E118" s="61" t="s">
        <v>0</v>
      </c>
      <c r="F118" s="62"/>
      <c r="G118" s="62"/>
      <c r="H118" s="63"/>
      <c r="I118" s="64" t="str">
        <f>IF(OR(H117="",H118=""),"",H118-H117)</f>
        <v/>
      </c>
      <c r="J118" s="65"/>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c r="EA118" s="67"/>
      <c r="EB118" s="67"/>
      <c r="EC118" s="67"/>
      <c r="ED118" s="67"/>
      <c r="EE118" s="67"/>
      <c r="EF118" s="67"/>
      <c r="EG118" s="67"/>
      <c r="EH118" s="67"/>
      <c r="EI118" s="67"/>
      <c r="EJ118" s="67"/>
      <c r="EK118" s="67"/>
      <c r="EL118" s="67"/>
      <c r="EM118" s="67"/>
      <c r="EN118" s="67"/>
      <c r="EO118" s="67"/>
      <c r="EP118" s="67"/>
      <c r="EQ118" s="67"/>
      <c r="ER118" s="67"/>
      <c r="ES118" s="67"/>
      <c r="ET118" s="67"/>
      <c r="EU118" s="67"/>
      <c r="EV118" s="67"/>
      <c r="EW118" s="67"/>
      <c r="EX118" s="67"/>
      <c r="EY118" s="67"/>
      <c r="EZ118" s="67"/>
      <c r="FA118" s="67"/>
      <c r="FB118" s="67"/>
      <c r="FC118" s="67"/>
      <c r="FD118" s="67"/>
      <c r="FE118" s="67"/>
      <c r="FF118" s="67"/>
      <c r="FG118" s="67"/>
      <c r="FH118" s="67"/>
      <c r="FI118" s="67"/>
      <c r="FJ118" s="67"/>
      <c r="FK118" s="67"/>
      <c r="FL118" s="67"/>
      <c r="FM118" s="67"/>
      <c r="FN118" s="67"/>
      <c r="FO118" s="67"/>
      <c r="FP118" s="67"/>
      <c r="FQ118" s="67"/>
      <c r="FR118" s="67"/>
      <c r="FS118" s="67"/>
      <c r="FT118" s="67"/>
      <c r="FU118" s="67"/>
      <c r="FV118" s="67"/>
      <c r="FW118" s="67"/>
      <c r="FX118" s="67"/>
      <c r="FY118" s="67"/>
      <c r="FZ118" s="67"/>
      <c r="GA118" s="67"/>
      <c r="GB118" s="67"/>
      <c r="GC118" s="67"/>
      <c r="GD118" s="67"/>
      <c r="GE118" s="67"/>
      <c r="GF118" s="67"/>
      <c r="GG118" s="67"/>
      <c r="GH118" s="67"/>
      <c r="GI118" s="68"/>
    </row>
    <row r="119" spans="1:191" x14ac:dyDescent="0.15">
      <c r="A119" s="23">
        <v>54</v>
      </c>
      <c r="B119" s="24"/>
      <c r="C119" s="45"/>
      <c r="D119" s="26"/>
      <c r="E119" s="27" t="s">
        <v>13</v>
      </c>
      <c r="F119" s="28"/>
      <c r="G119" s="28"/>
      <c r="H119" s="29"/>
      <c r="I119" s="30"/>
      <c r="J119" s="31"/>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4"/>
    </row>
    <row r="120" spans="1:191" x14ac:dyDescent="0.15">
      <c r="A120" s="35">
        <v>54</v>
      </c>
      <c r="B120" s="36">
        <f>B119</f>
        <v>0</v>
      </c>
      <c r="C120" s="36">
        <f>C119</f>
        <v>0</v>
      </c>
      <c r="D120" s="37">
        <f>D119</f>
        <v>0</v>
      </c>
      <c r="E120" s="61" t="s">
        <v>0</v>
      </c>
      <c r="F120" s="62"/>
      <c r="G120" s="62"/>
      <c r="H120" s="63"/>
      <c r="I120" s="64" t="str">
        <f>IF(OR(H119="",H120=""),"",H120-H119)</f>
        <v/>
      </c>
      <c r="J120" s="65"/>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8"/>
    </row>
    <row r="121" spans="1:191" x14ac:dyDescent="0.15">
      <c r="A121" s="23">
        <v>55</v>
      </c>
      <c r="B121" s="24"/>
      <c r="C121" s="45"/>
      <c r="D121" s="26"/>
      <c r="E121" s="27" t="s">
        <v>13</v>
      </c>
      <c r="F121" s="28"/>
      <c r="G121" s="28"/>
      <c r="H121" s="29"/>
      <c r="I121" s="30"/>
      <c r="J121" s="31"/>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4"/>
    </row>
    <row r="122" spans="1:191" x14ac:dyDescent="0.15">
      <c r="A122" s="35">
        <v>55</v>
      </c>
      <c r="B122" s="36">
        <f>B121</f>
        <v>0</v>
      </c>
      <c r="C122" s="36">
        <f>C121</f>
        <v>0</v>
      </c>
      <c r="D122" s="37">
        <f>D121</f>
        <v>0</v>
      </c>
      <c r="E122" s="61" t="s">
        <v>0</v>
      </c>
      <c r="F122" s="62"/>
      <c r="G122" s="62"/>
      <c r="H122" s="63"/>
      <c r="I122" s="64" t="str">
        <f>IF(OR(H121="",H122=""),"",H122-H121)</f>
        <v/>
      </c>
      <c r="J122" s="65"/>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8"/>
    </row>
    <row r="123" spans="1:191" x14ac:dyDescent="0.15">
      <c r="A123" s="23">
        <v>56</v>
      </c>
      <c r="B123" s="24"/>
      <c r="C123" s="45"/>
      <c r="D123" s="26"/>
      <c r="E123" s="27" t="s">
        <v>13</v>
      </c>
      <c r="F123" s="28"/>
      <c r="G123" s="28"/>
      <c r="H123" s="29"/>
      <c r="I123" s="30"/>
      <c r="J123" s="31"/>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4"/>
    </row>
    <row r="124" spans="1:191" x14ac:dyDescent="0.15">
      <c r="A124" s="35">
        <v>56</v>
      </c>
      <c r="B124" s="36">
        <f>B123</f>
        <v>0</v>
      </c>
      <c r="C124" s="36">
        <f>C123</f>
        <v>0</v>
      </c>
      <c r="D124" s="37">
        <f>D123</f>
        <v>0</v>
      </c>
      <c r="E124" s="61" t="s">
        <v>0</v>
      </c>
      <c r="F124" s="62"/>
      <c r="G124" s="62"/>
      <c r="H124" s="63"/>
      <c r="I124" s="64" t="str">
        <f>IF(OR(H123="",H124=""),"",H124-H123)</f>
        <v/>
      </c>
      <c r="J124" s="65"/>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8"/>
    </row>
  </sheetData>
  <sheetProtection selectLockedCells="1"/>
  <phoneticPr fontId="2"/>
  <conditionalFormatting sqref="J13:CT13 J15:CT15 J17:CT17 J19:CT19 J21:CT21 J23:CT23 J25:CT25 J27:CT27 J29:CT29 J31:CT31 J33:CT33 J35:CT35 J37:CT37 J39:CT39 J41:CT41 J43:CT43 J45:CT45 J47:CT47 J49:CT49 J51:CT51 J53:CT53 J55:CT55 J57:CT57 J59:CT59 J61:CT61 J63:CT63 J65:CT65 J67:CT67 J69:CT69 J71:CT71 J73:CT73 J75:CT75 J77:CT77 J79:CT79 J81:CT81 J83:CT83 J85:CT85 J87:CT87 J89:CT89 J91:CT91 J93:CT93 J95:CT95 J97:CT97 J99:CT99 J101:CT101 J103:CT103 J105:CT105 J107:CT107 J109:CT109 J111:CT111 GI111 GI109 GI107 GI105 GI103 GI101 GI99 GI97 GI95 GI93 GI91 GI89 GI87 GI85 GI83 GI81 GI79 GI77 GI75 GI73 GI71 GI69 GI67 GI65 GI63 GI61 GI59 GI57 GI55 GI53 GI51 GI49 GI47 GI45 GI43 GI41 GI39 GI37 GI35 GI33 GI31 GI29 GI27 GI25 GI23 GI21 GI19 GI17 GI15 GI13">
    <cfRule type="expression" dxfId="87" priority="87" stopIfTrue="1">
      <formula>AND(J$12&gt;=$F13,J$12&lt;=$G13)</formula>
    </cfRule>
  </conditionalFormatting>
  <conditionalFormatting sqref="J14:CT14 J16:CT16 J18:CT18 J20:CT20 J22:CT22 J24:CT24 J26:CT26 J28:CT28 J30:CT30 J32:CT32 J34:CT34 J36:CT36 J38:CT38 J40:CT40 J42:CT42 J44:CT44 J46:CT46 J48:CT48 J50:CT50 J52:CT52 J54:CT54 J56:CT56 J58:CT58 J60:CT60 J62:CT62 J64:CT64 J66:CT66 J68:CT68 J70:CT70 J72:CT72 J74:CT74 J76:CT76 J78:CT78 J80:CT80 J82:CT82 J84:CT84 J86:CT86 J88:CT88 J90:CT90 J92:CT92 J94:CT94 J96:CT96 J98:CT98 J100:CT100 J102:CT102 J104:CT104 J106:CT106 J108:CT108 J110:CT110 J112:CT112 GI112 GI110 GI108 GI106 GI104 GI102 GI100 GI98 GI96 GI94 GI92 GI90 GI88 GI86 GI84 GI82 GI80 GI78 GI76 GI74 GI72 GI70 GI68 GI66 GI64 GI62 GI60 GI58 GI56 GI54 GI52 GI50 GI48 GI46 GI44 GI42 GI40 GI38 GI36 GI34 GI32 GI30 GI28 GI26 GI24 GI22 GI20 GI18 GI16 GI14">
    <cfRule type="expression" dxfId="86" priority="88" stopIfTrue="1">
      <formula>AND(J$12&gt;=$F14,J$12&lt;=$G14)</formula>
    </cfRule>
  </conditionalFormatting>
  <conditionalFormatting sqref="J12:CT12">
    <cfRule type="expression" dxfId="85" priority="89" stopIfTrue="1">
      <formula>TEXT(J12,"aaa")="土"</formula>
    </cfRule>
    <cfRule type="expression" dxfId="84" priority="90" stopIfTrue="1">
      <formula>TEXT(J12,"aaa")="日"</formula>
    </cfRule>
  </conditionalFormatting>
  <conditionalFormatting sqref="CU13:DW13 CU15:DW15 CU17:DW17 CU19:DW19 CU21:DW21 CU23:DW23 CU25:DW25 CU27:DW27 CU29:DW29 CU31:DW31 CU33:DW33 CU35:DW35 CU37:DW37 CU39:DW39 CU41:DW41 CU43:DW43 CU45:DW45 CU47:DW47 CU49:DW49 CU51:DW51 CU53:DW53 CU55:DW55 CU57:DW57 CU59:DW59 CU61:DW61 CU63:DW63 CU65:DW65 CU67:DW67 CU69:DW69 CU71:DW71 CU73:DW73 CU75:DW75 CU77:DW77 CU79:DW79 CU81:DW81 CU83:DW83 CU85:DW85 CU87:DW87 CU89:DW89 CU91:DW91 CU93:DW93 CU95:DW95 CU97:DW97 CU99:DW99 CU101:DW101 CU103:DW103 CU105:DW105 CU107:DW107 CU109:DW109 CU111:DW111">
    <cfRule type="expression" dxfId="83" priority="83" stopIfTrue="1">
      <formula>AND(CU$12&gt;=$F13,CU$12&lt;=$G13)</formula>
    </cfRule>
  </conditionalFormatting>
  <conditionalFormatting sqref="CU14:DW14 CU16:DW16 CU18:DW18 CU20:DW20 CU22:DW22 CU24:DW24 CU26:DW26 CU28:DW28 CU30:DW30 CU32:DW32 CU34:DW34 CU36:DW36 CU38:DW38 CU40:DW40 CU42:DW42 CU44:DW44 CU46:DW46 CU48:DW48 CU50:DW50 CU52:DW52 CU54:DW54 CU56:DW56 CU58:DW58 CU60:DW60 CU62:DW62 CU64:DW64 CU66:DW66 CU68:DW68 CU70:DW70 CU72:DW72 CU74:DW74 CU76:DW76 CU78:DW78 CU80:DW80 CU82:DW82 CU84:DW84 CU86:DW86 CU88:DW88 CU90:DW90 CU92:DW92 CU94:DW94 CU96:DW96 CU98:DW98 CU100:DW100 CU102:DW102 CU104:DW104 CU106:DW106 CU108:DW108 CU110:DW110 CU112:DW112">
    <cfRule type="expression" dxfId="82" priority="84" stopIfTrue="1">
      <formula>AND(CU$12&gt;=$F14,CU$12&lt;=$G14)</formula>
    </cfRule>
  </conditionalFormatting>
  <conditionalFormatting sqref="CU12:DW12">
    <cfRule type="expression" dxfId="81" priority="85" stopIfTrue="1">
      <formula>TEXT(CU12,"aaa")="土"</formula>
    </cfRule>
    <cfRule type="expression" dxfId="80" priority="86" stopIfTrue="1">
      <formula>TEXT(CU12,"aaa")="日"</formula>
    </cfRule>
  </conditionalFormatting>
  <conditionalFormatting sqref="DX13:FB13 DX15:FB15 DX17:FB17 DX19:FB19 DX21:FB21 DX23:FB23 DX25:FB25 DX27:FB27 DX29:FB29 DX31:FB31 DX33:FB33 DX35:FB35 DX37:FB37 DX39:FB39 DX41:FB41 DX43:FB43 DX45:FB45 DX47:FB47 DX49:FB49 DX51:FB51 DX53:FB53 DX55:FB55 DX57:FB57 DX59:FB59 DX61:FB61 DX63:FB63 DX65:FB65 DX67:FB67 DX69:FB69 DX71:FB71 DX73:FB73 DX75:FB75 DX77:FB77 DX79:FB79 DX81:FB81 DX83:FB83 DX85:FB85 DX87:FB87 DX89:FB89 DX91:FB91 DX93:FB93 DX95:FB95 DX97:FB97 DX99:FB99 DX101:FB101 DX103:FB103 DX105:FB105 DX107:FB107 DX109:FB109 DX111:FB111">
    <cfRule type="expression" dxfId="79" priority="77" stopIfTrue="1">
      <formula>AND(DX$12&gt;=$F13,DX$12&lt;=$G13)</formula>
    </cfRule>
  </conditionalFormatting>
  <conditionalFormatting sqref="DX14:FB14 DX16:FB16 DX18:FB18 DX20:FB20 DX22:FB22 DX24:FB24 DX26:FB26 DX28:FB28 DX30:FB30 DX32:FB32 DX34:FB34 DX36:FB36 DX38:FB38 DX40:FB40 DX42:FB42 DX44:FB44 DX46:FB46 DX48:FB48 DX50:FB50 DX52:FB52 DX54:FB54 DX56:FB56 DX58:FB58 DX60:FB60 DX62:FB62 DX64:FB64 DX66:FB66 DX68:FB68 DX70:FB70 DX72:FB72 DX74:FB74 DX76:FB76 DX78:FB78 DX80:FB80 DX82:FB82 DX84:FB84 DX86:FB86 DX88:FB88 DX90:FB90 DX92:FB92 DX94:FB94 DX96:FB96 DX98:FB98 DX100:FB100 DX102:FB102 DX104:FB104 DX106:FB106 DX108:FB108 DX110:FB110 DX112:FB112">
    <cfRule type="expression" dxfId="78" priority="78" stopIfTrue="1">
      <formula>AND(DX$12&gt;=$F14,DX$12&lt;=$G14)</formula>
    </cfRule>
  </conditionalFormatting>
  <conditionalFormatting sqref="DX12:FB12">
    <cfRule type="expression" dxfId="77" priority="79" stopIfTrue="1">
      <formula>TEXT(DX12,"aaa")="土"</formula>
    </cfRule>
    <cfRule type="expression" dxfId="76" priority="80" stopIfTrue="1">
      <formula>TEXT(DX12,"aaa")="日"</formula>
    </cfRule>
  </conditionalFormatting>
  <conditionalFormatting sqref="FC13:GB13 FC15:GB15 FC17:GB17 FC19:GB19 FC21:GB21 FC23:GB23 FC25:GB25 FC27:GB27 FC29:GB29 FC31:GB31 FC33:GB33 FC35:GB35 FC37:GB37 FC39:GB39 FC41:GB41 FC43:GB43 FC45:GB45 FC47:GB47 FC49:GB49 FC51:GB51 FC53:GB53 FC55:GB55 FC57:GB57 FC59:GB59 FC61:GB61 FC63:GB63 FC65:GB65 FC67:GB67 FC69:GB69 FC71:GB71 FC73:GB73 FC75:GB75 FC77:GB77 FC79:GB79 FC81:GB81 FC83:GB83 FC85:GB85 FC87:GB87 FC89:GB89 FC91:GB91 FC93:GB93 FC95:GB95 FC97:GB97 FC99:GB99 FC101:GB101 FC103:GB103 FC105:GB105 FC107:GB107 FC109:GB109 FC111:GB111 GF111:GH111 GF109:GH109 GF107:GH107 GF105:GH105 GF103:GH103 GF101:GH101 GF99:GH99 GF97:GH97 GF95:GH95 GF93:GH93 GF91:GH91 GF89:GH89 GF87:GH87 GF85:GH85 GF83:GH83 GF81:GH81 GF79:GH79 GF77:GH77 GF75:GH75 GF73:GH73 GF71:GH71 GF69:GH69 GF67:GH67 GF65:GH65 GF63:GH63 GF61:GH61 GF59:GH59 GF57:GH57 GF55:GH55 GF53:GH53 GF51:GH51 GF49:GH49 GF47:GH47 GF45:GH45 GF43:GH43 GF41:GH41 GF39:GH39 GF37:GH37 GF35:GH35 GF33:GH33 GF31:GH31 GF29:GH29 GF27:GH27 GF25:GH25 GF23:GH23 GF21:GH21 GF19:GH19 GF17:GH17 GF15:GH15 GF13:GH13">
    <cfRule type="expression" dxfId="75" priority="73" stopIfTrue="1">
      <formula>AND(FC$12&gt;=$F13,FC$12&lt;=$G13)</formula>
    </cfRule>
  </conditionalFormatting>
  <conditionalFormatting sqref="FC14:GB14 FC16:GB16 FC18:GB18 FC20:GB20 FC22:GB22 FC24:GB24 FC26:GB26 FC28:GB28 FC30:GB30 FC32:GB32 FC34:GB34 FC36:GB36 FC38:GB38 FC40:GB40 FC42:GB42 FC44:GB44 FC46:GB46 FC48:GB48 FC50:GB50 FC52:GB52 FC54:GB54 FC56:GB56 FC58:GB58 FC60:GB60 FC62:GB62 FC64:GB64 FC66:GB66 FC68:GB68 FC70:GB70 FC72:GB72 FC74:GB74 FC76:GB76 FC78:GB78 FC80:GB80 FC82:GB82 FC84:GB84 FC86:GB86 FC88:GB88 FC90:GB90 FC92:GB92 FC94:GB94 FC96:GB96 FC98:GB98 FC100:GB100 FC102:GB102 FC104:GB104 FC106:GB106 FC108:GB108 FC110:GB110 FC112:GB112 GF112:GH112 GF110:GH110 GF108:GH108 GF106:GH106 GF104:GH104 GF102:GH102 GF100:GH100 GF98:GH98 GF96:GH96 GF94:GH94 GF92:GH92 GF90:GH90 GF88:GH88 GF86:GH86 GF84:GH84 GF82:GH82 GF80:GH80 GF78:GH78 GF76:GH76 GF74:GH74 GF72:GH72 GF70:GH70 GF68:GH68 GF66:GH66 GF64:GH64 GF62:GH62 GF60:GH60 GF58:GH58 GF56:GH56 GF54:GH54 GF52:GH52 GF50:GH50 GF48:GH48 GF46:GH46 GF44:GH44 GF42:GH42 GF40:GH40 GF38:GH38 GF36:GH36 GF34:GH34 GF32:GH32 GF30:GH30 GF28:GH28 GF26:GH26 GF24:GH24 GF22:GH22 GF20:GH20 GF18:GH18 GF16:GH16 GF14:GH14">
    <cfRule type="expression" dxfId="74" priority="74" stopIfTrue="1">
      <formula>AND(FC$12&gt;=$F14,FC$12&lt;=$G14)</formula>
    </cfRule>
  </conditionalFormatting>
  <conditionalFormatting sqref="FC12:GB12 GF12:GH12">
    <cfRule type="expression" dxfId="73" priority="75" stopIfTrue="1">
      <formula>TEXT(FC12,"aaa")="土"</formula>
    </cfRule>
    <cfRule type="expression" dxfId="72" priority="76" stopIfTrue="1">
      <formula>TEXT(FC12,"aaa")="日"</formula>
    </cfRule>
  </conditionalFormatting>
  <conditionalFormatting sqref="GC111:GE111 GC109:GE109 GC107:GE107 GC105:GE105 GC103:GE103 GC101:GE101 GC99:GE99 GC97:GE97 GC95:GE95 GC93:GE93 GC91:GE91 GC89:GE89 GC87:GE87 GC85:GE85 GC83:GE83 GC81:GE81 GC79:GE79 GC77:GE77 GC75:GE75 GC73:GE73 GC71:GE71 GC69:GE69 GC67:GE67 GC65:GE65 GC63:GE63 GC61:GE61 GC59:GE59 GC57:GE57 GC55:GE55 GC53:GE53 GC51:GE51 GC49:GE49 GC47:GE47 GC45:GE45 GC43:GE43 GC41:GE41 GC39:GE39 GC37:GE37 GC35:GE35 GC33:GE33 GC31:GE31 GC29:GE29 GC27:GE27 GC25:GE25 GC23:GE23 GC21:GE21 GC19:GE19 GC17:GE17 GC15:GE15 GC13:GE13">
    <cfRule type="expression" dxfId="71" priority="69" stopIfTrue="1">
      <formula>AND(GC$12&gt;=$F13,GC$12&lt;=$G13)</formula>
    </cfRule>
  </conditionalFormatting>
  <conditionalFormatting sqref="GC112:GE112 GC110:GE110 GC108:GE108 GC106:GE106 GC104:GE104 GC102:GE102 GC100:GE100 GC98:GE98 GC96:GE96 GC94:GE94 GC92:GE92 GC90:GE90 GC88:GE88 GC86:GE86 GC84:GE84 GC82:GE82 GC80:GE80 GC78:GE78 GC76:GE76 GC74:GE74 GC72:GE72 GC70:GE70 GC68:GE68 GC66:GE66 GC64:GE64 GC62:GE62 GC60:GE60 GC58:GE58 GC56:GE56 GC54:GE54 GC52:GE52 GC50:GE50 GC48:GE48 GC46:GE46 GC44:GE44 GC42:GE42 GC40:GE40 GC38:GE38 GC36:GE36 GC34:GE34 GC32:GE32 GC30:GE30 GC28:GE28 GC26:GE26 GC24:GE24 GC22:GE22 GC20:GE20 GC18:GE18 GC16:GE16 GC14:GE14">
    <cfRule type="expression" dxfId="70" priority="70" stopIfTrue="1">
      <formula>AND(GC$12&gt;=$F14,GC$12&lt;=$G14)</formula>
    </cfRule>
  </conditionalFormatting>
  <conditionalFormatting sqref="GC12">
    <cfRule type="expression" dxfId="69" priority="67" stopIfTrue="1">
      <formula>TEXT(GC12,"aaa")="土"</formula>
    </cfRule>
    <cfRule type="expression" dxfId="68" priority="68" stopIfTrue="1">
      <formula>TEXT(GC12,"aaa")="日"</formula>
    </cfRule>
  </conditionalFormatting>
  <conditionalFormatting sqref="GD12">
    <cfRule type="expression" dxfId="67" priority="65" stopIfTrue="1">
      <formula>TEXT(GD12,"aaa")="土"</formula>
    </cfRule>
    <cfRule type="expression" dxfId="66" priority="66" stopIfTrue="1">
      <formula>TEXT(GD12,"aaa")="日"</formula>
    </cfRule>
  </conditionalFormatting>
  <conditionalFormatting sqref="GE12">
    <cfRule type="expression" dxfId="65" priority="63" stopIfTrue="1">
      <formula>TEXT(GE12,"aaa")="土"</formula>
    </cfRule>
    <cfRule type="expression" dxfId="64" priority="64" stopIfTrue="1">
      <formula>TEXT(GE12,"aaa")="日"</formula>
    </cfRule>
  </conditionalFormatting>
  <conditionalFormatting sqref="GI12">
    <cfRule type="expression" dxfId="63" priority="61" stopIfTrue="1">
      <formula>TEXT(GI12,"aaa")="土"</formula>
    </cfRule>
    <cfRule type="expression" dxfId="62" priority="62" stopIfTrue="1">
      <formula>TEXT(GI12,"aaa")="日"</formula>
    </cfRule>
  </conditionalFormatting>
  <conditionalFormatting sqref="J113:CT113 GI113">
    <cfRule type="expression" dxfId="61" priority="59" stopIfTrue="1">
      <formula>AND(J$12&gt;=$F113,J$12&lt;=$G113)</formula>
    </cfRule>
  </conditionalFormatting>
  <conditionalFormatting sqref="J114:CT114 GI114">
    <cfRule type="expression" dxfId="60" priority="60" stopIfTrue="1">
      <formula>AND(J$12&gt;=$F114,J$12&lt;=$G114)</formula>
    </cfRule>
  </conditionalFormatting>
  <conditionalFormatting sqref="CU113:DW113">
    <cfRule type="expression" dxfId="59" priority="57" stopIfTrue="1">
      <formula>AND(CU$12&gt;=$F113,CU$12&lt;=$G113)</formula>
    </cfRule>
  </conditionalFormatting>
  <conditionalFormatting sqref="CU114:DW114">
    <cfRule type="expression" dxfId="58" priority="58" stopIfTrue="1">
      <formula>AND(CU$12&gt;=$F114,CU$12&lt;=$G114)</formula>
    </cfRule>
  </conditionalFormatting>
  <conditionalFormatting sqref="DX113:FB113">
    <cfRule type="expression" dxfId="57" priority="55" stopIfTrue="1">
      <formula>AND(DX$12&gt;=$F113,DX$12&lt;=$G113)</formula>
    </cfRule>
  </conditionalFormatting>
  <conditionalFormatting sqref="DX114:FB114">
    <cfRule type="expression" dxfId="56" priority="56" stopIfTrue="1">
      <formula>AND(DX$12&gt;=$F114,DX$12&lt;=$G114)</formula>
    </cfRule>
  </conditionalFormatting>
  <conditionalFormatting sqref="FC113:GB113 GF113:GH113">
    <cfRule type="expression" dxfId="55" priority="53" stopIfTrue="1">
      <formula>AND(FC$12&gt;=$F113,FC$12&lt;=$G113)</formula>
    </cfRule>
  </conditionalFormatting>
  <conditionalFormatting sqref="FC114:GB114 GF114:GH114">
    <cfRule type="expression" dxfId="54" priority="54" stopIfTrue="1">
      <formula>AND(FC$12&gt;=$F114,FC$12&lt;=$G114)</formula>
    </cfRule>
  </conditionalFormatting>
  <conditionalFormatting sqref="GC113:GE113">
    <cfRule type="expression" dxfId="53" priority="51" stopIfTrue="1">
      <formula>AND(GC$12&gt;=$F113,GC$12&lt;=$G113)</formula>
    </cfRule>
  </conditionalFormatting>
  <conditionalFormatting sqref="GC114:GE114">
    <cfRule type="expression" dxfId="52" priority="52" stopIfTrue="1">
      <formula>AND(GC$12&gt;=$F114,GC$12&lt;=$G114)</formula>
    </cfRule>
  </conditionalFormatting>
  <conditionalFormatting sqref="J115:CT115 GI115">
    <cfRule type="expression" dxfId="51" priority="49" stopIfTrue="1">
      <formula>AND(J$12&gt;=$F115,J$12&lt;=$G115)</formula>
    </cfRule>
  </conditionalFormatting>
  <conditionalFormatting sqref="J116:CT116 GI116">
    <cfRule type="expression" dxfId="50" priority="50" stopIfTrue="1">
      <formula>AND(J$12&gt;=$F116,J$12&lt;=$G116)</formula>
    </cfRule>
  </conditionalFormatting>
  <conditionalFormatting sqref="CU115:DW115">
    <cfRule type="expression" dxfId="49" priority="47" stopIfTrue="1">
      <formula>AND(CU$12&gt;=$F115,CU$12&lt;=$G115)</formula>
    </cfRule>
  </conditionalFormatting>
  <conditionalFormatting sqref="CU116:DW116">
    <cfRule type="expression" dxfId="48" priority="48" stopIfTrue="1">
      <formula>AND(CU$12&gt;=$F116,CU$12&lt;=$G116)</formula>
    </cfRule>
  </conditionalFormatting>
  <conditionalFormatting sqref="DX115:FB115">
    <cfRule type="expression" dxfId="47" priority="45" stopIfTrue="1">
      <formula>AND(DX$12&gt;=$F115,DX$12&lt;=$G115)</formula>
    </cfRule>
  </conditionalFormatting>
  <conditionalFormatting sqref="DX116:FB116">
    <cfRule type="expression" dxfId="46" priority="46" stopIfTrue="1">
      <formula>AND(DX$12&gt;=$F116,DX$12&lt;=$G116)</formula>
    </cfRule>
  </conditionalFormatting>
  <conditionalFormatting sqref="FC115:GB115 GF115:GH115">
    <cfRule type="expression" dxfId="45" priority="43" stopIfTrue="1">
      <formula>AND(FC$12&gt;=$F115,FC$12&lt;=$G115)</formula>
    </cfRule>
  </conditionalFormatting>
  <conditionalFormatting sqref="FC116:GB116 GF116:GH116">
    <cfRule type="expression" dxfId="44" priority="44" stopIfTrue="1">
      <formula>AND(FC$12&gt;=$F116,FC$12&lt;=$G116)</formula>
    </cfRule>
  </conditionalFormatting>
  <conditionalFormatting sqref="GC115:GE115">
    <cfRule type="expression" dxfId="43" priority="41" stopIfTrue="1">
      <formula>AND(GC$12&gt;=$F115,GC$12&lt;=$G115)</formula>
    </cfRule>
  </conditionalFormatting>
  <conditionalFormatting sqref="GC116:GE116">
    <cfRule type="expression" dxfId="42" priority="42" stopIfTrue="1">
      <formula>AND(GC$12&gt;=$F116,GC$12&lt;=$G116)</formula>
    </cfRule>
  </conditionalFormatting>
  <conditionalFormatting sqref="J117:CT117 GI117">
    <cfRule type="expression" dxfId="41" priority="39" stopIfTrue="1">
      <formula>AND(J$12&gt;=$F117,J$12&lt;=$G117)</formula>
    </cfRule>
  </conditionalFormatting>
  <conditionalFormatting sqref="J118:CT118 GI118">
    <cfRule type="expression" dxfId="40" priority="40" stopIfTrue="1">
      <formula>AND(J$12&gt;=$F118,J$12&lt;=$G118)</formula>
    </cfRule>
  </conditionalFormatting>
  <conditionalFormatting sqref="CU117:DW117">
    <cfRule type="expression" dxfId="39" priority="37" stopIfTrue="1">
      <formula>AND(CU$12&gt;=$F117,CU$12&lt;=$G117)</formula>
    </cfRule>
  </conditionalFormatting>
  <conditionalFormatting sqref="CU118:DW118">
    <cfRule type="expression" dxfId="38" priority="38" stopIfTrue="1">
      <formula>AND(CU$12&gt;=$F118,CU$12&lt;=$G118)</formula>
    </cfRule>
  </conditionalFormatting>
  <conditionalFormatting sqref="DX117:FB117">
    <cfRule type="expression" dxfId="37" priority="35" stopIfTrue="1">
      <formula>AND(DX$12&gt;=$F117,DX$12&lt;=$G117)</formula>
    </cfRule>
  </conditionalFormatting>
  <conditionalFormatting sqref="DX118:FB118">
    <cfRule type="expression" dxfId="36" priority="36" stopIfTrue="1">
      <formula>AND(DX$12&gt;=$F118,DX$12&lt;=$G118)</formula>
    </cfRule>
  </conditionalFormatting>
  <conditionalFormatting sqref="FC117:GB117 GF117:GH117">
    <cfRule type="expression" dxfId="35" priority="33" stopIfTrue="1">
      <formula>AND(FC$12&gt;=$F117,FC$12&lt;=$G117)</formula>
    </cfRule>
  </conditionalFormatting>
  <conditionalFormatting sqref="FC118:GB118 GF118:GH118">
    <cfRule type="expression" dxfId="34" priority="34" stopIfTrue="1">
      <formula>AND(FC$12&gt;=$F118,FC$12&lt;=$G118)</formula>
    </cfRule>
  </conditionalFormatting>
  <conditionalFormatting sqref="GC117:GE117">
    <cfRule type="expression" dxfId="33" priority="31" stopIfTrue="1">
      <formula>AND(GC$12&gt;=$F117,GC$12&lt;=$G117)</formula>
    </cfRule>
  </conditionalFormatting>
  <conditionalFormatting sqref="GC118:GE118">
    <cfRule type="expression" dxfId="32" priority="32" stopIfTrue="1">
      <formula>AND(GC$12&gt;=$F118,GC$12&lt;=$G118)</formula>
    </cfRule>
  </conditionalFormatting>
  <conditionalFormatting sqref="J119:CT119 GI119">
    <cfRule type="expression" dxfId="31" priority="29" stopIfTrue="1">
      <formula>AND(J$12&gt;=$F119,J$12&lt;=$G119)</formula>
    </cfRule>
  </conditionalFormatting>
  <conditionalFormatting sqref="J120:CT120 GI120">
    <cfRule type="expression" dxfId="30" priority="30" stopIfTrue="1">
      <formula>AND(J$12&gt;=$F120,J$12&lt;=$G120)</formula>
    </cfRule>
  </conditionalFormatting>
  <conditionalFormatting sqref="CU119:DW119">
    <cfRule type="expression" dxfId="29" priority="27" stopIfTrue="1">
      <formula>AND(CU$12&gt;=$F119,CU$12&lt;=$G119)</formula>
    </cfRule>
  </conditionalFormatting>
  <conditionalFormatting sqref="CU120:DW120">
    <cfRule type="expression" dxfId="28" priority="28" stopIfTrue="1">
      <formula>AND(CU$12&gt;=$F120,CU$12&lt;=$G120)</formula>
    </cfRule>
  </conditionalFormatting>
  <conditionalFormatting sqref="DX119:FB119">
    <cfRule type="expression" dxfId="27" priority="25" stopIfTrue="1">
      <formula>AND(DX$12&gt;=$F119,DX$12&lt;=$G119)</formula>
    </cfRule>
  </conditionalFormatting>
  <conditionalFormatting sqref="DX120:FB120">
    <cfRule type="expression" dxfId="26" priority="26" stopIfTrue="1">
      <formula>AND(DX$12&gt;=$F120,DX$12&lt;=$G120)</formula>
    </cfRule>
  </conditionalFormatting>
  <conditionalFormatting sqref="FC119:GB119 GF119:GH119">
    <cfRule type="expression" dxfId="25" priority="23" stopIfTrue="1">
      <formula>AND(FC$12&gt;=$F119,FC$12&lt;=$G119)</formula>
    </cfRule>
  </conditionalFormatting>
  <conditionalFormatting sqref="FC120:GB120 GF120:GH120">
    <cfRule type="expression" dxfId="24" priority="24" stopIfTrue="1">
      <formula>AND(FC$12&gt;=$F120,FC$12&lt;=$G120)</formula>
    </cfRule>
  </conditionalFormatting>
  <conditionalFormatting sqref="GC119:GE119">
    <cfRule type="expression" dxfId="23" priority="21" stopIfTrue="1">
      <formula>AND(GC$12&gt;=$F119,GC$12&lt;=$G119)</formula>
    </cfRule>
  </conditionalFormatting>
  <conditionalFormatting sqref="GC120:GE120">
    <cfRule type="expression" dxfId="22" priority="22" stopIfTrue="1">
      <formula>AND(GC$12&gt;=$F120,GC$12&lt;=$G120)</formula>
    </cfRule>
  </conditionalFormatting>
  <conditionalFormatting sqref="J121:CT121 GI121">
    <cfRule type="expression" dxfId="21" priority="19" stopIfTrue="1">
      <formula>AND(J$12&gt;=$F121,J$12&lt;=$G121)</formula>
    </cfRule>
  </conditionalFormatting>
  <conditionalFormatting sqref="J122:CT122 GI122">
    <cfRule type="expression" dxfId="20" priority="20" stopIfTrue="1">
      <formula>AND(J$12&gt;=$F122,J$12&lt;=$G122)</formula>
    </cfRule>
  </conditionalFormatting>
  <conditionalFormatting sqref="CU121:DW121">
    <cfRule type="expression" dxfId="19" priority="17" stopIfTrue="1">
      <formula>AND(CU$12&gt;=$F121,CU$12&lt;=$G121)</formula>
    </cfRule>
  </conditionalFormatting>
  <conditionalFormatting sqref="CU122:DW122">
    <cfRule type="expression" dxfId="18" priority="18" stopIfTrue="1">
      <formula>AND(CU$12&gt;=$F122,CU$12&lt;=$G122)</formula>
    </cfRule>
  </conditionalFormatting>
  <conditionalFormatting sqref="DX121:FB121">
    <cfRule type="expression" dxfId="17" priority="15" stopIfTrue="1">
      <formula>AND(DX$12&gt;=$F121,DX$12&lt;=$G121)</formula>
    </cfRule>
  </conditionalFormatting>
  <conditionalFormatting sqref="DX122:FB122">
    <cfRule type="expression" dxfId="16" priority="16" stopIfTrue="1">
      <formula>AND(DX$12&gt;=$F122,DX$12&lt;=$G122)</formula>
    </cfRule>
  </conditionalFormatting>
  <conditionalFormatting sqref="FC121:GB121 GF121:GH121">
    <cfRule type="expression" dxfId="15" priority="13" stopIfTrue="1">
      <formula>AND(FC$12&gt;=$F121,FC$12&lt;=$G121)</formula>
    </cfRule>
  </conditionalFormatting>
  <conditionalFormatting sqref="FC122:GB122 GF122:GH122">
    <cfRule type="expression" dxfId="14" priority="14" stopIfTrue="1">
      <formula>AND(FC$12&gt;=$F122,FC$12&lt;=$G122)</formula>
    </cfRule>
  </conditionalFormatting>
  <conditionalFormatting sqref="GC121:GE121">
    <cfRule type="expression" dxfId="13" priority="11" stopIfTrue="1">
      <formula>AND(GC$12&gt;=$F121,GC$12&lt;=$G121)</formula>
    </cfRule>
  </conditionalFormatting>
  <conditionalFormatting sqref="GC122:GE122">
    <cfRule type="expression" dxfId="12" priority="12" stopIfTrue="1">
      <formula>AND(GC$12&gt;=$F122,GC$12&lt;=$G122)</formula>
    </cfRule>
  </conditionalFormatting>
  <conditionalFormatting sqref="J123:CT123 GI123">
    <cfRule type="expression" dxfId="11" priority="9" stopIfTrue="1">
      <formula>AND(J$12&gt;=$F123,J$12&lt;=$G123)</formula>
    </cfRule>
  </conditionalFormatting>
  <conditionalFormatting sqref="J124:CT124 GI124">
    <cfRule type="expression" dxfId="10" priority="10" stopIfTrue="1">
      <formula>AND(J$12&gt;=$F124,J$12&lt;=$G124)</formula>
    </cfRule>
  </conditionalFormatting>
  <conditionalFormatting sqref="CU123:DW123">
    <cfRule type="expression" dxfId="9" priority="7" stopIfTrue="1">
      <formula>AND(CU$12&gt;=$F123,CU$12&lt;=$G123)</formula>
    </cfRule>
  </conditionalFormatting>
  <conditionalFormatting sqref="CU124:DW124">
    <cfRule type="expression" dxfId="8" priority="8" stopIfTrue="1">
      <formula>AND(CU$12&gt;=$F124,CU$12&lt;=$G124)</formula>
    </cfRule>
  </conditionalFormatting>
  <conditionalFormatting sqref="DX123:FB123">
    <cfRule type="expression" dxfId="7" priority="5" stopIfTrue="1">
      <formula>AND(DX$12&gt;=$F123,DX$12&lt;=$G123)</formula>
    </cfRule>
  </conditionalFormatting>
  <conditionalFormatting sqref="DX124:FB124">
    <cfRule type="expression" dxfId="6" priority="6" stopIfTrue="1">
      <formula>AND(DX$12&gt;=$F124,DX$12&lt;=$G124)</formula>
    </cfRule>
  </conditionalFormatting>
  <conditionalFormatting sqref="FC123:GB123 GF123:GH123">
    <cfRule type="expression" dxfId="5" priority="3" stopIfTrue="1">
      <formula>AND(FC$12&gt;=$F123,FC$12&lt;=$G123)</formula>
    </cfRule>
  </conditionalFormatting>
  <conditionalFormatting sqref="FC124:GB124 GF124:GH124">
    <cfRule type="expression" dxfId="4" priority="4" stopIfTrue="1">
      <formula>AND(FC$12&gt;=$F124,FC$12&lt;=$G124)</formula>
    </cfRule>
  </conditionalFormatting>
  <conditionalFormatting sqref="GC123:GE123">
    <cfRule type="expression" dxfId="3" priority="1" stopIfTrue="1">
      <formula>AND(GC$12&gt;=$F123,GC$12&lt;=$G123)</formula>
    </cfRule>
  </conditionalFormatting>
  <conditionalFormatting sqref="GC124:GE124">
    <cfRule type="expression" dxfId="2" priority="2" stopIfTrue="1">
      <formula>AND(GC$12&gt;=$F124,GC$12&lt;=$G124)</formula>
    </cfRule>
  </conditionalFormatting>
  <dataValidations count="9">
    <dataValidation type="date" imeMode="off" operator="greaterThanOrEqual" allowBlank="1" showInputMessage="1" showErrorMessage="1" sqref="G13:G124">
      <formula1>F13</formula1>
    </dataValidation>
    <dataValidation type="date" imeMode="off" allowBlank="1" showInputMessage="1" showErrorMessage="1" sqref="F13:F124">
      <formula1>$J$12</formula1>
      <formula2>$GI$12</formula2>
    </dataValidation>
    <dataValidation type="date" errorStyle="warning" imeMode="off" operator="greaterThanOrEqual" allowBlank="1" showInputMessage="1" showErrorMessage="1" prompt="管理開始日を入力してください" sqref="C5">
      <formula1>TODAY()</formula1>
    </dataValidation>
    <dataValidation allowBlank="1" showErrorMessage="1" sqref="C11:F11 E3:F4 D3:D6 C6 C3"/>
    <dataValidation type="list" allowBlank="1" showInputMessage="1" showErrorMessage="1" sqref="B19 B123 B117 B119 B49 B53 B51 B55 B45 B47 B37 B41 B39 B43 B33 B35 B25 B29 B27 B31 B21 B23 B13 B17 B15 B121 B109 B113 B111 B115 B105 B107 B97 B101 B99 B103 B93 B95 B85 B89 B87 B91 B81 B83 B73 B77 B75 B79 B69 B71 B61 B65 B63 B67 B57 B59">
      <formula1>分類名</formula1>
    </dataValidation>
    <dataValidation type="list" allowBlank="1" showInputMessage="1" showErrorMessage="1" sqref="D13 D123 D117 D119 D55 D53 D51 D49 D47 D45 D43 D41 D39 D37 D35 D33 D31 D29 D27 D25 D23 D21 D19 D17 D15 D121 D115 D113 D111 D109 D107 D105 D103 D101 D99 D97 D95 D93 D91 D89 D87 D85 D83 D81 D79 D77 D75 D73 D71 D69 D67 D65 D63 D61 D59 D57">
      <formula1>担当名</formula1>
    </dataValidation>
    <dataValidation type="date" errorStyle="warning" imeMode="disabled" operator="greaterThanOrEqual" allowBlank="1" showInputMessage="1" showErrorMessage="1" error="管理開始日を確認してください。" sqref="C4">
      <formula1>TODAY()-180</formula1>
    </dataValidation>
    <dataValidation imeMode="hiragana" allowBlank="1" showInputMessage="1" showErrorMessage="1" sqref="C13 C117 C119 C55 C53 C51 C49 C47 C45 C43 C41 C39 C37 C35 C33 C31 C29 C27 C25 C23 C21 C19 C17 C15 C1 C121 C123 C115 C113 C111 C109 C107 C105 C103 C101 C99 C97 C95 C93 C91 C89 C87 C85 C83 C81 C79 C77 C75 C73 C71 C69 C67 C65 C63 C61 C59 C57"/>
    <dataValidation type="list" imeMode="hiragana" allowBlank="1" showInputMessage="1" sqref="B1">
      <formula1>タイトルリスト</formula1>
    </dataValidation>
  </dataValidations>
  <pageMargins left="0.78740157480314965" right="0.78740157480314965" top="0.78740157480314965" bottom="0.78740157480314965" header="0.51181102362204722" footer="0.51181102362204722"/>
  <pageSetup paperSize="8" scale="45" orientation="landscape" horizontalDpi="4294967293" r:id="rId1"/>
  <headerFooter alignWithMargins="0"/>
  <colBreaks count="1" manualBreakCount="1">
    <brk id="68" max="1048575" man="1"/>
  </colBreak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15"/>
  <sheetViews>
    <sheetView showGridLines="0" workbookViewId="0">
      <selection activeCell="B6" sqref="B6"/>
    </sheetView>
  </sheetViews>
  <sheetFormatPr defaultRowHeight="13.5" x14ac:dyDescent="0.15"/>
  <cols>
    <col min="1" max="1" width="5.75" customWidth="1"/>
    <col min="2" max="2" width="15.125" customWidth="1"/>
    <col min="4" max="4" width="16.375" customWidth="1"/>
    <col min="6" max="6" width="15.5" style="118" bestFit="1" customWidth="1"/>
  </cols>
  <sheetData>
    <row r="1" spans="2:7" x14ac:dyDescent="0.15">
      <c r="F1"/>
    </row>
    <row r="2" spans="2:7" x14ac:dyDescent="0.15">
      <c r="F2"/>
    </row>
    <row r="3" spans="2:7" x14ac:dyDescent="0.15">
      <c r="F3"/>
    </row>
    <row r="4" spans="2:7" x14ac:dyDescent="0.15">
      <c r="F4"/>
    </row>
    <row r="5" spans="2:7" x14ac:dyDescent="0.15">
      <c r="B5" s="107" t="s">
        <v>2</v>
      </c>
      <c r="D5" s="69" t="s">
        <v>15</v>
      </c>
      <c r="F5" s="69" t="s">
        <v>78</v>
      </c>
      <c r="G5" s="119">
        <f ca="1">MATCH(工程管理表!B1,タイトルリスト,0)</f>
        <v>1</v>
      </c>
    </row>
    <row r="6" spans="2:7" x14ac:dyDescent="0.15">
      <c r="B6" s="71"/>
      <c r="D6" s="71"/>
      <c r="F6" s="72" t="s">
        <v>68</v>
      </c>
    </row>
    <row r="7" spans="2:7" x14ac:dyDescent="0.15">
      <c r="B7" s="71"/>
      <c r="D7" s="71"/>
      <c r="F7" s="116" t="s">
        <v>116</v>
      </c>
    </row>
    <row r="8" spans="2:7" x14ac:dyDescent="0.15">
      <c r="B8" s="71"/>
      <c r="D8" s="71"/>
      <c r="F8" s="116"/>
    </row>
    <row r="9" spans="2:7" x14ac:dyDescent="0.15">
      <c r="B9" s="71"/>
      <c r="D9" s="71"/>
      <c r="F9" s="116"/>
    </row>
    <row r="10" spans="2:7" x14ac:dyDescent="0.15">
      <c r="B10" s="71"/>
      <c r="D10" s="71"/>
      <c r="F10" s="116"/>
    </row>
    <row r="11" spans="2:7" x14ac:dyDescent="0.15">
      <c r="B11" s="71"/>
      <c r="D11" s="71"/>
    </row>
    <row r="12" spans="2:7" x14ac:dyDescent="0.15">
      <c r="B12" s="71"/>
      <c r="D12" s="71"/>
    </row>
    <row r="13" spans="2:7" x14ac:dyDescent="0.15">
      <c r="B13" s="71"/>
      <c r="D13" s="71"/>
    </row>
    <row r="14" spans="2:7" x14ac:dyDescent="0.15">
      <c r="B14" s="71"/>
      <c r="D14" s="71"/>
    </row>
    <row r="15" spans="2:7" x14ac:dyDescent="0.15">
      <c r="B15" s="72"/>
      <c r="D15" s="72"/>
    </row>
  </sheetData>
  <sheetProtection selectLockedCells="1"/>
  <phoneticPr fontId="2"/>
  <conditionalFormatting sqref="F6:F65536">
    <cfRule type="expression" dxfId="1" priority="1" stopIfTrue="1">
      <formula>AND(F6&lt;&gt;"",F7="")</formula>
    </cfRule>
    <cfRule type="expression" dxfId="0" priority="2" stopIfTrue="1">
      <formula>F6&lt;&gt;""</formula>
    </cfRule>
  </conditionalFormatting>
  <dataValidations count="1">
    <dataValidation imeMode="hiragana" allowBlank="1" showInputMessage="1" showErrorMessage="1" sqref="D6:D15 B5:B15 F6:F65536"/>
  </dataValidations>
  <pageMargins left="0.75" right="0.75" top="1" bottom="1" header="0.51200000000000001" footer="0.51200000000000001"/>
  <pageSetup paperSize="9"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K28"/>
  <sheetViews>
    <sheetView showGridLines="0" workbookViewId="0"/>
  </sheetViews>
  <sheetFormatPr defaultRowHeight="13.5" x14ac:dyDescent="0.15"/>
  <cols>
    <col min="1" max="1" width="9" style="93"/>
    <col min="2" max="2" width="21.5" style="73" bestFit="1" customWidth="1"/>
    <col min="3" max="3" width="3.375" style="94" bestFit="1" customWidth="1"/>
    <col min="4" max="10" width="9" style="73"/>
    <col min="11" max="11" width="6.25" style="95" customWidth="1"/>
    <col min="12" max="16384" width="9" style="73"/>
  </cols>
  <sheetData>
    <row r="1" spans="1:4" x14ac:dyDescent="0.15">
      <c r="A1" s="93" t="s">
        <v>21</v>
      </c>
    </row>
    <row r="2" spans="1:4" x14ac:dyDescent="0.15">
      <c r="B2" s="96" t="s">
        <v>22</v>
      </c>
      <c r="C2" s="97" t="s">
        <v>23</v>
      </c>
      <c r="D2" s="96" t="s">
        <v>24</v>
      </c>
    </row>
    <row r="3" spans="1:4" x14ac:dyDescent="0.15">
      <c r="B3" s="98"/>
      <c r="C3" s="97" t="s">
        <v>25</v>
      </c>
      <c r="D3" s="96" t="s">
        <v>26</v>
      </c>
    </row>
    <row r="4" spans="1:4" x14ac:dyDescent="0.15">
      <c r="B4" s="98"/>
      <c r="C4" s="97"/>
      <c r="D4" s="98"/>
    </row>
    <row r="5" spans="1:4" x14ac:dyDescent="0.15">
      <c r="B5" s="96" t="s">
        <v>79</v>
      </c>
      <c r="C5" s="97" t="s">
        <v>27</v>
      </c>
      <c r="D5" s="96" t="s">
        <v>110</v>
      </c>
    </row>
    <row r="6" spans="1:4" x14ac:dyDescent="0.15">
      <c r="B6" s="96"/>
      <c r="C6" s="120" t="s">
        <v>80</v>
      </c>
      <c r="D6" s="96" t="s">
        <v>81</v>
      </c>
    </row>
    <row r="7" spans="1:4" ht="12.75" customHeight="1" x14ac:dyDescent="0.15">
      <c r="D7" s="101" t="s">
        <v>99</v>
      </c>
    </row>
    <row r="9" spans="1:4" x14ac:dyDescent="0.15">
      <c r="B9" s="101" t="s">
        <v>82</v>
      </c>
      <c r="C9" s="94" t="s">
        <v>28</v>
      </c>
      <c r="D9" s="101" t="s">
        <v>83</v>
      </c>
    </row>
    <row r="11" spans="1:4" x14ac:dyDescent="0.15">
      <c r="A11" s="93" t="s">
        <v>84</v>
      </c>
    </row>
    <row r="12" spans="1:4" x14ac:dyDescent="0.15">
      <c r="B12" s="96" t="s">
        <v>85</v>
      </c>
      <c r="C12" s="97" t="s">
        <v>29</v>
      </c>
      <c r="D12" s="96" t="s">
        <v>86</v>
      </c>
    </row>
    <row r="13" spans="1:4" x14ac:dyDescent="0.15">
      <c r="C13" s="97" t="s">
        <v>30</v>
      </c>
      <c r="D13" s="96" t="s">
        <v>87</v>
      </c>
    </row>
    <row r="14" spans="1:4" x14ac:dyDescent="0.15">
      <c r="C14" s="97"/>
      <c r="D14" s="98"/>
    </row>
    <row r="15" spans="1:4" hidden="1" x14ac:dyDescent="0.15">
      <c r="B15" s="73" t="s">
        <v>31</v>
      </c>
      <c r="C15" s="99" t="s">
        <v>32</v>
      </c>
      <c r="D15" s="100" t="s">
        <v>33</v>
      </c>
    </row>
    <row r="16" spans="1:4" hidden="1" x14ac:dyDescent="0.15">
      <c r="C16" s="97"/>
      <c r="D16" s="98"/>
    </row>
    <row r="17" spans="2:10" x14ac:dyDescent="0.15">
      <c r="B17" s="96" t="s">
        <v>88</v>
      </c>
      <c r="C17" s="97" t="s">
        <v>34</v>
      </c>
      <c r="D17" s="96" t="s">
        <v>89</v>
      </c>
      <c r="J17" s="101" t="s">
        <v>100</v>
      </c>
    </row>
    <row r="18" spans="2:10" x14ac:dyDescent="0.15">
      <c r="B18" s="96"/>
      <c r="C18" s="99"/>
      <c r="D18" s="96"/>
    </row>
    <row r="19" spans="2:10" x14ac:dyDescent="0.15">
      <c r="B19" s="96" t="s">
        <v>62</v>
      </c>
      <c r="C19" s="99" t="s">
        <v>90</v>
      </c>
      <c r="D19" s="96" t="s">
        <v>91</v>
      </c>
      <c r="J19" s="101" t="s">
        <v>101</v>
      </c>
    </row>
    <row r="20" spans="2:10" x14ac:dyDescent="0.15">
      <c r="B20" s="96"/>
      <c r="D20" s="101" t="s">
        <v>92</v>
      </c>
    </row>
    <row r="21" spans="2:10" x14ac:dyDescent="0.15">
      <c r="B21" s="96" t="s">
        <v>93</v>
      </c>
      <c r="C21" s="121" t="s">
        <v>90</v>
      </c>
      <c r="D21" s="96" t="s">
        <v>94</v>
      </c>
      <c r="J21" s="101" t="s">
        <v>102</v>
      </c>
    </row>
    <row r="22" spans="2:10" x14ac:dyDescent="0.15">
      <c r="B22" s="96"/>
      <c r="C22" s="99"/>
      <c r="D22" s="96"/>
    </row>
    <row r="23" spans="2:10" x14ac:dyDescent="0.15">
      <c r="B23" s="96" t="s">
        <v>95</v>
      </c>
      <c r="C23" s="99" t="s">
        <v>90</v>
      </c>
      <c r="D23" s="96" t="s">
        <v>96</v>
      </c>
      <c r="J23" s="101" t="s">
        <v>103</v>
      </c>
    </row>
    <row r="24" spans="2:10" x14ac:dyDescent="0.15">
      <c r="B24" s="96"/>
      <c r="C24" s="99"/>
      <c r="D24" s="101" t="s">
        <v>97</v>
      </c>
    </row>
    <row r="25" spans="2:10" x14ac:dyDescent="0.15">
      <c r="B25" s="96"/>
      <c r="C25" s="99"/>
      <c r="D25" s="101" t="s">
        <v>98</v>
      </c>
    </row>
    <row r="26" spans="2:10" x14ac:dyDescent="0.15">
      <c r="B26" s="96" t="s">
        <v>105</v>
      </c>
      <c r="C26" s="99" t="s">
        <v>104</v>
      </c>
      <c r="D26" s="101" t="s">
        <v>106</v>
      </c>
    </row>
    <row r="27" spans="2:10" x14ac:dyDescent="0.15">
      <c r="B27" s="96"/>
      <c r="C27" s="99"/>
      <c r="D27" s="101" t="s">
        <v>108</v>
      </c>
      <c r="J27" s="101" t="s">
        <v>107</v>
      </c>
    </row>
    <row r="28" spans="2:10" x14ac:dyDescent="0.15">
      <c r="B28" s="96"/>
      <c r="C28" s="99"/>
      <c r="D28" s="101"/>
      <c r="J28" s="101"/>
    </row>
  </sheetData>
  <phoneticPr fontId="2"/>
  <printOptions horizontalCentered="1"/>
  <pageMargins left="0.78740157480314965" right="0.78740157480314965" top="0.59055118110236227" bottom="0.59055118110236227" header="0.51181102362204722" footer="0.51181102362204722"/>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L35"/>
  <sheetViews>
    <sheetView showGridLines="0" zoomScaleNormal="100" workbookViewId="0"/>
  </sheetViews>
  <sheetFormatPr defaultRowHeight="13.5" x14ac:dyDescent="0.15"/>
  <cols>
    <col min="1" max="1" width="11.875" style="98" customWidth="1"/>
    <col min="2" max="9" width="9" style="98"/>
    <col min="10" max="10" width="4.25" style="98" customWidth="1"/>
    <col min="11" max="16384" width="9" style="98"/>
  </cols>
  <sheetData>
    <row r="1" spans="1:12" x14ac:dyDescent="0.15">
      <c r="A1" s="102" t="s">
        <v>36</v>
      </c>
    </row>
    <row r="3" spans="1:12" x14ac:dyDescent="0.15">
      <c r="A3" s="103" t="s">
        <v>37</v>
      </c>
      <c r="K3" s="103" t="s">
        <v>38</v>
      </c>
    </row>
    <row r="4" spans="1:12" x14ac:dyDescent="0.15">
      <c r="A4" s="98" t="s">
        <v>39</v>
      </c>
      <c r="K4" s="98" t="s">
        <v>39</v>
      </c>
    </row>
    <row r="5" spans="1:12" x14ac:dyDescent="0.15">
      <c r="A5" s="104" t="s">
        <v>23</v>
      </c>
      <c r="B5" s="98" t="s">
        <v>40</v>
      </c>
      <c r="K5" s="104" t="s">
        <v>23</v>
      </c>
      <c r="L5" s="98" t="s">
        <v>41</v>
      </c>
    </row>
    <row r="6" spans="1:12" x14ac:dyDescent="0.15">
      <c r="A6" s="104" t="s">
        <v>25</v>
      </c>
      <c r="B6" s="98" t="s">
        <v>42</v>
      </c>
      <c r="K6" s="104" t="s">
        <v>35</v>
      </c>
      <c r="L6" s="98" t="s">
        <v>43</v>
      </c>
    </row>
    <row r="7" spans="1:12" x14ac:dyDescent="0.15">
      <c r="K7" s="104" t="s">
        <v>44</v>
      </c>
      <c r="L7" s="98" t="s">
        <v>45</v>
      </c>
    </row>
    <row r="8" spans="1:12" x14ac:dyDescent="0.15">
      <c r="K8" s="104" t="s">
        <v>46</v>
      </c>
      <c r="L8" s="98" t="s">
        <v>47</v>
      </c>
    </row>
    <row r="9" spans="1:12" x14ac:dyDescent="0.15">
      <c r="K9" s="104" t="s">
        <v>48</v>
      </c>
      <c r="L9" s="98" t="s">
        <v>49</v>
      </c>
    </row>
    <row r="28" spans="1:12" x14ac:dyDescent="0.15">
      <c r="A28" s="98" t="s">
        <v>50</v>
      </c>
      <c r="K28" s="98" t="s">
        <v>50</v>
      </c>
    </row>
    <row r="29" spans="1:12" x14ac:dyDescent="0.15">
      <c r="A29" s="104" t="s">
        <v>51</v>
      </c>
      <c r="B29" s="98" t="s">
        <v>52</v>
      </c>
      <c r="K29" s="104" t="s">
        <v>53</v>
      </c>
      <c r="L29" s="98" t="s">
        <v>54</v>
      </c>
    </row>
    <row r="30" spans="1:12" x14ac:dyDescent="0.15">
      <c r="A30" s="104" t="s">
        <v>55</v>
      </c>
      <c r="B30" s="98" t="s">
        <v>56</v>
      </c>
    </row>
    <row r="35" spans="11:12" x14ac:dyDescent="0.15">
      <c r="K35" s="104" t="s">
        <v>57</v>
      </c>
      <c r="L35" s="98" t="s">
        <v>58</v>
      </c>
    </row>
  </sheetData>
  <phoneticPr fontId="2"/>
  <printOptions horizontalCentered="1"/>
  <pageMargins left="0.59055118110236227" right="0.59055118110236227" top="0.59055118110236227" bottom="0.59055118110236227"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システム概要</vt:lpstr>
      <vt:lpstr>メニュー</vt:lpstr>
      <vt:lpstr>工程管理表</vt:lpstr>
      <vt:lpstr>マスタ</vt:lpstr>
      <vt:lpstr>操作説明</vt:lpstr>
      <vt:lpstr>マクロに関する設定について</vt:lpstr>
      <vt:lpstr>工程管理表!Print_Titles</vt:lpstr>
      <vt:lpstr>分類タイトル</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dc:creator>
  <cp:lastModifiedBy>FJ-USER</cp:lastModifiedBy>
  <cp:lastPrinted>2017-04-12T12:43:02Z</cp:lastPrinted>
  <dcterms:created xsi:type="dcterms:W3CDTF">2008-08-28T03:42:10Z</dcterms:created>
  <dcterms:modified xsi:type="dcterms:W3CDTF">2017-04-25T14:01:44Z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094adece-ed96-413c-8c4e-c260ad31e346</vt:lpwstr>
  </property>
</Properties>
</file>