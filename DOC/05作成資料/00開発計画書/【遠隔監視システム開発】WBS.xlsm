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0" yWindow="-15" windowWidth="10995" windowHeight="8070" tabRatio="700" activeTab="2"/>
  </bookViews>
  <sheets>
    <sheet name="システム概要" sheetId="22" r:id="rId1"/>
    <sheet name="メニュー" sheetId="25" r:id="rId2"/>
    <sheet name="工程管理表" sheetId="20" r:id="rId3"/>
    <sheet name="マスタ" sheetId="21" r:id="rId4"/>
    <sheet name="操作説明" sheetId="23" r:id="rId5"/>
    <sheet name="マクロに関する設定について" sheetId="24" r:id="rId6"/>
  </sheets>
  <definedNames>
    <definedName name="_xlnm.Print_Titles" localSheetId="2">工程管理表!$A:$D,工程管理表!$12:$12</definedName>
    <definedName name="タイトルリスト">OFFSET(マスタ!$F$5,1,0,COUNTA(マスタ!$F:$F)-1,1)</definedName>
    <definedName name="担当名">OFFSET(マスタ!$D$5,1,0,COUNTA(マスタ!$D:$D)-1,1)</definedName>
    <definedName name="分類タイトル">マスタ!$B$5</definedName>
    <definedName name="分類名">OFFSET(マスタ!$B$5,1,0,COUNTA(マスタ!$B:$B)-1,1)</definedName>
  </definedNames>
  <calcPr calcId="145621"/>
</workbook>
</file>

<file path=xl/calcChain.xml><?xml version="1.0" encoding="utf-8"?>
<calcChain xmlns="http://schemas.openxmlformats.org/spreadsheetml/2006/main">
  <c r="H21" i="20" l="1"/>
  <c r="LQ12" i="20"/>
  <c r="LR12" i="20"/>
  <c r="LS12" i="20"/>
  <c r="LT12" i="20"/>
  <c r="LU12" i="20" s="1"/>
  <c r="LV12" i="20" s="1"/>
  <c r="LW12" i="20" s="1"/>
  <c r="LX12" i="20" s="1"/>
  <c r="LY12" i="20" s="1"/>
  <c r="LZ12" i="20" s="1"/>
  <c r="MA12" i="20" s="1"/>
  <c r="MB12" i="20" s="1"/>
  <c r="MC12" i="20" s="1"/>
  <c r="MD12" i="20" s="1"/>
  <c r="ME12" i="20" s="1"/>
  <c r="MF12" i="20" s="1"/>
  <c r="MG12" i="20" s="1"/>
  <c r="MH12" i="20" s="1"/>
  <c r="MI12" i="20" s="1"/>
  <c r="MJ12" i="20" s="1"/>
  <c r="MK12" i="20" s="1"/>
  <c r="ML12" i="20" s="1"/>
  <c r="MM12" i="20" s="1"/>
  <c r="MN12" i="20" s="1"/>
  <c r="MO12" i="20" s="1"/>
  <c r="MP12" i="20" s="1"/>
  <c r="MQ12" i="20" s="1"/>
  <c r="MR12" i="20" s="1"/>
  <c r="MS12" i="20" s="1"/>
  <c r="MT12" i="20" s="1"/>
  <c r="MU12" i="20" s="1"/>
  <c r="MV12" i="20" s="1"/>
  <c r="MW12" i="20" s="1"/>
  <c r="MX12" i="20" s="1"/>
  <c r="MY12" i="20" s="1"/>
  <c r="MZ12" i="20" s="1"/>
  <c r="NA12" i="20" s="1"/>
  <c r="NB12" i="20" s="1"/>
  <c r="NC12" i="20" s="1"/>
  <c r="ND12" i="20" s="1"/>
  <c r="NE12" i="20" s="1"/>
  <c r="NF12" i="20" s="1"/>
  <c r="NG12" i="20" s="1"/>
  <c r="NH12" i="20" s="1"/>
  <c r="NI12" i="20" s="1"/>
  <c r="NJ12" i="20" s="1"/>
  <c r="NK12" i="20" s="1"/>
  <c r="NL12" i="20" s="1"/>
  <c r="H105" i="20"/>
  <c r="I106" i="20" s="1"/>
  <c r="H106" i="20"/>
  <c r="H107" i="20"/>
  <c r="H108" i="20"/>
  <c r="H109" i="20"/>
  <c r="I110" i="20" s="1"/>
  <c r="H110" i="20"/>
  <c r="H111" i="20"/>
  <c r="H112" i="20"/>
  <c r="H113" i="20"/>
  <c r="I114" i="20" s="1"/>
  <c r="H114" i="20"/>
  <c r="H115" i="20"/>
  <c r="H116" i="20"/>
  <c r="I116" i="20" l="1"/>
  <c r="I108" i="20"/>
  <c r="I112" i="20"/>
  <c r="B58" i="20"/>
  <c r="B60" i="20"/>
  <c r="B62" i="20"/>
  <c r="B64" i="20"/>
  <c r="B66" i="20"/>
  <c r="B68" i="20"/>
  <c r="B70" i="20"/>
  <c r="B72" i="20"/>
  <c r="B74" i="20"/>
  <c r="B76" i="20"/>
  <c r="B78" i="20"/>
  <c r="B80" i="20"/>
  <c r="B82" i="20"/>
  <c r="B84" i="20"/>
  <c r="B86" i="20"/>
  <c r="B88" i="20"/>
  <c r="B90" i="20"/>
  <c r="B92" i="20"/>
  <c r="B94" i="20"/>
  <c r="B96" i="20"/>
  <c r="B98" i="20"/>
  <c r="B100" i="20"/>
  <c r="B102" i="20"/>
  <c r="B104" i="20"/>
  <c r="B106" i="20"/>
  <c r="B108" i="20"/>
  <c r="B110" i="20"/>
  <c r="B112" i="20"/>
  <c r="B114" i="20"/>
  <c r="B116" i="20"/>
  <c r="C58" i="20"/>
  <c r="D58" i="20"/>
  <c r="C60" i="20"/>
  <c r="D60" i="20"/>
  <c r="C62" i="20"/>
  <c r="D62" i="20"/>
  <c r="C64" i="20"/>
  <c r="D64" i="20"/>
  <c r="C66" i="20"/>
  <c r="D66" i="20"/>
  <c r="C68" i="20"/>
  <c r="D68" i="20"/>
  <c r="C70" i="20"/>
  <c r="D70" i="20"/>
  <c r="C72" i="20"/>
  <c r="D72" i="20"/>
  <c r="C74" i="20"/>
  <c r="D74" i="20"/>
  <c r="C76" i="20"/>
  <c r="D76" i="20"/>
  <c r="C78" i="20"/>
  <c r="D78" i="20"/>
  <c r="C80" i="20"/>
  <c r="D80" i="20"/>
  <c r="C82" i="20"/>
  <c r="D82" i="20"/>
  <c r="C84" i="20"/>
  <c r="D84" i="20"/>
  <c r="C86" i="20"/>
  <c r="D86" i="20"/>
  <c r="C88" i="20"/>
  <c r="D88" i="20"/>
  <c r="C90" i="20"/>
  <c r="D90" i="20"/>
  <c r="C92" i="20"/>
  <c r="D92" i="20"/>
  <c r="C94" i="20"/>
  <c r="D94" i="20"/>
  <c r="C96" i="20"/>
  <c r="D96" i="20"/>
  <c r="C98" i="20"/>
  <c r="D98" i="20"/>
  <c r="C100" i="20"/>
  <c r="D100" i="20"/>
  <c r="C102" i="20"/>
  <c r="D102" i="20"/>
  <c r="C104" i="20"/>
  <c r="D104" i="20"/>
  <c r="C106" i="20"/>
  <c r="D106" i="20"/>
  <c r="C108" i="20"/>
  <c r="D108" i="20"/>
  <c r="C110" i="20"/>
  <c r="D110" i="20"/>
  <c r="C112" i="20"/>
  <c r="D112" i="20"/>
  <c r="C114" i="20"/>
  <c r="D114" i="20"/>
  <c r="C116" i="20"/>
  <c r="D116" i="20"/>
  <c r="I124" i="20"/>
  <c r="D124" i="20"/>
  <c r="C124" i="20"/>
  <c r="B124" i="20"/>
  <c r="I122" i="20"/>
  <c r="D122" i="20"/>
  <c r="C122" i="20"/>
  <c r="B122" i="20"/>
  <c r="I120" i="20"/>
  <c r="D120" i="20"/>
  <c r="C120" i="20"/>
  <c r="B120" i="20"/>
  <c r="I118" i="20"/>
  <c r="D118" i="20"/>
  <c r="C118" i="20"/>
  <c r="B118" i="20"/>
  <c r="H17" i="20"/>
  <c r="H18" i="20"/>
  <c r="H19" i="20"/>
  <c r="I20" i="20" s="1"/>
  <c r="H20" i="20"/>
  <c r="H22" i="20"/>
  <c r="H23" i="20"/>
  <c r="I24" i="20" s="1"/>
  <c r="H24" i="20"/>
  <c r="H25" i="20"/>
  <c r="H26" i="20"/>
  <c r="H27" i="20"/>
  <c r="H28" i="20"/>
  <c r="H29" i="20"/>
  <c r="H30" i="20"/>
  <c r="H31" i="20"/>
  <c r="H32" i="20"/>
  <c r="H33" i="20"/>
  <c r="H34" i="20"/>
  <c r="H35" i="20"/>
  <c r="I36" i="20" s="1"/>
  <c r="H36" i="20"/>
  <c r="H37" i="20"/>
  <c r="I38" i="20" s="1"/>
  <c r="H38" i="20"/>
  <c r="H39" i="20"/>
  <c r="I40" i="20" s="1"/>
  <c r="H40" i="20"/>
  <c r="H41" i="20"/>
  <c r="H42" i="20"/>
  <c r="H43" i="20"/>
  <c r="I44" i="20" s="1"/>
  <c r="H44" i="20"/>
  <c r="H45" i="20"/>
  <c r="I46" i="20" s="1"/>
  <c r="H46" i="20"/>
  <c r="H47" i="20"/>
  <c r="H48" i="20"/>
  <c r="H49" i="20"/>
  <c r="H50" i="20"/>
  <c r="H51" i="20"/>
  <c r="H52" i="20"/>
  <c r="H53" i="20"/>
  <c r="I54" i="20" s="1"/>
  <c r="H54" i="20"/>
  <c r="H55" i="20"/>
  <c r="H56" i="20"/>
  <c r="H57" i="20"/>
  <c r="I58" i="20" s="1"/>
  <c r="H58" i="20"/>
  <c r="H59" i="20"/>
  <c r="I60" i="20" s="1"/>
  <c r="H60" i="20"/>
  <c r="H61" i="20"/>
  <c r="I62" i="20" s="1"/>
  <c r="H62" i="20"/>
  <c r="H63" i="20"/>
  <c r="H64" i="20"/>
  <c r="H65" i="20"/>
  <c r="H66" i="20"/>
  <c r="H67" i="20"/>
  <c r="H68" i="20"/>
  <c r="H69" i="20"/>
  <c r="H70" i="20"/>
  <c r="H71" i="20"/>
  <c r="H72" i="20"/>
  <c r="H73" i="20"/>
  <c r="H74" i="20"/>
  <c r="H75" i="20"/>
  <c r="H76" i="20"/>
  <c r="H77" i="20"/>
  <c r="H78" i="20"/>
  <c r="H79" i="20"/>
  <c r="H80" i="20"/>
  <c r="H81" i="20"/>
  <c r="H82" i="20"/>
  <c r="H83" i="20"/>
  <c r="H84" i="20"/>
  <c r="H85" i="20"/>
  <c r="H86" i="20"/>
  <c r="H87" i="20"/>
  <c r="H88" i="20"/>
  <c r="H89" i="20"/>
  <c r="H90" i="20"/>
  <c r="H91" i="20"/>
  <c r="H92" i="20"/>
  <c r="H93" i="20"/>
  <c r="H94" i="20"/>
  <c r="H95" i="20"/>
  <c r="H96" i="20"/>
  <c r="H97" i="20"/>
  <c r="H98" i="20"/>
  <c r="H99" i="20"/>
  <c r="H100" i="20"/>
  <c r="H101" i="20"/>
  <c r="H102" i="20"/>
  <c r="H103" i="20"/>
  <c r="H104" i="20"/>
  <c r="H16" i="20"/>
  <c r="H15" i="20"/>
  <c r="H14" i="20"/>
  <c r="H13" i="20"/>
  <c r="G5" i="21"/>
  <c r="B12" i="20"/>
  <c r="J12" i="20"/>
  <c r="K12" i="20"/>
  <c r="L12" i="20"/>
  <c r="M12" i="20" s="1"/>
  <c r="N12" i="20" s="1"/>
  <c r="O12" i="20" s="1"/>
  <c r="P12" i="20" s="1"/>
  <c r="Q12" i="20" s="1"/>
  <c r="R12" i="20" s="1"/>
  <c r="S12" i="20" s="1"/>
  <c r="T12" i="20" s="1"/>
  <c r="U12" i="20" s="1"/>
  <c r="V12" i="20" s="1"/>
  <c r="W12" i="20" s="1"/>
  <c r="X12" i="20" s="1"/>
  <c r="Y12" i="20" s="1"/>
  <c r="Z12" i="20" s="1"/>
  <c r="AA12" i="20" s="1"/>
  <c r="AB12" i="20" s="1"/>
  <c r="AC12" i="20" s="1"/>
  <c r="AD12" i="20" s="1"/>
  <c r="AE12" i="20" s="1"/>
  <c r="AF12" i="20" s="1"/>
  <c r="AG12" i="20" s="1"/>
  <c r="AH12" i="20" s="1"/>
  <c r="AI12" i="20" s="1"/>
  <c r="AJ12" i="20" s="1"/>
  <c r="AK12" i="20" s="1"/>
  <c r="AL12" i="20" s="1"/>
  <c r="AM12" i="20" s="1"/>
  <c r="AN12" i="20" s="1"/>
  <c r="AO12" i="20" s="1"/>
  <c r="AP12" i="20" s="1"/>
  <c r="AQ12" i="20" s="1"/>
  <c r="AR12" i="20" s="1"/>
  <c r="AS12" i="20" s="1"/>
  <c r="AT12" i="20" s="1"/>
  <c r="AU12" i="20" s="1"/>
  <c r="AV12" i="20" s="1"/>
  <c r="AW12" i="20" s="1"/>
  <c r="AX12" i="20" s="1"/>
  <c r="AY12" i="20" s="1"/>
  <c r="AZ12" i="20" s="1"/>
  <c r="BA12" i="20" s="1"/>
  <c r="BB12" i="20" s="1"/>
  <c r="BC12" i="20" s="1"/>
  <c r="BD12" i="20" s="1"/>
  <c r="BE12" i="20" s="1"/>
  <c r="BF12" i="20" s="1"/>
  <c r="BG12" i="20" s="1"/>
  <c r="BH12" i="20" s="1"/>
  <c r="BI12" i="20" s="1"/>
  <c r="BJ12" i="20" s="1"/>
  <c r="BK12" i="20" s="1"/>
  <c r="BL12" i="20" s="1"/>
  <c r="BM12" i="20" s="1"/>
  <c r="BN12" i="20" s="1"/>
  <c r="BO12" i="20" s="1"/>
  <c r="BP12" i="20" s="1"/>
  <c r="BQ12" i="20" s="1"/>
  <c r="BR12" i="20" s="1"/>
  <c r="BS12" i="20" s="1"/>
  <c r="BT12" i="20" s="1"/>
  <c r="BU12" i="20" s="1"/>
  <c r="BV12" i="20" s="1"/>
  <c r="BW12" i="20" s="1"/>
  <c r="BX12" i="20" s="1"/>
  <c r="BY12" i="20" s="1"/>
  <c r="BZ12" i="20" s="1"/>
  <c r="CA12" i="20" s="1"/>
  <c r="CB12" i="20" s="1"/>
  <c r="CC12" i="20" s="1"/>
  <c r="CD12" i="20" s="1"/>
  <c r="CE12" i="20" s="1"/>
  <c r="CF12" i="20" s="1"/>
  <c r="CG12" i="20" s="1"/>
  <c r="CH12" i="20" s="1"/>
  <c r="CI12" i="20" s="1"/>
  <c r="CJ12" i="20" s="1"/>
  <c r="CK12" i="20" s="1"/>
  <c r="CL12" i="20" s="1"/>
  <c r="CM12" i="20" s="1"/>
  <c r="CN12" i="20" s="1"/>
  <c r="CO12" i="20" s="1"/>
  <c r="CP12" i="20" s="1"/>
  <c r="CQ12" i="20" s="1"/>
  <c r="CR12" i="20" s="1"/>
  <c r="CS12" i="20" s="1"/>
  <c r="CT12" i="20" s="1"/>
  <c r="CU12" i="20" s="1"/>
  <c r="CV12" i="20" s="1"/>
  <c r="CW12" i="20" s="1"/>
  <c r="CX12" i="20" s="1"/>
  <c r="CY12" i="20" s="1"/>
  <c r="CZ12" i="20" s="1"/>
  <c r="DA12" i="20" s="1"/>
  <c r="DB12" i="20" s="1"/>
  <c r="DC12" i="20" s="1"/>
  <c r="DD12" i="20" s="1"/>
  <c r="DE12" i="20" s="1"/>
  <c r="DF12" i="20" s="1"/>
  <c r="DG12" i="20" s="1"/>
  <c r="DH12" i="20" s="1"/>
  <c r="DI12" i="20" s="1"/>
  <c r="DJ12" i="20" s="1"/>
  <c r="DK12" i="20" s="1"/>
  <c r="DL12" i="20" s="1"/>
  <c r="DM12" i="20" s="1"/>
  <c r="DN12" i="20" s="1"/>
  <c r="DO12" i="20" s="1"/>
  <c r="DP12" i="20" s="1"/>
  <c r="DQ12" i="20" s="1"/>
  <c r="DR12" i="20" s="1"/>
  <c r="DS12" i="20" s="1"/>
  <c r="DT12" i="20" s="1"/>
  <c r="DU12" i="20" s="1"/>
  <c r="DV12" i="20" s="1"/>
  <c r="DW12" i="20" s="1"/>
  <c r="DX12" i="20" s="1"/>
  <c r="DY12" i="20" s="1"/>
  <c r="DZ12" i="20" s="1"/>
  <c r="EA12" i="20" s="1"/>
  <c r="EB12" i="20" s="1"/>
  <c r="EC12" i="20" s="1"/>
  <c r="ED12" i="20" s="1"/>
  <c r="EE12" i="20" s="1"/>
  <c r="EF12" i="20" s="1"/>
  <c r="EG12" i="20" s="1"/>
  <c r="EH12" i="20" s="1"/>
  <c r="EI12" i="20" s="1"/>
  <c r="EJ12" i="20" s="1"/>
  <c r="EK12" i="20" s="1"/>
  <c r="EL12" i="20" s="1"/>
  <c r="EM12" i="20" s="1"/>
  <c r="EN12" i="20" s="1"/>
  <c r="EO12" i="20" s="1"/>
  <c r="EP12" i="20" s="1"/>
  <c r="EQ12" i="20" s="1"/>
  <c r="ER12" i="20" s="1"/>
  <c r="ES12" i="20" s="1"/>
  <c r="ET12" i="20" s="1"/>
  <c r="EU12" i="20" s="1"/>
  <c r="EV12" i="20" s="1"/>
  <c r="EW12" i="20" s="1"/>
  <c r="EX12" i="20" s="1"/>
  <c r="EY12" i="20" s="1"/>
  <c r="EZ12" i="20" s="1"/>
  <c r="FA12" i="20" s="1"/>
  <c r="FB12" i="20" s="1"/>
  <c r="FC12" i="20" s="1"/>
  <c r="FD12" i="20" s="1"/>
  <c r="FE12" i="20" s="1"/>
  <c r="FF12" i="20" s="1"/>
  <c r="FG12" i="20" s="1"/>
  <c r="FH12" i="20" s="1"/>
  <c r="FI12" i="20" s="1"/>
  <c r="FJ12" i="20" s="1"/>
  <c r="FK12" i="20" s="1"/>
  <c r="FL12" i="20" s="1"/>
  <c r="FM12" i="20" s="1"/>
  <c r="FN12" i="20" s="1"/>
  <c r="FO12" i="20" s="1"/>
  <c r="FP12" i="20" s="1"/>
  <c r="FQ12" i="20" s="1"/>
  <c r="FR12" i="20" s="1"/>
  <c r="FS12" i="20" s="1"/>
  <c r="FT12" i="20" s="1"/>
  <c r="FU12" i="20" s="1"/>
  <c r="FV12" i="20" s="1"/>
  <c r="FW12" i="20" s="1"/>
  <c r="FX12" i="20" s="1"/>
  <c r="FY12" i="20" s="1"/>
  <c r="FZ12" i="20" s="1"/>
  <c r="GA12" i="20" s="1"/>
  <c r="GB12" i="20" s="1"/>
  <c r="GC12" i="20" s="1"/>
  <c r="GD12" i="20" s="1"/>
  <c r="GE12" i="20" s="1"/>
  <c r="GF12" i="20" s="1"/>
  <c r="GG12" i="20" s="1"/>
  <c r="GH12" i="20" s="1"/>
  <c r="GI12" i="20" s="1"/>
  <c r="GJ12" i="20" s="1"/>
  <c r="GK12" i="20" s="1"/>
  <c r="GL12" i="20" s="1"/>
  <c r="GM12" i="20" s="1"/>
  <c r="GN12" i="20" s="1"/>
  <c r="GO12" i="20" s="1"/>
  <c r="GP12" i="20" s="1"/>
  <c r="GQ12" i="20" s="1"/>
  <c r="GR12" i="20" s="1"/>
  <c r="GS12" i="20" s="1"/>
  <c r="GT12" i="20" s="1"/>
  <c r="GU12" i="20" s="1"/>
  <c r="GV12" i="20" s="1"/>
  <c r="GW12" i="20" s="1"/>
  <c r="GX12" i="20" s="1"/>
  <c r="GY12" i="20" s="1"/>
  <c r="GZ12" i="20" s="1"/>
  <c r="HA12" i="20" s="1"/>
  <c r="HB12" i="20" s="1"/>
  <c r="HC12" i="20" s="1"/>
  <c r="HD12" i="20" s="1"/>
  <c r="HE12" i="20" s="1"/>
  <c r="HF12" i="20" s="1"/>
  <c r="HG12" i="20" s="1"/>
  <c r="HH12" i="20" s="1"/>
  <c r="HI12" i="20" s="1"/>
  <c r="HJ12" i="20" s="1"/>
  <c r="HK12" i="20" s="1"/>
  <c r="HL12" i="20" s="1"/>
  <c r="HM12" i="20" s="1"/>
  <c r="HN12" i="20" s="1"/>
  <c r="HO12" i="20" s="1"/>
  <c r="HP12" i="20" s="1"/>
  <c r="HQ12" i="20" s="1"/>
  <c r="HR12" i="20" s="1"/>
  <c r="HS12" i="20" s="1"/>
  <c r="HT12" i="20" s="1"/>
  <c r="HU12" i="20" s="1"/>
  <c r="HV12" i="20" s="1"/>
  <c r="HW12" i="20" s="1"/>
  <c r="HX12" i="20" s="1"/>
  <c r="HY12" i="20" s="1"/>
  <c r="HZ12" i="20" s="1"/>
  <c r="IA12" i="20" s="1"/>
  <c r="IB12" i="20" s="1"/>
  <c r="IC12" i="20" s="1"/>
  <c r="ID12" i="20" s="1"/>
  <c r="IE12" i="20" s="1"/>
  <c r="IF12" i="20" s="1"/>
  <c r="IG12" i="20" s="1"/>
  <c r="IH12" i="20" s="1"/>
  <c r="II12" i="20" s="1"/>
  <c r="IJ12" i="20" s="1"/>
  <c r="IK12" i="20" s="1"/>
  <c r="IL12" i="20" s="1"/>
  <c r="IM12" i="20" s="1"/>
  <c r="IN12" i="20" s="1"/>
  <c r="IO12" i="20" s="1"/>
  <c r="IP12" i="20" s="1"/>
  <c r="IQ12" i="20" s="1"/>
  <c r="IR12" i="20" s="1"/>
  <c r="IS12" i="20" s="1"/>
  <c r="IT12" i="20" s="1"/>
  <c r="IU12" i="20" s="1"/>
  <c r="IV12" i="20" s="1"/>
  <c r="IW12" i="20" s="1"/>
  <c r="IX12" i="20" s="1"/>
  <c r="IY12" i="20" s="1"/>
  <c r="IZ12" i="20" s="1"/>
  <c r="JA12" i="20" s="1"/>
  <c r="JB12" i="20" s="1"/>
  <c r="JC12" i="20" s="1"/>
  <c r="JD12" i="20" s="1"/>
  <c r="JE12" i="20" s="1"/>
  <c r="JF12" i="20" s="1"/>
  <c r="JG12" i="20" s="1"/>
  <c r="JH12" i="20" s="1"/>
  <c r="JI12" i="20" s="1"/>
  <c r="JJ12" i="20" s="1"/>
  <c r="JK12" i="20" s="1"/>
  <c r="JL12" i="20" s="1"/>
  <c r="JM12" i="20" s="1"/>
  <c r="JN12" i="20" s="1"/>
  <c r="JO12" i="20" s="1"/>
  <c r="JP12" i="20" s="1"/>
  <c r="JQ12" i="20" s="1"/>
  <c r="JR12" i="20" s="1"/>
  <c r="JS12" i="20" s="1"/>
  <c r="JT12" i="20" s="1"/>
  <c r="JU12" i="20" s="1"/>
  <c r="JV12" i="20" s="1"/>
  <c r="JW12" i="20" s="1"/>
  <c r="JX12" i="20" s="1"/>
  <c r="JY12" i="20" s="1"/>
  <c r="JZ12" i="20" s="1"/>
  <c r="KA12" i="20" s="1"/>
  <c r="KB12" i="20" s="1"/>
  <c r="KC12" i="20" s="1"/>
  <c r="KD12" i="20" s="1"/>
  <c r="KE12" i="20" s="1"/>
  <c r="KF12" i="20" s="1"/>
  <c r="KG12" i="20" s="1"/>
  <c r="KH12" i="20" s="1"/>
  <c r="KI12" i="20" s="1"/>
  <c r="KJ12" i="20" s="1"/>
  <c r="KK12" i="20" s="1"/>
  <c r="KL12" i="20" s="1"/>
  <c r="KM12" i="20" s="1"/>
  <c r="KN12" i="20" s="1"/>
  <c r="KO12" i="20" s="1"/>
  <c r="KP12" i="20" s="1"/>
  <c r="KQ12" i="20" s="1"/>
  <c r="KR12" i="20" s="1"/>
  <c r="KS12" i="20" s="1"/>
  <c r="KT12" i="20" s="1"/>
  <c r="KU12" i="20" s="1"/>
  <c r="KV12" i="20" s="1"/>
  <c r="KW12" i="20" s="1"/>
  <c r="KX12" i="20" s="1"/>
  <c r="KY12" i="20" s="1"/>
  <c r="KZ12" i="20" s="1"/>
  <c r="LA12" i="20" s="1"/>
  <c r="LB12" i="20" s="1"/>
  <c r="LC12" i="20" s="1"/>
  <c r="LD12" i="20" s="1"/>
  <c r="LE12" i="20" s="1"/>
  <c r="LF12" i="20" s="1"/>
  <c r="LG12" i="20" s="1"/>
  <c r="LH12" i="20" s="1"/>
  <c r="LI12" i="20" s="1"/>
  <c r="LJ12" i="20" s="1"/>
  <c r="LK12" i="20" s="1"/>
  <c r="LL12" i="20" s="1"/>
  <c r="LM12" i="20" s="1"/>
  <c r="LN12" i="20" s="1"/>
  <c r="LO12" i="20" s="1"/>
  <c r="LP12" i="20" s="1"/>
  <c r="B28" i="20"/>
  <c r="B26" i="20"/>
  <c r="B24" i="20"/>
  <c r="B22" i="20"/>
  <c r="B20" i="20"/>
  <c r="B18" i="20"/>
  <c r="C18" i="20"/>
  <c r="C20" i="20"/>
  <c r="C22" i="20"/>
  <c r="C24" i="20"/>
  <c r="C26" i="20"/>
  <c r="I26" i="20"/>
  <c r="C7" i="20"/>
  <c r="C8" i="20"/>
  <c r="A14" i="20"/>
  <c r="B14" i="20"/>
  <c r="C14" i="20"/>
  <c r="D14" i="20"/>
  <c r="A16" i="20"/>
  <c r="B16" i="20"/>
  <c r="C16" i="20"/>
  <c r="D16" i="20"/>
  <c r="A18" i="20"/>
  <c r="A20" i="20"/>
  <c r="A22" i="20"/>
  <c r="A24" i="20"/>
  <c r="A26" i="20"/>
  <c r="D26" i="20"/>
  <c r="A28" i="20"/>
  <c r="C28" i="20"/>
  <c r="D28" i="20"/>
  <c r="I28" i="20"/>
  <c r="A30" i="20"/>
  <c r="B30" i="20"/>
  <c r="C30" i="20"/>
  <c r="D30" i="20"/>
  <c r="I30" i="20"/>
  <c r="A32" i="20"/>
  <c r="B32" i="20"/>
  <c r="C32" i="20"/>
  <c r="D32" i="20"/>
  <c r="I32" i="20"/>
  <c r="A34" i="20"/>
  <c r="B34" i="20"/>
  <c r="C34" i="20"/>
  <c r="D34" i="20"/>
  <c r="A36" i="20"/>
  <c r="B36" i="20"/>
  <c r="C36" i="20"/>
  <c r="D36" i="20"/>
  <c r="A38" i="20"/>
  <c r="B38" i="20"/>
  <c r="C38" i="20"/>
  <c r="D38" i="20"/>
  <c r="A40" i="20"/>
  <c r="B40" i="20"/>
  <c r="C40" i="20"/>
  <c r="D40" i="20"/>
  <c r="A42" i="20"/>
  <c r="B42" i="20"/>
  <c r="C42" i="20"/>
  <c r="D42" i="20"/>
  <c r="A44" i="20"/>
  <c r="B44" i="20"/>
  <c r="C44" i="20"/>
  <c r="D44" i="20"/>
  <c r="A46" i="20"/>
  <c r="B46" i="20"/>
  <c r="C46" i="20"/>
  <c r="D46" i="20"/>
  <c r="A48" i="20"/>
  <c r="B48" i="20"/>
  <c r="C48" i="20"/>
  <c r="D48" i="20"/>
  <c r="I48" i="20"/>
  <c r="A50" i="20"/>
  <c r="B50" i="20"/>
  <c r="C50" i="20"/>
  <c r="D50" i="20"/>
  <c r="A52" i="20"/>
  <c r="B52" i="20"/>
  <c r="C52" i="20"/>
  <c r="D52" i="20"/>
  <c r="I52" i="20"/>
  <c r="A54" i="20"/>
  <c r="B54" i="20"/>
  <c r="C54" i="20"/>
  <c r="D54" i="20"/>
  <c r="A56" i="20"/>
  <c r="B56" i="20"/>
  <c r="C56" i="20"/>
  <c r="D56" i="20"/>
  <c r="I56" i="20"/>
  <c r="A58" i="20"/>
  <c r="A60" i="20"/>
  <c r="A62" i="20"/>
  <c r="A64" i="20"/>
  <c r="I64" i="20"/>
  <c r="A66" i="20"/>
  <c r="I66" i="20"/>
  <c r="A68" i="20"/>
  <c r="I68" i="20"/>
  <c r="A70" i="20"/>
  <c r="I70" i="20"/>
  <c r="A72" i="20"/>
  <c r="I72" i="20"/>
  <c r="A74" i="20"/>
  <c r="I74" i="20"/>
  <c r="A76" i="20"/>
  <c r="I76" i="20"/>
  <c r="A78" i="20"/>
  <c r="I78" i="20"/>
  <c r="A80" i="20"/>
  <c r="I80" i="20"/>
  <c r="A82" i="20"/>
  <c r="I82" i="20"/>
  <c r="A84" i="20"/>
  <c r="I84" i="20"/>
  <c r="A86" i="20"/>
  <c r="I86" i="20"/>
  <c r="A88" i="20"/>
  <c r="I88" i="20"/>
  <c r="A90" i="20"/>
  <c r="I90" i="20"/>
  <c r="A92" i="20"/>
  <c r="I92" i="20"/>
  <c r="A94" i="20"/>
  <c r="I94" i="20"/>
  <c r="A96" i="20"/>
  <c r="I96" i="20"/>
  <c r="A98" i="20"/>
  <c r="I98" i="20"/>
  <c r="A100" i="20"/>
  <c r="I100" i="20"/>
  <c r="A102" i="20"/>
  <c r="I102" i="20"/>
  <c r="A104" i="20"/>
  <c r="I104" i="20"/>
  <c r="A106" i="20"/>
  <c r="A108" i="20"/>
  <c r="A110" i="20"/>
  <c r="A112" i="20"/>
  <c r="I14" i="20"/>
  <c r="I50" i="20" l="1"/>
  <c r="I42" i="20"/>
  <c r="I34" i="20"/>
  <c r="I16" i="20"/>
  <c r="I22" i="20"/>
  <c r="I18" i="20"/>
  <c r="C9" i="20"/>
</calcChain>
</file>

<file path=xl/comments1.xml><?xml version="1.0" encoding="utf-8"?>
<comments xmlns="http://schemas.openxmlformats.org/spreadsheetml/2006/main">
  <authors>
    <author>Reiko Shibuya</author>
    <author>Administrator</author>
  </authors>
  <commentList>
    <comment ref="B1" authorId="0">
      <text>
        <r>
          <rPr>
            <sz val="9"/>
            <color indexed="81"/>
            <rFont val="ＭＳ Ｐゴシック"/>
            <family val="3"/>
            <charset val="128"/>
          </rPr>
          <t xml:space="preserve">
ドロップダウンから選択するか、直接入力できます。</t>
        </r>
      </text>
    </comment>
    <comment ref="C4" authorId="1">
      <text>
        <r>
          <rPr>
            <sz val="9"/>
            <color indexed="81"/>
            <rFont val="ＭＳ Ｐゴシック"/>
            <family val="3"/>
            <charset val="128"/>
          </rPr>
          <t xml:space="preserve">
管理開始日を入力してください。</t>
        </r>
      </text>
    </comment>
    <comment ref="B12" authorId="0">
      <text>
        <r>
          <rPr>
            <sz val="9"/>
            <color indexed="81"/>
            <rFont val="ＭＳ Ｐゴシック"/>
            <family val="3"/>
            <charset val="128"/>
          </rPr>
          <t>ドロップダウンから選択してください。</t>
        </r>
      </text>
    </comment>
    <comment ref="C12" authorId="0">
      <text>
        <r>
          <rPr>
            <sz val="9"/>
            <color indexed="81"/>
            <rFont val="ＭＳ Ｐゴシック"/>
            <family val="3"/>
            <charset val="128"/>
          </rPr>
          <t>作業名を入力してください。</t>
        </r>
      </text>
    </comment>
    <comment ref="D12" authorId="0">
      <text>
        <r>
          <rPr>
            <sz val="9"/>
            <color indexed="81"/>
            <rFont val="ＭＳ Ｐゴシック"/>
            <family val="3"/>
            <charset val="128"/>
          </rPr>
          <t xml:space="preserve">担当者名を入力してください。
</t>
        </r>
      </text>
    </comment>
    <comment ref="F12" authorId="0">
      <text>
        <r>
          <rPr>
            <sz val="9"/>
            <color indexed="81"/>
            <rFont val="ＭＳ Ｐゴシック"/>
            <family val="3"/>
            <charset val="128"/>
          </rPr>
          <t xml:space="preserve">作業開始の日付を入力してください。
</t>
        </r>
      </text>
    </comment>
    <comment ref="G12" authorId="0">
      <text>
        <r>
          <rPr>
            <sz val="9"/>
            <color indexed="81"/>
            <rFont val="ＭＳ Ｐゴシック"/>
            <family val="3"/>
            <charset val="128"/>
          </rPr>
          <t xml:space="preserve">作業終了の日付を入力してください。
</t>
        </r>
      </text>
    </comment>
  </commentList>
</comments>
</file>

<file path=xl/comments2.xml><?xml version="1.0" encoding="utf-8"?>
<comments xmlns="http://schemas.openxmlformats.org/spreadsheetml/2006/main">
  <authors>
    <author>Reiko Shibuya</author>
  </authors>
  <commentList>
    <comment ref="B5" authorId="0">
      <text>
        <r>
          <rPr>
            <sz val="9"/>
            <color indexed="81"/>
            <rFont val="ＭＳ Ｐゴシック"/>
            <family val="3"/>
            <charset val="128"/>
          </rPr>
          <t xml:space="preserve">このセルは編集できます。入力した内容が、「工程管理表」シートのセルB12に反映されます。
</t>
        </r>
      </text>
    </comment>
  </commentList>
</comments>
</file>

<file path=xl/sharedStrings.xml><?xml version="1.0" encoding="utf-8"?>
<sst xmlns="http://schemas.openxmlformats.org/spreadsheetml/2006/main" count="402" uniqueCount="194">
  <si>
    <t>実績</t>
    <rPh sb="0" eb="2">
      <t>ジッセキ</t>
    </rPh>
    <phoneticPr fontId="2"/>
  </si>
  <si>
    <t>管理開始日</t>
    <rPh sb="0" eb="2">
      <t>カンリ</t>
    </rPh>
    <rPh sb="2" eb="5">
      <t>カイシビ</t>
    </rPh>
    <phoneticPr fontId="2"/>
  </si>
  <si>
    <t>分類名</t>
    <rPh sb="0" eb="2">
      <t>ブンルイ</t>
    </rPh>
    <rPh sb="2" eb="3">
      <t>メイ</t>
    </rPh>
    <phoneticPr fontId="2"/>
  </si>
  <si>
    <t>予定合計</t>
    <rPh sb="0" eb="2">
      <t>ヨテイ</t>
    </rPh>
    <rPh sb="2" eb="4">
      <t>ゴウケイ</t>
    </rPh>
    <phoneticPr fontId="2"/>
  </si>
  <si>
    <t>実績合計</t>
    <rPh sb="0" eb="2">
      <t>ジッセキ</t>
    </rPh>
    <rPh sb="2" eb="4">
      <t>ゴウケイ</t>
    </rPh>
    <phoneticPr fontId="2"/>
  </si>
  <si>
    <t>差</t>
    <rPh sb="0" eb="1">
      <t>サ</t>
    </rPh>
    <phoneticPr fontId="2"/>
  </si>
  <si>
    <t>作業名</t>
    <rPh sb="0" eb="2">
      <t>サギョウ</t>
    </rPh>
    <rPh sb="2" eb="3">
      <t>メイ</t>
    </rPh>
    <phoneticPr fontId="2"/>
  </si>
  <si>
    <t>担当者名</t>
    <rPh sb="0" eb="2">
      <t>タントウ</t>
    </rPh>
    <rPh sb="2" eb="3">
      <t>シャ</t>
    </rPh>
    <rPh sb="3" eb="4">
      <t>メイ</t>
    </rPh>
    <phoneticPr fontId="2"/>
  </si>
  <si>
    <t>予定
実績</t>
    <rPh sb="0" eb="2">
      <t>ヨテイ</t>
    </rPh>
    <rPh sb="3" eb="5">
      <t>ジッセキ</t>
    </rPh>
    <phoneticPr fontId="2"/>
  </si>
  <si>
    <t>開始日</t>
    <rPh sb="0" eb="3">
      <t>カイシビ</t>
    </rPh>
    <phoneticPr fontId="2"/>
  </si>
  <si>
    <t>終了日</t>
    <rPh sb="0" eb="3">
      <t>シュウリョウビ</t>
    </rPh>
    <phoneticPr fontId="2"/>
  </si>
  <si>
    <t>工数</t>
    <rPh sb="0" eb="2">
      <t>コウスウ</t>
    </rPh>
    <phoneticPr fontId="2"/>
  </si>
  <si>
    <t>予実差</t>
    <rPh sb="0" eb="1">
      <t>ヨ</t>
    </rPh>
    <rPh sb="1" eb="2">
      <t>ジツ</t>
    </rPh>
    <rPh sb="2" eb="3">
      <t>サ</t>
    </rPh>
    <phoneticPr fontId="2"/>
  </si>
  <si>
    <t>予定</t>
    <rPh sb="0" eb="2">
      <t>ヨテイ</t>
    </rPh>
    <phoneticPr fontId="2"/>
  </si>
  <si>
    <t>No</t>
    <phoneticPr fontId="2"/>
  </si>
  <si>
    <t>担当者名</t>
    <rPh sb="0" eb="3">
      <t>タントウシャ</t>
    </rPh>
    <rPh sb="3" eb="4">
      <t>メイ</t>
    </rPh>
    <phoneticPr fontId="2"/>
  </si>
  <si>
    <t>メニューへ</t>
    <phoneticPr fontId="2"/>
  </si>
  <si>
    <t>概要</t>
    <rPh sb="0" eb="2">
      <t>ガイヨウ</t>
    </rPh>
    <phoneticPr fontId="2"/>
  </si>
  <si>
    <t>機能</t>
    <rPh sb="0" eb="2">
      <t>キノウ</t>
    </rPh>
    <phoneticPr fontId="2"/>
  </si>
  <si>
    <t>マスタの入力</t>
    <rPh sb="4" eb="6">
      <t>ニュウリョク</t>
    </rPh>
    <phoneticPr fontId="2"/>
  </si>
  <si>
    <t>こんな時は</t>
    <rPh sb="3" eb="4">
      <t>トキ</t>
    </rPh>
    <phoneticPr fontId="2"/>
  </si>
  <si>
    <t>１．マスタの登録</t>
    <rPh sb="6" eb="8">
      <t>トウロク</t>
    </rPh>
    <phoneticPr fontId="2"/>
  </si>
  <si>
    <t>マスタ登録シートへ移行</t>
    <rPh sb="3" eb="5">
      <t>トウロク</t>
    </rPh>
    <rPh sb="9" eb="11">
      <t>イコウ</t>
    </rPh>
    <phoneticPr fontId="2"/>
  </si>
  <si>
    <t>①</t>
    <phoneticPr fontId="2"/>
  </si>
  <si>
    <t>メニュー画面で「マスタ」をクリックします。　</t>
    <rPh sb="4" eb="6">
      <t>ガメン</t>
    </rPh>
    <phoneticPr fontId="2"/>
  </si>
  <si>
    <t>②</t>
    <phoneticPr fontId="2"/>
  </si>
  <si>
    <t>マスタシートに移行します。</t>
    <rPh sb="7" eb="9">
      <t>イコウ</t>
    </rPh>
    <phoneticPr fontId="2"/>
  </si>
  <si>
    <t>①</t>
    <phoneticPr fontId="2"/>
  </si>
  <si>
    <t>①</t>
    <phoneticPr fontId="2"/>
  </si>
  <si>
    <t>①</t>
    <phoneticPr fontId="2"/>
  </si>
  <si>
    <t>②</t>
    <phoneticPr fontId="2"/>
  </si>
  <si>
    <t>部門の入力</t>
    <rPh sb="0" eb="2">
      <t>ブモン</t>
    </rPh>
    <rPh sb="3" eb="5">
      <t>ニュウリョク</t>
    </rPh>
    <phoneticPr fontId="2"/>
  </si>
  <si>
    <t>①</t>
    <phoneticPr fontId="2"/>
  </si>
  <si>
    <t>「部門」欄で部門を選択します。</t>
    <rPh sb="1" eb="3">
      <t>ブモン</t>
    </rPh>
    <rPh sb="4" eb="5">
      <t>ラン</t>
    </rPh>
    <rPh sb="6" eb="8">
      <t>ブモン</t>
    </rPh>
    <rPh sb="9" eb="11">
      <t>センタク</t>
    </rPh>
    <phoneticPr fontId="2"/>
  </si>
  <si>
    <t>①</t>
    <phoneticPr fontId="2"/>
  </si>
  <si>
    <t>②</t>
    <phoneticPr fontId="2"/>
  </si>
  <si>
    <t>※このファイルには「マクロ」が含まれています。マクロ機能を有効にするために、以下を確認してください。</t>
    <rPh sb="15" eb="16">
      <t>フク</t>
    </rPh>
    <rPh sb="26" eb="28">
      <t>キノウ</t>
    </rPh>
    <rPh sb="29" eb="31">
      <t>ユウコウ</t>
    </rPh>
    <rPh sb="38" eb="40">
      <t>イカ</t>
    </rPh>
    <rPh sb="41" eb="43">
      <t>カクニン</t>
    </rPh>
    <phoneticPr fontId="2"/>
  </si>
  <si>
    <t>Excel2000～2003の場合</t>
    <rPh sb="15" eb="17">
      <t>バアイ</t>
    </rPh>
    <phoneticPr fontId="2"/>
  </si>
  <si>
    <t>Excel2007の場合</t>
    <rPh sb="10" eb="12">
      <t>バアイ</t>
    </rPh>
    <phoneticPr fontId="2"/>
  </si>
  <si>
    <t>【セキュリティレベルの設定】</t>
    <phoneticPr fontId="2"/>
  </si>
  <si>
    <t>「ツール」メニューの「マクロ」から「セキュリティ」をクリックします。</t>
    <phoneticPr fontId="2"/>
  </si>
  <si>
    <t>Officeボタンをクリックし、「Excelのオプション」をクリックします。</t>
    <phoneticPr fontId="2"/>
  </si>
  <si>
    <t>「セキュリティ」ダイアログが開きます。「中」を選択して「OK」をクリックします。</t>
    <rPh sb="14" eb="15">
      <t>ヒラ</t>
    </rPh>
    <rPh sb="20" eb="21">
      <t>チュウ</t>
    </rPh>
    <rPh sb="23" eb="25">
      <t>センタク</t>
    </rPh>
    <phoneticPr fontId="2"/>
  </si>
  <si>
    <t>「Excelのオプション」画面が開きます。「セキュリティ」をクリックし、</t>
    <rPh sb="13" eb="15">
      <t>ガメン</t>
    </rPh>
    <rPh sb="16" eb="17">
      <t>ヒラ</t>
    </rPh>
    <phoneticPr fontId="2"/>
  </si>
  <si>
    <t>③</t>
    <phoneticPr fontId="2"/>
  </si>
  <si>
    <t>「セキュリティセンター」をクリックします。</t>
    <phoneticPr fontId="2"/>
  </si>
  <si>
    <t>④</t>
    <phoneticPr fontId="2"/>
  </si>
  <si>
    <t>「セキュリティセンター」画面が開きます。マクロの設定をクリックします。</t>
    <rPh sb="12" eb="14">
      <t>ガメン</t>
    </rPh>
    <rPh sb="15" eb="16">
      <t>ヒラ</t>
    </rPh>
    <rPh sb="24" eb="26">
      <t>セッテイ</t>
    </rPh>
    <phoneticPr fontId="2"/>
  </si>
  <si>
    <t>⑤</t>
    <phoneticPr fontId="2"/>
  </si>
  <si>
    <t>「警告を表示してすべてのマクロを無効にする」をクリックします。</t>
    <rPh sb="1" eb="3">
      <t>ケイコク</t>
    </rPh>
    <rPh sb="4" eb="6">
      <t>ヒョウジ</t>
    </rPh>
    <rPh sb="16" eb="18">
      <t>ムコウ</t>
    </rPh>
    <phoneticPr fontId="2"/>
  </si>
  <si>
    <t>【マクロの有効化】</t>
    <rPh sb="5" eb="8">
      <t>ユウコウカ</t>
    </rPh>
    <phoneticPr fontId="2"/>
  </si>
  <si>
    <t>①</t>
    <phoneticPr fontId="2"/>
  </si>
  <si>
    <t>ファイルを開くときに「セキュリティ警告」メッセージが表示されます。</t>
    <rPh sb="5" eb="6">
      <t>ヒラ</t>
    </rPh>
    <rPh sb="17" eb="19">
      <t>ケイコク</t>
    </rPh>
    <rPh sb="26" eb="28">
      <t>ヒョウジ</t>
    </rPh>
    <phoneticPr fontId="2"/>
  </si>
  <si>
    <t>①</t>
    <phoneticPr fontId="2"/>
  </si>
  <si>
    <t>ファイルを開くと「セキュリティ警告」が表示されます。「オプション」をクリックします。</t>
    <rPh sb="5" eb="6">
      <t>ヒラ</t>
    </rPh>
    <rPh sb="15" eb="17">
      <t>ケイコク</t>
    </rPh>
    <rPh sb="19" eb="21">
      <t>ヒョウジ</t>
    </rPh>
    <phoneticPr fontId="2"/>
  </si>
  <si>
    <t>②</t>
    <phoneticPr fontId="2"/>
  </si>
  <si>
    <t>「マクロを有効にする」をクリックします。</t>
    <rPh sb="5" eb="7">
      <t>ユウコウ</t>
    </rPh>
    <phoneticPr fontId="2"/>
  </si>
  <si>
    <t>②</t>
    <phoneticPr fontId="2"/>
  </si>
  <si>
    <t>「このコンテンツを有効にする」を選択し、「OK」をクリックします。</t>
    <rPh sb="9" eb="11">
      <t>ユウコウ</t>
    </rPh>
    <rPh sb="16" eb="18">
      <t>センタク</t>
    </rPh>
    <phoneticPr fontId="2"/>
  </si>
  <si>
    <t>工程管理</t>
    <rPh sb="0" eb="2">
      <t>コウテイ</t>
    </rPh>
    <rPh sb="2" eb="4">
      <t>カンリ</t>
    </rPh>
    <phoneticPr fontId="2"/>
  </si>
  <si>
    <t>本システムは、プロジェクト等の工程を管理すること目的としています。</t>
    <rPh sb="0" eb="1">
      <t>ホン</t>
    </rPh>
    <rPh sb="13" eb="14">
      <t>トウ</t>
    </rPh>
    <rPh sb="15" eb="17">
      <t>コウテイ</t>
    </rPh>
    <rPh sb="18" eb="20">
      <t>カンリ</t>
    </rPh>
    <rPh sb="24" eb="26">
      <t>モクテキ</t>
    </rPh>
    <phoneticPr fontId="2"/>
  </si>
  <si>
    <t>タスクの開始日と終了日を入力することで、所要日数を視覚的に把握することができます。</t>
    <rPh sb="4" eb="7">
      <t>カイシビ</t>
    </rPh>
    <rPh sb="8" eb="11">
      <t>シュウリョウビ</t>
    </rPh>
    <rPh sb="12" eb="14">
      <t>ニュウリョク</t>
    </rPh>
    <rPh sb="20" eb="22">
      <t>ショヨウ</t>
    </rPh>
    <rPh sb="22" eb="24">
      <t>ニッスウ</t>
    </rPh>
    <rPh sb="25" eb="28">
      <t>シカクテキ</t>
    </rPh>
    <rPh sb="29" eb="31">
      <t>ハアク</t>
    </rPh>
    <phoneticPr fontId="2"/>
  </si>
  <si>
    <t>管理開始日の入力</t>
    <rPh sb="0" eb="2">
      <t>カンリ</t>
    </rPh>
    <rPh sb="2" eb="4">
      <t>カイシ</t>
    </rPh>
    <rPh sb="4" eb="5">
      <t>ヒ</t>
    </rPh>
    <rPh sb="6" eb="8">
      <t>ニュウリョク</t>
    </rPh>
    <phoneticPr fontId="2"/>
  </si>
  <si>
    <t>管理対象の開始日を入力します。</t>
    <rPh sb="0" eb="2">
      <t>カンリ</t>
    </rPh>
    <rPh sb="2" eb="4">
      <t>タイショウ</t>
    </rPh>
    <rPh sb="5" eb="8">
      <t>カイシビ</t>
    </rPh>
    <rPh sb="9" eb="11">
      <t>ニュウリョク</t>
    </rPh>
    <phoneticPr fontId="2"/>
  </si>
  <si>
    <t>カレンダーの自動表示</t>
    <rPh sb="6" eb="8">
      <t>ジドウ</t>
    </rPh>
    <rPh sb="8" eb="10">
      <t>ヒョウジ</t>
    </rPh>
    <phoneticPr fontId="2"/>
  </si>
  <si>
    <t>予定と実績の入力</t>
    <rPh sb="0" eb="2">
      <t>ヨテイ</t>
    </rPh>
    <rPh sb="3" eb="5">
      <t>ジッセキ</t>
    </rPh>
    <rPh sb="6" eb="8">
      <t>ニュウリョク</t>
    </rPh>
    <phoneticPr fontId="2"/>
  </si>
  <si>
    <t>タスクの開始日と終了日を入力します。所要日数が数値およびカレンダーに色づけされて表示されます。</t>
    <rPh sb="4" eb="7">
      <t>カイシビ</t>
    </rPh>
    <rPh sb="8" eb="11">
      <t>シュウリョウビ</t>
    </rPh>
    <rPh sb="12" eb="14">
      <t>ニュウリョク</t>
    </rPh>
    <rPh sb="18" eb="20">
      <t>ショヨウ</t>
    </rPh>
    <rPh sb="20" eb="22">
      <t>ニッスウ</t>
    </rPh>
    <rPh sb="23" eb="25">
      <t>スウチ</t>
    </rPh>
    <rPh sb="34" eb="35">
      <t>イロ</t>
    </rPh>
    <rPh sb="40" eb="42">
      <t>ヒョウジ</t>
    </rPh>
    <phoneticPr fontId="2"/>
  </si>
  <si>
    <t>開始日から90日間の日付を自動表示します。</t>
    <rPh sb="0" eb="3">
      <t>カイシビ</t>
    </rPh>
    <rPh sb="7" eb="9">
      <t>ニチカン</t>
    </rPh>
    <rPh sb="10" eb="12">
      <t>ヒヅケ</t>
    </rPh>
    <rPh sb="13" eb="15">
      <t>ジドウ</t>
    </rPh>
    <rPh sb="15" eb="17">
      <t>ヒョウジ</t>
    </rPh>
    <phoneticPr fontId="2"/>
  </si>
  <si>
    <t>プロジェクト名</t>
    <rPh sb="6" eb="7">
      <t>メイ</t>
    </rPh>
    <phoneticPr fontId="2"/>
  </si>
  <si>
    <t>予実の工数差の自動算出</t>
    <rPh sb="0" eb="1">
      <t>ヨ</t>
    </rPh>
    <rPh sb="1" eb="2">
      <t>ジツ</t>
    </rPh>
    <rPh sb="3" eb="5">
      <t>コウスウ</t>
    </rPh>
    <rPh sb="5" eb="6">
      <t>サ</t>
    </rPh>
    <rPh sb="7" eb="9">
      <t>ジドウ</t>
    </rPh>
    <rPh sb="9" eb="11">
      <t>サンシュツ</t>
    </rPh>
    <phoneticPr fontId="2"/>
  </si>
  <si>
    <t>予定と実績との工数の差を自動算出します。</t>
    <rPh sb="0" eb="2">
      <t>ヨテイ</t>
    </rPh>
    <rPh sb="3" eb="5">
      <t>ジッセキ</t>
    </rPh>
    <rPh sb="7" eb="9">
      <t>コウスウ</t>
    </rPh>
    <rPh sb="10" eb="11">
      <t>サ</t>
    </rPh>
    <rPh sb="12" eb="14">
      <t>ジドウ</t>
    </rPh>
    <rPh sb="14" eb="16">
      <t>サンシュツ</t>
    </rPh>
    <phoneticPr fontId="2"/>
  </si>
  <si>
    <t>本システムでは、1日単位での管理を前提にしています。0.5日や時間単位での管理には未対応です。</t>
    <rPh sb="0" eb="1">
      <t>ホン</t>
    </rPh>
    <rPh sb="9" eb="10">
      <t>ニチ</t>
    </rPh>
    <rPh sb="10" eb="12">
      <t>タンイ</t>
    </rPh>
    <rPh sb="14" eb="16">
      <t>カンリ</t>
    </rPh>
    <rPh sb="17" eb="19">
      <t>ゼンテイ</t>
    </rPh>
    <rPh sb="29" eb="30">
      <t>ニチ</t>
    </rPh>
    <rPh sb="31" eb="33">
      <t>ジカン</t>
    </rPh>
    <rPh sb="33" eb="35">
      <t>タンイ</t>
    </rPh>
    <rPh sb="37" eb="39">
      <t>カンリ</t>
    </rPh>
    <rPh sb="41" eb="42">
      <t>ミ</t>
    </rPh>
    <rPh sb="42" eb="44">
      <t>タイオウ</t>
    </rPh>
    <phoneticPr fontId="2"/>
  </si>
  <si>
    <t>工数の管理単位は？</t>
    <rPh sb="0" eb="2">
      <t>コウスウ</t>
    </rPh>
    <rPh sb="3" eb="5">
      <t>カンリ</t>
    </rPh>
    <rPh sb="5" eb="7">
      <t>タンイ</t>
    </rPh>
    <phoneticPr fontId="2"/>
  </si>
  <si>
    <t>工程産管理</t>
    <rPh sb="0" eb="2">
      <t>コウテイ</t>
    </rPh>
    <phoneticPr fontId="2"/>
  </si>
  <si>
    <t>工程管理表</t>
    <rPh sb="0" eb="2">
      <t>コウテイ</t>
    </rPh>
    <rPh sb="2" eb="4">
      <t>カンリ</t>
    </rPh>
    <rPh sb="4" eb="5">
      <t>ヒョウ</t>
    </rPh>
    <phoneticPr fontId="2"/>
  </si>
  <si>
    <t>工程管理表を入力します。</t>
    <rPh sb="0" eb="2">
      <t>コウテイ</t>
    </rPh>
    <rPh sb="2" eb="4">
      <t>カンリ</t>
    </rPh>
    <rPh sb="4" eb="5">
      <t>ヒョウ</t>
    </rPh>
    <rPh sb="6" eb="8">
      <t>ニュウリョク</t>
    </rPh>
    <phoneticPr fontId="2"/>
  </si>
  <si>
    <t>分類や担当者名を入力します。</t>
    <rPh sb="0" eb="2">
      <t>ブンルイ</t>
    </rPh>
    <rPh sb="3" eb="5">
      <t>タントウ</t>
    </rPh>
    <rPh sb="5" eb="6">
      <t>シャ</t>
    </rPh>
    <rPh sb="6" eb="7">
      <t>メイ</t>
    </rPh>
    <rPh sb="8" eb="10">
      <t>ニュウリョク</t>
    </rPh>
    <phoneticPr fontId="2"/>
  </si>
  <si>
    <t>マスタ</t>
    <phoneticPr fontId="2"/>
  </si>
  <si>
    <t>管理対象タイトル</t>
    <rPh sb="0" eb="2">
      <t>カンリ</t>
    </rPh>
    <rPh sb="2" eb="4">
      <t>タイショウ</t>
    </rPh>
    <phoneticPr fontId="2"/>
  </si>
  <si>
    <t>分類名の登録</t>
    <rPh sb="0" eb="2">
      <t>ブンルイ</t>
    </rPh>
    <rPh sb="2" eb="3">
      <t>メイ</t>
    </rPh>
    <rPh sb="4" eb="6">
      <t>トウロク</t>
    </rPh>
    <phoneticPr fontId="2"/>
  </si>
  <si>
    <t>②</t>
    <phoneticPr fontId="2"/>
  </si>
  <si>
    <t>必要に応じて「分類名」（セルB5）を変更します。</t>
    <rPh sb="0" eb="2">
      <t>ヒツヨウ</t>
    </rPh>
    <rPh sb="3" eb="4">
      <t>オウ</t>
    </rPh>
    <rPh sb="7" eb="9">
      <t>ブンルイ</t>
    </rPh>
    <rPh sb="9" eb="10">
      <t>メイ</t>
    </rPh>
    <rPh sb="18" eb="20">
      <t>ヘンコウ</t>
    </rPh>
    <phoneticPr fontId="2"/>
  </si>
  <si>
    <t>担当者名の登録</t>
    <rPh sb="0" eb="3">
      <t>タントウシャ</t>
    </rPh>
    <rPh sb="3" eb="4">
      <t>メイ</t>
    </rPh>
    <rPh sb="5" eb="7">
      <t>トウロク</t>
    </rPh>
    <phoneticPr fontId="2"/>
  </si>
  <si>
    <t>担当者名を「担当者名」欄に入力します。</t>
    <rPh sb="0" eb="2">
      <t>タントウ</t>
    </rPh>
    <rPh sb="2" eb="3">
      <t>シャ</t>
    </rPh>
    <rPh sb="3" eb="4">
      <t>メイ</t>
    </rPh>
    <rPh sb="6" eb="9">
      <t>タントウシャ</t>
    </rPh>
    <rPh sb="9" eb="10">
      <t>メイ</t>
    </rPh>
    <rPh sb="11" eb="12">
      <t>ラン</t>
    </rPh>
    <rPh sb="13" eb="15">
      <t>ニュウリョク</t>
    </rPh>
    <phoneticPr fontId="2"/>
  </si>
  <si>
    <t>２．工程管理表の入力</t>
    <rPh sb="2" eb="4">
      <t>コウテイ</t>
    </rPh>
    <rPh sb="4" eb="6">
      <t>カンリ</t>
    </rPh>
    <rPh sb="6" eb="7">
      <t>ヒョウ</t>
    </rPh>
    <rPh sb="8" eb="10">
      <t>ニュウリョク</t>
    </rPh>
    <phoneticPr fontId="2"/>
  </si>
  <si>
    <t>工程管理表への移行</t>
    <rPh sb="0" eb="2">
      <t>コウテイ</t>
    </rPh>
    <rPh sb="2" eb="4">
      <t>カンリ</t>
    </rPh>
    <rPh sb="4" eb="5">
      <t>ヒョウ</t>
    </rPh>
    <rPh sb="7" eb="9">
      <t>イコウ</t>
    </rPh>
    <phoneticPr fontId="2"/>
  </si>
  <si>
    <t>メニュー画面で工程管理表」をクリックします。　</t>
    <rPh sb="4" eb="6">
      <t>ガメン</t>
    </rPh>
    <rPh sb="7" eb="9">
      <t>コウテイ</t>
    </rPh>
    <rPh sb="9" eb="11">
      <t>カンリ</t>
    </rPh>
    <rPh sb="11" eb="12">
      <t>ヒョウ</t>
    </rPh>
    <phoneticPr fontId="2"/>
  </si>
  <si>
    <t>工程管理表シートに移行します。</t>
    <rPh sb="0" eb="2">
      <t>コウテイ</t>
    </rPh>
    <rPh sb="2" eb="4">
      <t>カンリ</t>
    </rPh>
    <rPh sb="4" eb="5">
      <t>ヒョウ</t>
    </rPh>
    <rPh sb="9" eb="11">
      <t>イコウ</t>
    </rPh>
    <phoneticPr fontId="2"/>
  </si>
  <si>
    <t>プロジェクト名の入力</t>
    <rPh sb="6" eb="7">
      <t>メイ</t>
    </rPh>
    <rPh sb="8" eb="10">
      <t>ニュウリョク</t>
    </rPh>
    <phoneticPr fontId="2"/>
  </si>
  <si>
    <t>セルC1にプロジェクト名を入力します。</t>
    <rPh sb="11" eb="12">
      <t>メイ</t>
    </rPh>
    <rPh sb="13" eb="15">
      <t>ニュウリョク</t>
    </rPh>
    <phoneticPr fontId="2"/>
  </si>
  <si>
    <t>①</t>
    <phoneticPr fontId="2"/>
  </si>
  <si>
    <t>管理の開始日を入力します。</t>
    <rPh sb="0" eb="2">
      <t>カンリ</t>
    </rPh>
    <rPh sb="3" eb="5">
      <t>カイシ</t>
    </rPh>
    <rPh sb="5" eb="6">
      <t>ヒ</t>
    </rPh>
    <rPh sb="7" eb="9">
      <t>ニュウリョク</t>
    </rPh>
    <phoneticPr fontId="2"/>
  </si>
  <si>
    <t>セルJ12以降に、開始日以降の日付が自動表示されます。</t>
    <rPh sb="5" eb="7">
      <t>イコウ</t>
    </rPh>
    <rPh sb="9" eb="11">
      <t>カイシ</t>
    </rPh>
    <rPh sb="11" eb="12">
      <t>ヒ</t>
    </rPh>
    <rPh sb="12" eb="14">
      <t>イコウ</t>
    </rPh>
    <rPh sb="15" eb="17">
      <t>ヒヅケ</t>
    </rPh>
    <rPh sb="18" eb="20">
      <t>ジドウ</t>
    </rPh>
    <rPh sb="20" eb="22">
      <t>ヒョウジ</t>
    </rPh>
    <phoneticPr fontId="2"/>
  </si>
  <si>
    <t>タスクの入力</t>
    <rPh sb="4" eb="6">
      <t>ニュウリョク</t>
    </rPh>
    <phoneticPr fontId="2"/>
  </si>
  <si>
    <t>「分類名」「作業名」「担当者名」を入力します。</t>
    <rPh sb="1" eb="3">
      <t>ブンルイ</t>
    </rPh>
    <rPh sb="3" eb="4">
      <t>メイ</t>
    </rPh>
    <rPh sb="6" eb="8">
      <t>サギョウ</t>
    </rPh>
    <rPh sb="8" eb="9">
      <t>メイ</t>
    </rPh>
    <rPh sb="11" eb="13">
      <t>タントウ</t>
    </rPh>
    <rPh sb="13" eb="14">
      <t>シャ</t>
    </rPh>
    <rPh sb="14" eb="15">
      <t>メイ</t>
    </rPh>
    <rPh sb="17" eb="19">
      <t>ニュウリョク</t>
    </rPh>
    <phoneticPr fontId="2"/>
  </si>
  <si>
    <t>日付の入力</t>
    <rPh sb="0" eb="2">
      <t>ヒヅケ</t>
    </rPh>
    <rPh sb="3" eb="5">
      <t>ニュウリョク</t>
    </rPh>
    <phoneticPr fontId="2"/>
  </si>
  <si>
    <t>予定および実績の「開始日」「終了日」を入力します。</t>
    <rPh sb="0" eb="2">
      <t>ヨテイ</t>
    </rPh>
    <rPh sb="5" eb="7">
      <t>ジッセキ</t>
    </rPh>
    <rPh sb="9" eb="11">
      <t>カイシ</t>
    </rPh>
    <rPh sb="11" eb="12">
      <t>ヒ</t>
    </rPh>
    <rPh sb="14" eb="17">
      <t>シュウリョウビ</t>
    </rPh>
    <rPh sb="19" eb="21">
      <t>ニュウリョク</t>
    </rPh>
    <phoneticPr fontId="2"/>
  </si>
  <si>
    <t>「工数」「予実差」が自動算出されます。</t>
    <rPh sb="1" eb="3">
      <t>コウスウ</t>
    </rPh>
    <rPh sb="5" eb="8">
      <t>ヨジツサ</t>
    </rPh>
    <rPh sb="10" eb="12">
      <t>ジドウ</t>
    </rPh>
    <rPh sb="12" eb="14">
      <t>サンシュツ</t>
    </rPh>
    <phoneticPr fontId="2"/>
  </si>
  <si>
    <t>開始日から終了日まで期間が色づけされます。</t>
    <rPh sb="0" eb="2">
      <t>カイシ</t>
    </rPh>
    <rPh sb="2" eb="3">
      <t>ヒ</t>
    </rPh>
    <rPh sb="5" eb="8">
      <t>シュウリョウビ</t>
    </rPh>
    <rPh sb="10" eb="12">
      <t>キカン</t>
    </rPh>
    <rPh sb="13" eb="14">
      <t>イロ</t>
    </rPh>
    <phoneticPr fontId="2"/>
  </si>
  <si>
    <t>ここで入力した文言が、「工程管理表」シートのセルB12に反映されます。</t>
    <rPh sb="3" eb="5">
      <t>ニュウリョク</t>
    </rPh>
    <phoneticPr fontId="2"/>
  </si>
  <si>
    <t>・・・A</t>
    <phoneticPr fontId="2"/>
  </si>
  <si>
    <t>・・・B</t>
    <phoneticPr fontId="2"/>
  </si>
  <si>
    <t>・・・C</t>
    <phoneticPr fontId="2"/>
  </si>
  <si>
    <t>・・・D</t>
    <phoneticPr fontId="2"/>
  </si>
  <si>
    <t>①</t>
    <phoneticPr fontId="2"/>
  </si>
  <si>
    <t>データ消去</t>
    <rPh sb="3" eb="5">
      <t>ショウキョ</t>
    </rPh>
    <phoneticPr fontId="2"/>
  </si>
  <si>
    <t>「データクリア」をクリックすると、入力した「分類名」「作業名」「担当者名」</t>
    <rPh sb="17" eb="19">
      <t>ニュウリョク</t>
    </rPh>
    <rPh sb="22" eb="24">
      <t>ブンルイ</t>
    </rPh>
    <rPh sb="24" eb="25">
      <t>メイ</t>
    </rPh>
    <rPh sb="27" eb="29">
      <t>サギョウ</t>
    </rPh>
    <rPh sb="29" eb="30">
      <t>メイ</t>
    </rPh>
    <rPh sb="32" eb="34">
      <t>タントウ</t>
    </rPh>
    <rPh sb="34" eb="35">
      <t>シャ</t>
    </rPh>
    <rPh sb="35" eb="36">
      <t>メイ</t>
    </rPh>
    <phoneticPr fontId="2"/>
  </si>
  <si>
    <t>・・・E</t>
    <phoneticPr fontId="2"/>
  </si>
  <si>
    <t>「開始日」「終了日」が消去されます。</t>
    <phoneticPr fontId="2"/>
  </si>
  <si>
    <t>分類名や担当者を入力します。10件まで登録できます。</t>
    <rPh sb="0" eb="2">
      <t>ブンルイ</t>
    </rPh>
    <rPh sb="2" eb="3">
      <t>メイ</t>
    </rPh>
    <rPh sb="4" eb="7">
      <t>タントウシャ</t>
    </rPh>
    <rPh sb="8" eb="10">
      <t>ニュウリョク</t>
    </rPh>
    <rPh sb="16" eb="17">
      <t>ケン</t>
    </rPh>
    <rPh sb="19" eb="21">
      <t>トウロク</t>
    </rPh>
    <phoneticPr fontId="2"/>
  </si>
  <si>
    <t>分類名を「分類名」欄で選択します。</t>
    <rPh sb="0" eb="2">
      <t>ブンルイ</t>
    </rPh>
    <rPh sb="2" eb="3">
      <t>メイ</t>
    </rPh>
    <rPh sb="5" eb="7">
      <t>ブンルイ</t>
    </rPh>
    <rPh sb="7" eb="8">
      <t>ナ</t>
    </rPh>
    <rPh sb="9" eb="10">
      <t>ラン</t>
    </rPh>
    <rPh sb="11" eb="13">
      <t>センタク</t>
    </rPh>
    <phoneticPr fontId="2"/>
  </si>
  <si>
    <t>開発計画書作成</t>
    <phoneticPr fontId="2"/>
  </si>
  <si>
    <t>開発計画書作成</t>
    <phoneticPr fontId="2"/>
  </si>
  <si>
    <t>要件定義書作成</t>
    <phoneticPr fontId="2"/>
  </si>
  <si>
    <t>那須</t>
    <rPh sb="0" eb="2">
      <t>ナス</t>
    </rPh>
    <phoneticPr fontId="2"/>
  </si>
  <si>
    <t>若山</t>
    <rPh sb="0" eb="2">
      <t>ワカヤマ</t>
    </rPh>
    <phoneticPr fontId="2"/>
  </si>
  <si>
    <t>さ</t>
  </si>
  <si>
    <t>SA</t>
    <phoneticPr fontId="2"/>
  </si>
  <si>
    <t>SA</t>
    <phoneticPr fontId="2"/>
  </si>
  <si>
    <t>RD</t>
    <phoneticPr fontId="2"/>
  </si>
  <si>
    <t>FD</t>
    <phoneticPr fontId="2"/>
  </si>
  <si>
    <t>Webアプリ機能設計書作成</t>
    <phoneticPr fontId="2"/>
  </si>
  <si>
    <t>Webアプリ機能設計書レビュー</t>
    <phoneticPr fontId="2"/>
  </si>
  <si>
    <t>Webアプリ機能設計書レビュー指摘対応</t>
    <phoneticPr fontId="2"/>
  </si>
  <si>
    <t>監視端末機能設計書作成</t>
    <phoneticPr fontId="2"/>
  </si>
  <si>
    <t>監視端末機能設計書レビュー</t>
    <phoneticPr fontId="2"/>
  </si>
  <si>
    <t>監視端末機能設計書レビュー指摘対応</t>
    <phoneticPr fontId="2"/>
  </si>
  <si>
    <t>Webアプリ機能評価仕様書作成</t>
    <phoneticPr fontId="2"/>
  </si>
  <si>
    <t>Webアプリ機能評価仕様書レビュー</t>
    <phoneticPr fontId="2"/>
  </si>
  <si>
    <t>Webアプリ機能評価仕様書レビュー指摘対応</t>
    <phoneticPr fontId="2"/>
  </si>
  <si>
    <t>監視端末機能評価仕様書作成</t>
  </si>
  <si>
    <t>SD</t>
    <phoneticPr fontId="2"/>
  </si>
  <si>
    <t>監視端末機能評価仕様書レビュー</t>
    <phoneticPr fontId="2"/>
  </si>
  <si>
    <t>監視端末機能評価仕様書レビュー指摘対応</t>
    <phoneticPr fontId="2"/>
  </si>
  <si>
    <t>Webアプリ構造評価仕様書作成</t>
    <phoneticPr fontId="2"/>
  </si>
  <si>
    <t>Webアプリ構造評価仕様書レビュー</t>
    <phoneticPr fontId="2"/>
  </si>
  <si>
    <t>Webアプリ構造評価仕様書レビュー指摘対応</t>
    <phoneticPr fontId="2"/>
  </si>
  <si>
    <t>監視端末構造評価仕様書作成</t>
    <phoneticPr fontId="2"/>
  </si>
  <si>
    <t>監視端末構造評価仕様書レビュー</t>
    <phoneticPr fontId="2"/>
  </si>
  <si>
    <t>監視端末構造評価仕様書レビュー指摘対応</t>
    <phoneticPr fontId="2"/>
  </si>
  <si>
    <t>DD</t>
    <phoneticPr fontId="2"/>
  </si>
  <si>
    <t>Webアプリ詳細設計書作成</t>
  </si>
  <si>
    <t>Webアプリ詳細設計書レビュー</t>
    <phoneticPr fontId="2"/>
  </si>
  <si>
    <t>Webアプリ詳細設計書レビュー指摘対応</t>
    <rPh sb="15" eb="17">
      <t>シテキ</t>
    </rPh>
    <rPh sb="17" eb="19">
      <t>タイオウ</t>
    </rPh>
    <phoneticPr fontId="2"/>
  </si>
  <si>
    <t>監視端末詳細設計書作成</t>
    <phoneticPr fontId="2"/>
  </si>
  <si>
    <t>監視端末詳細設計書レビュー</t>
    <phoneticPr fontId="2"/>
  </si>
  <si>
    <t>監視端末詳細設計書レビュー指摘対応</t>
    <rPh sb="13" eb="15">
      <t>シテキ</t>
    </rPh>
    <rPh sb="15" eb="17">
      <t>タイオウ</t>
    </rPh>
    <phoneticPr fontId="2"/>
  </si>
  <si>
    <t>PG</t>
    <phoneticPr fontId="2"/>
  </si>
  <si>
    <t>PG</t>
    <phoneticPr fontId="2"/>
  </si>
  <si>
    <t>Webアプリ実装</t>
    <phoneticPr fontId="2"/>
  </si>
  <si>
    <t>Webアプリ実装レビュー</t>
    <phoneticPr fontId="2"/>
  </si>
  <si>
    <t>Webアプリ実装レビュー指摘対応</t>
    <rPh sb="12" eb="14">
      <t>シテキ</t>
    </rPh>
    <rPh sb="14" eb="16">
      <t>タイオウ</t>
    </rPh>
    <phoneticPr fontId="2"/>
  </si>
  <si>
    <t>監視端末実装</t>
    <phoneticPr fontId="2"/>
  </si>
  <si>
    <t>監視端末実装レビュー</t>
    <phoneticPr fontId="2"/>
  </si>
  <si>
    <t>監視端末実装レビュー指摘対応</t>
    <rPh sb="10" eb="12">
      <t>シテキ</t>
    </rPh>
    <rPh sb="12" eb="14">
      <t>タイオウ</t>
    </rPh>
    <phoneticPr fontId="2"/>
  </si>
  <si>
    <t>UT</t>
    <phoneticPr fontId="2"/>
  </si>
  <si>
    <t>Webアプリ単体評価実施</t>
    <phoneticPr fontId="2"/>
  </si>
  <si>
    <t>監視端末単体評価実施</t>
    <phoneticPr fontId="2"/>
  </si>
  <si>
    <t>IT</t>
    <phoneticPr fontId="2"/>
  </si>
  <si>
    <t>Webアプリ結合評価実施</t>
    <phoneticPr fontId="2"/>
  </si>
  <si>
    <t>監視端末結合評価実施</t>
    <phoneticPr fontId="2"/>
  </si>
  <si>
    <t>FT</t>
    <phoneticPr fontId="2"/>
  </si>
  <si>
    <t>機能評価実施</t>
    <phoneticPr fontId="2"/>
  </si>
  <si>
    <t>機能評価実施</t>
    <phoneticPr fontId="2"/>
  </si>
  <si>
    <t>伊藤</t>
    <rPh sb="0" eb="2">
      <t>イトウ</t>
    </rPh>
    <phoneticPr fontId="2"/>
  </si>
  <si>
    <t>高澤</t>
    <rPh sb="0" eb="2">
      <t>タカザワ</t>
    </rPh>
    <phoneticPr fontId="2"/>
  </si>
  <si>
    <t>長田</t>
    <rPh sb="0" eb="2">
      <t>ナガタ</t>
    </rPh>
    <phoneticPr fontId="2"/>
  </si>
  <si>
    <t>Webアプリ構造設計書作成</t>
  </si>
  <si>
    <t>Webアプリ構造設計書レビュー</t>
  </si>
  <si>
    <t>Webアプリ構造設計書レビュー指摘対応</t>
  </si>
  <si>
    <t>監視端末構造設計書作成</t>
  </si>
  <si>
    <t>監視端末構造設計書レビュー</t>
  </si>
  <si>
    <t>監視端末構造設計書レビュー指摘対応</t>
  </si>
  <si>
    <t>監視端末単体評価仕様書レビュー指摘対応</t>
    <rPh sb="4" eb="6">
      <t>タンタイ</t>
    </rPh>
    <rPh sb="15" eb="17">
      <t>シテキ</t>
    </rPh>
    <rPh sb="17" eb="19">
      <t>タイオウ</t>
    </rPh>
    <phoneticPr fontId="2"/>
  </si>
  <si>
    <t>監視端末単体評価仕様書レビュー</t>
    <phoneticPr fontId="2"/>
  </si>
  <si>
    <t>監視端末単体評価仕様書作成</t>
    <phoneticPr fontId="2"/>
  </si>
  <si>
    <t>Webアプリ単体評価仕様書レビュー指摘対応</t>
    <rPh sb="17" eb="19">
      <t>シテキ</t>
    </rPh>
    <rPh sb="19" eb="21">
      <t>タイオウ</t>
    </rPh>
    <phoneticPr fontId="2"/>
  </si>
  <si>
    <t>Webアプリ単体評価仕様書レビュー</t>
    <phoneticPr fontId="2"/>
  </si>
  <si>
    <t>Webアプリ単体評価仕様書作成</t>
    <phoneticPr fontId="2"/>
  </si>
  <si>
    <t>SA</t>
    <phoneticPr fontId="2"/>
  </si>
  <si>
    <t>RD</t>
    <phoneticPr fontId="2"/>
  </si>
  <si>
    <t>FD</t>
    <phoneticPr fontId="2"/>
  </si>
  <si>
    <t>SD</t>
    <phoneticPr fontId="2"/>
  </si>
  <si>
    <t>DD</t>
    <phoneticPr fontId="2"/>
  </si>
  <si>
    <t>PG</t>
    <phoneticPr fontId="2"/>
  </si>
  <si>
    <t>UT</t>
    <phoneticPr fontId="2"/>
  </si>
  <si>
    <t>IT</t>
    <phoneticPr fontId="2"/>
  </si>
  <si>
    <t>FT</t>
    <phoneticPr fontId="2"/>
  </si>
  <si>
    <t>伊藤</t>
    <rPh sb="0" eb="2">
      <t>イトウ</t>
    </rPh>
    <phoneticPr fontId="2"/>
  </si>
  <si>
    <t>那須</t>
    <rPh sb="0" eb="2">
      <t>ナス</t>
    </rPh>
    <phoneticPr fontId="2"/>
  </si>
  <si>
    <t>若山</t>
    <rPh sb="0" eb="2">
      <t>ワカヤマ</t>
    </rPh>
    <phoneticPr fontId="2"/>
  </si>
  <si>
    <t>高澤</t>
    <rPh sb="0" eb="2">
      <t>タカザワ</t>
    </rPh>
    <phoneticPr fontId="2"/>
  </si>
  <si>
    <t>長田</t>
    <rPh sb="0" eb="2">
      <t>ナガタ</t>
    </rPh>
    <phoneticPr fontId="2"/>
  </si>
  <si>
    <t>遠隔監視システム開発</t>
    <rPh sb="0" eb="2">
      <t>エンカク</t>
    </rPh>
    <rPh sb="2" eb="4">
      <t>カンシ</t>
    </rPh>
    <rPh sb="8" eb="10">
      <t>カイハツ</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</si>
</sst>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m/d;@"/>
    <numFmt numFmtId="177" formatCode="0_ ;[Red]\-0\ "/>
  </numFmts>
  <fonts count="23" x14ac:knownFonts="1">
    <font>
      <sz val="11"/>
      <name val="ＭＳ Ｐゴシック"/>
      <family val="3"/>
      <charset val="128"/>
    </font>
    <font>
      <sz val="11"/>
      <name val="ＭＳ Ｐゴシック"/>
      <family val="3"/>
      <charset val="128"/>
    </font>
    <font>
      <sz val="6"/>
      <name val="ＭＳ Ｐゴシック"/>
      <family val="3"/>
      <charset val="128"/>
    </font>
    <font>
      <sz val="11"/>
      <color indexed="9"/>
      <name val="ＭＳ Ｐゴシック"/>
      <family val="3"/>
      <charset val="128"/>
    </font>
    <font>
      <u/>
      <sz val="11"/>
      <color indexed="12"/>
      <name val="ＭＳ Ｐゴシック"/>
      <family val="3"/>
      <charset val="128"/>
    </font>
    <font>
      <sz val="11"/>
      <color indexed="8"/>
      <name val="ＭＳ Ｐゴシック"/>
      <family val="3"/>
      <charset val="128"/>
    </font>
    <font>
      <b/>
      <sz val="11"/>
      <color indexed="8"/>
      <name val="ＭＳ Ｐゴシック"/>
      <family val="3"/>
      <charset val="128"/>
    </font>
    <font>
      <b/>
      <sz val="11"/>
      <name val="ＭＳ Ｐゴシック"/>
      <family val="3"/>
      <charset val="128"/>
    </font>
    <font>
      <b/>
      <sz val="11"/>
      <name val="HGｺﾞｼｯｸM"/>
      <family val="3"/>
      <charset val="128"/>
    </font>
    <font>
      <b/>
      <sz val="12"/>
      <name val="ＭＳ Ｐゴシック"/>
      <family val="3"/>
      <charset val="128"/>
    </font>
    <font>
      <sz val="10"/>
      <name val="HGPｺﾞｼｯｸM"/>
      <family val="3"/>
      <charset val="128"/>
    </font>
    <font>
      <sz val="9"/>
      <name val="HGPｺﾞｼｯｸM"/>
      <family val="3"/>
      <charset val="128"/>
    </font>
    <font>
      <sz val="11"/>
      <name val="HGPｺﾞｼｯｸM"/>
      <family val="3"/>
      <charset val="128"/>
    </font>
    <font>
      <sz val="11"/>
      <color indexed="9"/>
      <name val="HGPｺﾞｼｯｸM"/>
      <family val="3"/>
      <charset val="128"/>
    </font>
    <font>
      <sz val="9"/>
      <color indexed="81"/>
      <name val="ＭＳ Ｐゴシック"/>
      <family val="3"/>
      <charset val="128"/>
    </font>
    <font>
      <sz val="22"/>
      <color indexed="9"/>
      <name val="ＭＳ Ｐゴシック"/>
      <family val="3"/>
      <charset val="128"/>
    </font>
    <font>
      <u/>
      <sz val="12"/>
      <color indexed="12"/>
      <name val="HG丸ｺﾞｼｯｸM-PRO"/>
      <family val="3"/>
      <charset val="128"/>
    </font>
    <font>
      <sz val="12"/>
      <color indexed="9"/>
      <name val="HGｺﾞｼｯｸM"/>
      <family val="3"/>
      <charset val="128"/>
    </font>
    <font>
      <b/>
      <sz val="11"/>
      <name val="MS UI Gothic"/>
      <family val="3"/>
      <charset val="128"/>
    </font>
    <font>
      <sz val="11"/>
      <name val="HGｺﾞｼｯｸM"/>
      <family val="3"/>
      <charset val="128"/>
    </font>
    <font>
      <sz val="18"/>
      <color indexed="9"/>
      <name val="HGSｺﾞｼｯｸE"/>
      <family val="3"/>
      <charset val="128"/>
    </font>
    <font>
      <sz val="12"/>
      <name val="HG丸ｺﾞｼｯｸM-PRO"/>
      <family val="3"/>
      <charset val="128"/>
    </font>
    <font>
      <u/>
      <sz val="11"/>
      <color indexed="12"/>
      <name val="HG丸ｺﾞｼｯｸM-PRO"/>
      <family val="3"/>
      <charset val="128"/>
    </font>
  </fonts>
  <fills count="5">
    <fill>
      <patternFill patternType="none"/>
    </fill>
    <fill>
      <patternFill patternType="gray125"/>
    </fill>
    <fill>
      <patternFill patternType="solid">
        <fgColor indexed="43"/>
        <bgColor indexed="64"/>
      </patternFill>
    </fill>
    <fill>
      <patternFill patternType="solid">
        <fgColor indexed="62"/>
        <bgColor indexed="64"/>
      </patternFill>
    </fill>
    <fill>
      <patternFill patternType="solid">
        <fgColor indexed="8"/>
        <bgColor indexed="64"/>
      </patternFill>
    </fill>
  </fills>
  <borders count="67">
    <border>
      <left/>
      <right/>
      <top/>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style="thin">
        <color indexed="63"/>
      </left>
      <right style="hair">
        <color indexed="64"/>
      </right>
      <top style="thin">
        <color indexed="63"/>
      </top>
      <bottom style="hair">
        <color indexed="64"/>
      </bottom>
      <diagonal/>
    </border>
    <border>
      <left style="hair">
        <color indexed="64"/>
      </left>
      <right style="thin">
        <color indexed="63"/>
      </right>
      <top style="thin">
        <color indexed="63"/>
      </top>
      <bottom style="hair">
        <color indexed="64"/>
      </bottom>
      <diagonal/>
    </border>
    <border>
      <left style="thin">
        <color indexed="63"/>
      </left>
      <right style="hair">
        <color indexed="64"/>
      </right>
      <top style="hair">
        <color indexed="64"/>
      </top>
      <bottom style="hair">
        <color indexed="64"/>
      </bottom>
      <diagonal/>
    </border>
    <border>
      <left style="hair">
        <color indexed="64"/>
      </left>
      <right style="thin">
        <color indexed="63"/>
      </right>
      <top style="hair">
        <color indexed="64"/>
      </top>
      <bottom style="hair">
        <color indexed="64"/>
      </bottom>
      <diagonal/>
    </border>
    <border>
      <left style="thin">
        <color indexed="63"/>
      </left>
      <right style="hair">
        <color indexed="64"/>
      </right>
      <top style="hair">
        <color indexed="64"/>
      </top>
      <bottom style="thin">
        <color indexed="63"/>
      </bottom>
      <diagonal/>
    </border>
    <border>
      <left style="hair">
        <color indexed="64"/>
      </left>
      <right style="thin">
        <color indexed="63"/>
      </right>
      <top style="hair">
        <color indexed="64"/>
      </top>
      <bottom style="thin">
        <color indexed="63"/>
      </bottom>
      <diagonal/>
    </border>
    <border>
      <left style="thin">
        <color indexed="63"/>
      </left>
      <right style="thin">
        <color indexed="63"/>
      </right>
      <top style="thin">
        <color indexed="63"/>
      </top>
      <bottom style="thin">
        <color indexed="64"/>
      </bottom>
      <diagonal/>
    </border>
    <border>
      <left style="thin">
        <color indexed="63"/>
      </left>
      <right style="thin">
        <color indexed="64"/>
      </right>
      <top style="thin">
        <color indexed="63"/>
      </top>
      <bottom style="thin">
        <color indexed="64"/>
      </bottom>
      <diagonal/>
    </border>
    <border>
      <left style="thin">
        <color indexed="64"/>
      </left>
      <right style="hair">
        <color indexed="64"/>
      </right>
      <top style="thin">
        <color indexed="63"/>
      </top>
      <bottom style="thin">
        <color indexed="64"/>
      </bottom>
      <diagonal/>
    </border>
    <border>
      <left style="hair">
        <color indexed="64"/>
      </left>
      <right style="hair">
        <color indexed="64"/>
      </right>
      <top style="thin">
        <color indexed="63"/>
      </top>
      <bottom style="thin">
        <color indexed="64"/>
      </bottom>
      <diagonal/>
    </border>
    <border>
      <left style="thin">
        <color indexed="63"/>
      </left>
      <right style="thin">
        <color indexed="63"/>
      </right>
      <top style="thin">
        <color indexed="64"/>
      </top>
      <bottom/>
      <diagonal/>
    </border>
    <border>
      <left style="thin">
        <color indexed="63"/>
      </left>
      <right style="thin">
        <color indexed="63"/>
      </right>
      <top/>
      <bottom/>
      <diagonal/>
    </border>
    <border>
      <left style="thin">
        <color indexed="63"/>
      </left>
      <right style="thin">
        <color indexed="63"/>
      </right>
      <top/>
      <bottom style="hair">
        <color indexed="64"/>
      </bottom>
      <diagonal/>
    </border>
    <border>
      <left style="thin">
        <color indexed="63"/>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3"/>
      </right>
      <top/>
      <bottom style="hair">
        <color indexed="64"/>
      </bottom>
      <diagonal/>
    </border>
    <border>
      <left style="thin">
        <color indexed="63"/>
      </left>
      <right style="thin">
        <color indexed="63"/>
      </right>
      <top/>
      <bottom style="thin">
        <color indexed="64"/>
      </bottom>
      <diagonal/>
    </border>
    <border>
      <left style="thin">
        <color indexed="63"/>
      </left>
      <right style="thin">
        <color indexed="63"/>
      </right>
      <top style="hair">
        <color indexed="64"/>
      </top>
      <bottom/>
      <diagonal/>
    </border>
    <border>
      <left style="thin">
        <color indexed="63"/>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3"/>
      </right>
      <top style="hair">
        <color indexed="64"/>
      </top>
      <bottom/>
      <diagonal/>
    </border>
    <border>
      <left style="thin">
        <color indexed="63"/>
      </left>
      <right style="thin">
        <color indexed="63"/>
      </right>
      <top style="thin">
        <color indexed="64"/>
      </top>
      <bottom style="hair">
        <color indexed="64"/>
      </bottom>
      <diagonal/>
    </border>
    <border>
      <left style="thin">
        <color indexed="63"/>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3"/>
      </right>
      <top style="thin">
        <color indexed="64"/>
      </top>
      <bottom style="hair">
        <color indexed="64"/>
      </bottom>
      <diagonal/>
    </border>
    <border>
      <left style="thin">
        <color indexed="63"/>
      </left>
      <right style="thin">
        <color indexed="63"/>
      </right>
      <top style="hair">
        <color indexed="64"/>
      </top>
      <bottom style="thin">
        <color indexed="64"/>
      </bottom>
      <diagonal/>
    </border>
    <border>
      <left style="thin">
        <color indexed="63"/>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3"/>
      </right>
      <top style="hair">
        <color indexed="64"/>
      </top>
      <bottom style="thin">
        <color indexed="64"/>
      </bottom>
      <diagonal/>
    </border>
    <border>
      <left style="thin">
        <color indexed="63"/>
      </left>
      <right style="thin">
        <color indexed="63"/>
      </right>
      <top style="hair">
        <color indexed="64"/>
      </top>
      <bottom style="thin">
        <color indexed="63"/>
      </bottom>
      <diagonal/>
    </border>
    <border>
      <left style="thin">
        <color indexed="63"/>
      </left>
      <right style="thin">
        <color indexed="64"/>
      </right>
      <top style="hair">
        <color indexed="64"/>
      </top>
      <bottom style="thin">
        <color indexed="63"/>
      </bottom>
      <diagonal/>
    </border>
    <border>
      <left style="thin">
        <color indexed="64"/>
      </left>
      <right style="hair">
        <color indexed="64"/>
      </right>
      <top style="hair">
        <color indexed="64"/>
      </top>
      <bottom style="thin">
        <color indexed="63"/>
      </bottom>
      <diagonal/>
    </border>
    <border>
      <left style="hair">
        <color indexed="64"/>
      </left>
      <right style="hair">
        <color indexed="64"/>
      </right>
      <top style="hair">
        <color indexed="64"/>
      </top>
      <bottom style="thin">
        <color indexed="63"/>
      </bottom>
      <diagonal/>
    </border>
    <border>
      <left style="thin">
        <color indexed="23"/>
      </left>
      <right style="thin">
        <color indexed="23"/>
      </right>
      <top style="thin">
        <color indexed="23"/>
      </top>
      <bottom style="dotted">
        <color indexed="23"/>
      </bottom>
      <diagonal/>
    </border>
    <border>
      <left style="thin">
        <color indexed="23"/>
      </left>
      <right style="thin">
        <color indexed="23"/>
      </right>
      <top style="dotted">
        <color indexed="23"/>
      </top>
      <bottom style="dotted">
        <color indexed="23"/>
      </bottom>
      <diagonal/>
    </border>
    <border>
      <left style="thin">
        <color indexed="23"/>
      </left>
      <right style="thin">
        <color indexed="23"/>
      </right>
      <top style="dotted">
        <color indexed="23"/>
      </top>
      <bottom style="thin">
        <color indexed="23"/>
      </bottom>
      <diagonal/>
    </border>
    <border>
      <left/>
      <right/>
      <top style="thin">
        <color indexed="23"/>
      </top>
      <bottom/>
      <diagonal/>
    </border>
    <border>
      <left/>
      <right style="thin">
        <color indexed="23"/>
      </right>
      <top style="thin">
        <color indexed="23"/>
      </top>
      <bottom/>
      <diagonal/>
    </border>
    <border>
      <left/>
      <right/>
      <top/>
      <bottom style="thin">
        <color indexed="23"/>
      </bottom>
      <diagonal/>
    </border>
    <border>
      <left/>
      <right style="thin">
        <color indexed="23"/>
      </right>
      <top/>
      <bottom style="thin">
        <color indexed="23"/>
      </bottom>
      <diagonal/>
    </border>
    <border>
      <left/>
      <right/>
      <top style="thin">
        <color indexed="23"/>
      </top>
      <bottom style="thin">
        <color indexed="23"/>
      </bottom>
      <diagonal/>
    </border>
    <border>
      <left style="thin">
        <color indexed="23"/>
      </left>
      <right style="hair">
        <color indexed="23"/>
      </right>
      <top style="thin">
        <color indexed="23"/>
      </top>
      <bottom style="hair">
        <color indexed="23"/>
      </bottom>
      <diagonal/>
    </border>
    <border>
      <left style="hair">
        <color indexed="23"/>
      </left>
      <right style="thin">
        <color indexed="23"/>
      </right>
      <top style="thin">
        <color indexed="23"/>
      </top>
      <bottom style="hair">
        <color indexed="23"/>
      </bottom>
      <diagonal/>
    </border>
    <border>
      <left style="thin">
        <color indexed="23"/>
      </left>
      <right style="hair">
        <color indexed="23"/>
      </right>
      <top/>
      <bottom style="hair">
        <color indexed="23"/>
      </bottom>
      <diagonal/>
    </border>
    <border>
      <left style="hair">
        <color indexed="23"/>
      </left>
      <right style="thin">
        <color indexed="23"/>
      </right>
      <top/>
      <bottom style="hair">
        <color indexed="23"/>
      </bottom>
      <diagonal/>
    </border>
    <border>
      <left style="thin">
        <color indexed="23"/>
      </left>
      <right style="hair">
        <color indexed="23"/>
      </right>
      <top style="hair">
        <color indexed="23"/>
      </top>
      <bottom style="hair">
        <color indexed="23"/>
      </bottom>
      <diagonal/>
    </border>
    <border>
      <left style="hair">
        <color indexed="23"/>
      </left>
      <right style="thin">
        <color indexed="23"/>
      </right>
      <top style="hair">
        <color indexed="23"/>
      </top>
      <bottom style="hair">
        <color indexed="23"/>
      </bottom>
      <diagonal/>
    </border>
    <border>
      <left style="thin">
        <color indexed="23"/>
      </left>
      <right style="hair">
        <color indexed="23"/>
      </right>
      <top/>
      <bottom/>
      <diagonal/>
    </border>
    <border>
      <left style="hair">
        <color indexed="23"/>
      </left>
      <right style="thin">
        <color indexed="23"/>
      </right>
      <top/>
      <bottom/>
      <diagonal/>
    </border>
    <border>
      <left style="thin">
        <color indexed="23"/>
      </left>
      <right style="hair">
        <color indexed="23"/>
      </right>
      <top style="hair">
        <color indexed="23"/>
      </top>
      <bottom style="thin">
        <color indexed="23"/>
      </bottom>
      <diagonal/>
    </border>
    <border>
      <left style="hair">
        <color indexed="23"/>
      </left>
      <right style="thin">
        <color indexed="23"/>
      </right>
      <top style="hair">
        <color indexed="23"/>
      </top>
      <bottom style="thin">
        <color indexed="23"/>
      </bottom>
      <diagonal/>
    </border>
    <border>
      <left style="thin">
        <color indexed="23"/>
      </left>
      <right style="hair">
        <color indexed="23"/>
      </right>
      <top style="thin">
        <color indexed="23"/>
      </top>
      <bottom style="thin">
        <color indexed="23"/>
      </bottom>
      <diagonal/>
    </border>
    <border>
      <left style="hair">
        <color indexed="23"/>
      </left>
      <right style="thin">
        <color indexed="23"/>
      </right>
      <top style="thin">
        <color indexed="23"/>
      </top>
      <bottom style="thin">
        <color indexed="23"/>
      </bottom>
      <diagonal/>
    </border>
    <border>
      <left style="double">
        <color indexed="9"/>
      </left>
      <right/>
      <top style="double">
        <color indexed="9"/>
      </top>
      <bottom style="double">
        <color indexed="9"/>
      </bottom>
      <diagonal/>
    </border>
    <border>
      <left/>
      <right/>
      <top style="double">
        <color indexed="9"/>
      </top>
      <bottom style="double">
        <color indexed="9"/>
      </bottom>
      <diagonal/>
    </border>
    <border>
      <left/>
      <right style="double">
        <color indexed="9"/>
      </right>
      <top style="double">
        <color indexed="9"/>
      </top>
      <bottom style="double">
        <color indexed="9"/>
      </bottom>
      <diagonal/>
    </border>
    <border>
      <left style="thin">
        <color indexed="23"/>
      </left>
      <right/>
      <top style="thin">
        <color indexed="23"/>
      </top>
      <bottom/>
      <diagonal/>
    </border>
    <border>
      <left style="thin">
        <color indexed="23"/>
      </left>
      <right/>
      <top/>
      <bottom style="thin">
        <color indexed="23"/>
      </bottom>
      <diagonal/>
    </border>
    <border>
      <left style="thin">
        <color indexed="23"/>
      </left>
      <right style="thin">
        <color indexed="23"/>
      </right>
      <top style="thin">
        <color indexed="23"/>
      </top>
      <bottom/>
      <diagonal/>
    </border>
    <border>
      <left style="thin">
        <color indexed="23"/>
      </left>
      <right style="thin">
        <color indexed="23"/>
      </right>
      <top/>
      <bottom/>
      <diagonal/>
    </border>
  </borders>
  <cellStyleXfs count="8">
    <xf numFmtId="0" fontId="0" fillId="0" borderId="0">
      <alignment vertical="center"/>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38"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xf numFmtId="0" fontId="5" fillId="0" borderId="0">
      <alignment vertical="center"/>
    </xf>
  </cellStyleXfs>
  <cellXfs count="133">
    <xf numFmtId="0" fontId="0" fillId="0" borderId="0" xfId="0">
      <alignment vertical="center"/>
    </xf>
    <xf numFmtId="0" fontId="0" fillId="0" borderId="0" xfId="0" applyProtection="1">
      <alignment vertical="center"/>
    </xf>
    <xf numFmtId="0" fontId="7" fillId="0" borderId="0" xfId="0" applyFont="1" applyProtection="1">
      <alignment vertical="center"/>
    </xf>
    <xf numFmtId="0" fontId="8" fillId="0" borderId="2" xfId="0" applyFont="1" applyBorder="1" applyAlignment="1" applyProtection="1">
      <alignment horizontal="center" vertical="center"/>
    </xf>
    <xf numFmtId="31" fontId="9" fillId="0" borderId="2" xfId="0" applyNumberFormat="1" applyFont="1" applyBorder="1" applyProtection="1">
      <alignment vertical="center"/>
      <protection locked="0"/>
    </xf>
    <xf numFmtId="31" fontId="0" fillId="0" borderId="0" xfId="0" applyNumberFormat="1" applyBorder="1" applyProtection="1">
      <alignment vertical="center"/>
    </xf>
    <xf numFmtId="31" fontId="0" fillId="0" borderId="0" xfId="0" applyNumberFormat="1" applyProtection="1">
      <alignment vertical="center"/>
    </xf>
    <xf numFmtId="31" fontId="9" fillId="0" borderId="0" xfId="0" applyNumberFormat="1" applyFont="1" applyBorder="1" applyProtection="1">
      <alignment vertical="center"/>
      <protection locked="0"/>
    </xf>
    <xf numFmtId="0" fontId="8" fillId="0" borderId="3" xfId="0" applyFont="1" applyBorder="1" applyAlignment="1" applyProtection="1">
      <alignment horizontal="center" vertical="center"/>
      <protection hidden="1"/>
    </xf>
    <xf numFmtId="177" fontId="7" fillId="0" borderId="4" xfId="0" applyNumberFormat="1" applyFont="1" applyBorder="1" applyProtection="1">
      <alignment vertical="center"/>
      <protection hidden="1"/>
    </xf>
    <xf numFmtId="0" fontId="8" fillId="0" borderId="5" xfId="0" applyFont="1" applyBorder="1" applyAlignment="1" applyProtection="1">
      <alignment horizontal="center" vertical="center"/>
      <protection hidden="1"/>
    </xf>
    <xf numFmtId="177" fontId="7" fillId="0" borderId="6" xfId="0" applyNumberFormat="1" applyFont="1" applyBorder="1" applyProtection="1">
      <alignment vertical="center"/>
      <protection hidden="1"/>
    </xf>
    <xf numFmtId="0" fontId="8" fillId="0" borderId="7" xfId="0" applyFont="1" applyBorder="1" applyAlignment="1" applyProtection="1">
      <alignment horizontal="center" vertical="center"/>
      <protection hidden="1"/>
    </xf>
    <xf numFmtId="177" fontId="7" fillId="0" borderId="8" xfId="0" applyNumberFormat="1" applyFont="1" applyBorder="1" applyProtection="1">
      <alignment vertical="center"/>
      <protection hidden="1"/>
    </xf>
    <xf numFmtId="0" fontId="8" fillId="0" borderId="0" xfId="0" applyFont="1" applyBorder="1" applyAlignment="1" applyProtection="1">
      <alignment horizontal="center" vertical="center"/>
      <protection hidden="1"/>
    </xf>
    <xf numFmtId="177" fontId="7" fillId="0" borderId="0" xfId="0" applyNumberFormat="1" applyFont="1" applyBorder="1" applyProtection="1">
      <alignment vertical="center"/>
      <protection hidden="1"/>
    </xf>
    <xf numFmtId="0" fontId="10" fillId="2" borderId="9" xfId="0" applyFont="1" applyFill="1" applyBorder="1" applyProtection="1">
      <alignment vertical="center"/>
    </xf>
    <xf numFmtId="0" fontId="10" fillId="2" borderId="9" xfId="0" applyFont="1" applyFill="1" applyBorder="1" applyAlignment="1" applyProtection="1">
      <alignment horizontal="center" vertical="center"/>
    </xf>
    <xf numFmtId="0" fontId="10" fillId="2" borderId="9" xfId="0" applyFont="1" applyFill="1" applyBorder="1" applyAlignment="1" applyProtection="1">
      <alignment horizontal="center" vertical="center" wrapText="1"/>
    </xf>
    <xf numFmtId="0" fontId="10" fillId="2" borderId="10" xfId="0" applyFont="1" applyFill="1" applyBorder="1" applyAlignment="1" applyProtection="1">
      <alignment horizontal="center" vertical="center" wrapText="1"/>
    </xf>
    <xf numFmtId="176" fontId="11" fillId="2" borderId="11" xfId="0" applyNumberFormat="1" applyFont="1" applyFill="1" applyBorder="1" applyAlignment="1" applyProtection="1">
      <alignment horizontal="center" vertical="center"/>
    </xf>
    <xf numFmtId="176" fontId="11" fillId="2" borderId="12" xfId="0" applyNumberFormat="1" applyFont="1" applyFill="1" applyBorder="1" applyAlignment="1" applyProtection="1">
      <alignment horizontal="center" vertical="center"/>
    </xf>
    <xf numFmtId="0" fontId="0" fillId="0" borderId="0" xfId="0" applyBorder="1" applyProtection="1">
      <alignment vertical="center"/>
    </xf>
    <xf numFmtId="0" fontId="0" fillId="0" borderId="13" xfId="0" applyBorder="1" applyAlignment="1" applyProtection="1">
      <alignment vertical="center"/>
    </xf>
    <xf numFmtId="0" fontId="0" fillId="0" borderId="14" xfId="0" applyBorder="1" applyAlignment="1" applyProtection="1">
      <alignment vertical="center"/>
      <protection locked="0"/>
    </xf>
    <xf numFmtId="0" fontId="12" fillId="0" borderId="14" xfId="0" applyFont="1" applyBorder="1" applyAlignment="1" applyProtection="1">
      <alignment vertical="center"/>
      <protection locked="0"/>
    </xf>
    <xf numFmtId="0" fontId="12" fillId="0" borderId="14" xfId="0" applyFont="1" applyBorder="1" applyAlignment="1" applyProtection="1">
      <alignment horizontal="center" vertical="center"/>
      <protection locked="0"/>
    </xf>
    <xf numFmtId="0" fontId="12" fillId="0" borderId="15" xfId="0" applyFont="1" applyBorder="1" applyAlignment="1" applyProtection="1">
      <alignment horizontal="center" vertical="center"/>
    </xf>
    <xf numFmtId="176" fontId="0" fillId="0" borderId="15" xfId="0" applyNumberFormat="1" applyBorder="1" applyProtection="1">
      <alignment vertical="center"/>
      <protection locked="0"/>
    </xf>
    <xf numFmtId="177" fontId="0" fillId="0" borderId="15" xfId="0" applyNumberFormat="1" applyBorder="1" applyProtection="1">
      <alignment vertical="center"/>
    </xf>
    <xf numFmtId="177" fontId="0" fillId="0" borderId="16" xfId="0" applyNumberFormat="1" applyBorder="1" applyProtection="1">
      <alignment vertical="center"/>
    </xf>
    <xf numFmtId="0" fontId="0" fillId="0" borderId="17" xfId="0" applyFill="1" applyBorder="1" applyProtection="1">
      <alignment vertical="center"/>
    </xf>
    <xf numFmtId="0" fontId="0" fillId="0" borderId="18" xfId="0" applyFill="1" applyBorder="1" applyProtection="1">
      <alignment vertical="center"/>
    </xf>
    <xf numFmtId="0" fontId="0" fillId="0" borderId="18" xfId="0" applyBorder="1" applyProtection="1">
      <alignment vertical="center"/>
    </xf>
    <xf numFmtId="0" fontId="0" fillId="0" borderId="19" xfId="0" applyBorder="1" applyProtection="1">
      <alignment vertical="center"/>
    </xf>
    <xf numFmtId="0" fontId="3" fillId="0" borderId="20" xfId="0" applyFont="1" applyBorder="1" applyAlignment="1" applyProtection="1">
      <alignment vertical="center"/>
      <protection hidden="1"/>
    </xf>
    <xf numFmtId="0" fontId="13" fillId="0" borderId="20" xfId="0" applyFont="1" applyBorder="1" applyAlignment="1" applyProtection="1">
      <alignment vertical="center"/>
      <protection hidden="1"/>
    </xf>
    <xf numFmtId="0" fontId="13" fillId="0" borderId="20" xfId="0" applyFont="1" applyBorder="1" applyAlignment="1" applyProtection="1">
      <alignment horizontal="center" vertical="center"/>
      <protection hidden="1"/>
    </xf>
    <xf numFmtId="0" fontId="12" fillId="0" borderId="21" xfId="0" applyFont="1" applyBorder="1" applyAlignment="1" applyProtection="1">
      <alignment horizontal="center" vertical="center"/>
    </xf>
    <xf numFmtId="176" fontId="0" fillId="0" borderId="21" xfId="0" applyNumberFormat="1" applyBorder="1" applyProtection="1">
      <alignment vertical="center"/>
      <protection locked="0"/>
    </xf>
    <xf numFmtId="177" fontId="0" fillId="0" borderId="22" xfId="0" applyNumberFormat="1" applyBorder="1" applyProtection="1">
      <alignment vertical="center"/>
    </xf>
    <xf numFmtId="0" fontId="0" fillId="0" borderId="23" xfId="0" applyFill="1" applyBorder="1" applyProtection="1">
      <alignment vertical="center"/>
    </xf>
    <xf numFmtId="0" fontId="0" fillId="0" borderId="24" xfId="0" applyFill="1" applyBorder="1" applyProtection="1">
      <alignment vertical="center"/>
    </xf>
    <xf numFmtId="0" fontId="0" fillId="0" borderId="24" xfId="0" applyBorder="1" applyProtection="1">
      <alignment vertical="center"/>
    </xf>
    <xf numFmtId="0" fontId="0" fillId="0" borderId="25" xfId="0" applyBorder="1" applyProtection="1">
      <alignment vertical="center"/>
    </xf>
    <xf numFmtId="0" fontId="12" fillId="0" borderId="13" xfId="0" applyFont="1" applyBorder="1" applyAlignment="1" applyProtection="1">
      <alignment vertical="center"/>
      <protection locked="0"/>
    </xf>
    <xf numFmtId="0" fontId="12" fillId="0" borderId="26" xfId="0" applyFont="1" applyBorder="1" applyAlignment="1" applyProtection="1">
      <alignment horizontal="center" vertical="center"/>
    </xf>
    <xf numFmtId="176" fontId="0" fillId="0" borderId="26" xfId="0" applyNumberFormat="1" applyBorder="1" applyProtection="1">
      <alignment vertical="center"/>
      <protection locked="0"/>
    </xf>
    <xf numFmtId="177" fontId="0" fillId="0" borderId="27" xfId="0" applyNumberFormat="1" applyBorder="1" applyProtection="1">
      <alignment vertical="center"/>
    </xf>
    <xf numFmtId="0" fontId="0" fillId="0" borderId="28" xfId="0" applyFill="1" applyBorder="1" applyProtection="1">
      <alignment vertical="center"/>
    </xf>
    <xf numFmtId="0" fontId="0" fillId="0" borderId="29" xfId="0" applyFill="1" applyBorder="1" applyProtection="1">
      <alignment vertical="center"/>
    </xf>
    <xf numFmtId="0" fontId="0" fillId="0" borderId="29" xfId="0" applyBorder="1" applyProtection="1">
      <alignment vertical="center"/>
    </xf>
    <xf numFmtId="0" fontId="0" fillId="0" borderId="30" xfId="0" applyBorder="1" applyProtection="1">
      <alignment vertical="center"/>
    </xf>
    <xf numFmtId="0" fontId="12" fillId="0" borderId="31" xfId="0" applyFont="1" applyBorder="1" applyAlignment="1" applyProtection="1">
      <alignment horizontal="center" vertical="center"/>
    </xf>
    <xf numFmtId="176" fontId="0" fillId="0" borderId="31" xfId="0" applyNumberFormat="1" applyBorder="1" applyProtection="1">
      <alignment vertical="center"/>
      <protection locked="0"/>
    </xf>
    <xf numFmtId="177" fontId="0" fillId="0" borderId="31" xfId="0" applyNumberFormat="1" applyBorder="1" applyProtection="1">
      <alignment vertical="center"/>
    </xf>
    <xf numFmtId="177" fontId="0" fillId="0" borderId="32" xfId="0" applyNumberFormat="1" applyBorder="1" applyProtection="1">
      <alignment vertical="center"/>
    </xf>
    <xf numFmtId="0" fontId="0" fillId="0" borderId="33" xfId="0" applyFill="1" applyBorder="1" applyProtection="1">
      <alignment vertical="center"/>
    </xf>
    <xf numFmtId="0" fontId="0" fillId="0" borderId="34" xfId="0" applyFill="1" applyBorder="1" applyProtection="1">
      <alignment vertical="center"/>
    </xf>
    <xf numFmtId="0" fontId="0" fillId="0" borderId="34" xfId="0" applyBorder="1" applyProtection="1">
      <alignment vertical="center"/>
    </xf>
    <xf numFmtId="0" fontId="0" fillId="0" borderId="35" xfId="0" applyBorder="1" applyProtection="1">
      <alignment vertical="center"/>
    </xf>
    <xf numFmtId="0" fontId="12" fillId="0" borderId="36" xfId="0" applyFont="1" applyBorder="1" applyAlignment="1" applyProtection="1">
      <alignment horizontal="center" vertical="center"/>
    </xf>
    <xf numFmtId="176" fontId="0" fillId="0" borderId="36" xfId="0" applyNumberFormat="1" applyBorder="1" applyProtection="1">
      <alignment vertical="center"/>
      <protection locked="0"/>
    </xf>
    <xf numFmtId="177" fontId="0" fillId="0" borderId="36" xfId="0" applyNumberFormat="1" applyBorder="1" applyProtection="1">
      <alignment vertical="center"/>
    </xf>
    <xf numFmtId="177" fontId="0" fillId="0" borderId="37" xfId="0" applyNumberFormat="1" applyBorder="1" applyProtection="1">
      <alignment vertical="center"/>
    </xf>
    <xf numFmtId="0" fontId="0" fillId="0" borderId="38" xfId="0" applyFill="1" applyBorder="1" applyProtection="1">
      <alignment vertical="center"/>
    </xf>
    <xf numFmtId="0" fontId="0" fillId="0" borderId="39" xfId="0" applyFill="1" applyBorder="1" applyProtection="1">
      <alignment vertical="center"/>
    </xf>
    <xf numFmtId="0" fontId="0" fillId="0" borderId="39" xfId="0" applyBorder="1" applyProtection="1">
      <alignment vertical="center"/>
    </xf>
    <xf numFmtId="0" fontId="0" fillId="0" borderId="8" xfId="0" applyBorder="1" applyProtection="1">
      <alignment vertical="center"/>
    </xf>
    <xf numFmtId="0" fontId="13" fillId="3" borderId="40" xfId="0" applyFont="1" applyFill="1" applyBorder="1" applyAlignment="1">
      <alignment horizontal="center" vertical="center"/>
    </xf>
    <xf numFmtId="0" fontId="0" fillId="0" borderId="0" xfId="0" applyBorder="1" applyAlignment="1" applyProtection="1">
      <alignment vertical="center"/>
    </xf>
    <xf numFmtId="0" fontId="0" fillId="0" borderId="41" xfId="0" applyBorder="1" applyProtection="1">
      <alignment vertical="center"/>
      <protection locked="0"/>
    </xf>
    <xf numFmtId="0" fontId="0" fillId="0" borderId="42" xfId="0" applyBorder="1" applyProtection="1">
      <alignment vertical="center"/>
      <protection locked="0"/>
    </xf>
    <xf numFmtId="0" fontId="5" fillId="0" borderId="0" xfId="7">
      <alignment vertical="center"/>
    </xf>
    <xf numFmtId="0" fontId="16" fillId="0" borderId="0" xfId="2" applyFont="1" applyAlignment="1" applyProtection="1">
      <alignment vertical="center"/>
    </xf>
    <xf numFmtId="0" fontId="0" fillId="0" borderId="43" xfId="7" applyFont="1" applyBorder="1" applyAlignment="1">
      <alignment horizontal="left" vertical="center" indent="1"/>
    </xf>
    <xf numFmtId="0" fontId="3" fillId="0" borderId="44" xfId="7" applyFont="1" applyBorder="1">
      <alignment vertical="center"/>
    </xf>
    <xf numFmtId="0" fontId="0" fillId="0" borderId="45" xfId="7" applyFont="1" applyBorder="1" applyAlignment="1">
      <alignment horizontal="left" vertical="center" indent="1"/>
    </xf>
    <xf numFmtId="0" fontId="3" fillId="0" borderId="46" xfId="7" applyFont="1" applyBorder="1">
      <alignment vertical="center"/>
    </xf>
    <xf numFmtId="0" fontId="17" fillId="0" borderId="47" xfId="7" applyFont="1" applyFill="1" applyBorder="1" applyAlignment="1">
      <alignment horizontal="center" vertical="center"/>
    </xf>
    <xf numFmtId="0" fontId="3" fillId="0" borderId="0" xfId="7" applyFont="1" applyBorder="1" applyAlignment="1">
      <alignment horizontal="left" vertical="center" indent="1"/>
    </xf>
    <xf numFmtId="0" fontId="3" fillId="0" borderId="47" xfId="7" applyFont="1" applyBorder="1">
      <alignment vertical="center"/>
    </xf>
    <xf numFmtId="0" fontId="1" fillId="0" borderId="48" xfId="7" applyFont="1" applyBorder="1" applyAlignment="1">
      <alignment horizontal="left" vertical="center" wrapText="1" indent="1"/>
    </xf>
    <xf numFmtId="0" fontId="0" fillId="0" borderId="49" xfId="7" applyFont="1" applyBorder="1" applyAlignment="1">
      <alignment horizontal="left" vertical="center" wrapText="1" indent="1"/>
    </xf>
    <xf numFmtId="0" fontId="0" fillId="0" borderId="50" xfId="7" applyFont="1" applyBorder="1" applyAlignment="1">
      <alignment horizontal="left" vertical="center" wrapText="1" indent="1"/>
    </xf>
    <xf numFmtId="0" fontId="0" fillId="0" borderId="51" xfId="7" applyFont="1" applyBorder="1" applyAlignment="1">
      <alignment horizontal="left" vertical="center" wrapText="1" indent="1"/>
    </xf>
    <xf numFmtId="0" fontId="0" fillId="0" borderId="52" xfId="7" applyFont="1" applyBorder="1" applyAlignment="1">
      <alignment horizontal="left" vertical="center" wrapText="1" indent="1"/>
    </xf>
    <xf numFmtId="0" fontId="0" fillId="0" borderId="53" xfId="7" applyFont="1" applyBorder="1" applyAlignment="1">
      <alignment horizontal="left" vertical="center" wrapText="1" indent="1"/>
    </xf>
    <xf numFmtId="0" fontId="0" fillId="0" borderId="54" xfId="7" applyFont="1" applyBorder="1" applyAlignment="1">
      <alignment horizontal="left" vertical="center" wrapText="1" indent="1"/>
    </xf>
    <xf numFmtId="0" fontId="0" fillId="0" borderId="55" xfId="7" applyFont="1" applyBorder="1" applyAlignment="1">
      <alignment horizontal="left" vertical="center" wrapText="1" indent="1"/>
    </xf>
    <xf numFmtId="0" fontId="0" fillId="0" borderId="56" xfId="7" applyFont="1" applyBorder="1" applyAlignment="1">
      <alignment horizontal="left" vertical="center" wrapText="1" indent="1"/>
    </xf>
    <xf numFmtId="0" fontId="0" fillId="0" borderId="57" xfId="7" applyFont="1" applyBorder="1" applyAlignment="1">
      <alignment horizontal="left" vertical="center" wrapText="1" indent="1"/>
    </xf>
    <xf numFmtId="0" fontId="1" fillId="0" borderId="0" xfId="7" applyFont="1">
      <alignment vertical="center"/>
    </xf>
    <xf numFmtId="0" fontId="6" fillId="0" borderId="0" xfId="7" applyFont="1">
      <alignment vertical="center"/>
    </xf>
    <xf numFmtId="0" fontId="5" fillId="0" borderId="0" xfId="7" applyAlignment="1">
      <alignment horizontal="center" vertical="center"/>
    </xf>
    <xf numFmtId="0" fontId="5" fillId="0" borderId="0" xfId="7" applyAlignment="1">
      <alignment horizontal="right" vertical="center"/>
    </xf>
    <xf numFmtId="0" fontId="5" fillId="0" borderId="0" xfId="5" applyFont="1">
      <alignment vertical="center"/>
    </xf>
    <xf numFmtId="0" fontId="1" fillId="0" borderId="0" xfId="5" applyAlignment="1">
      <alignment horizontal="center" vertical="center"/>
    </xf>
    <xf numFmtId="0" fontId="1" fillId="0" borderId="0" xfId="5">
      <alignment vertical="center"/>
    </xf>
    <xf numFmtId="0" fontId="0" fillId="0" borderId="0" xfId="5" applyFont="1" applyAlignment="1">
      <alignment horizontal="center" vertical="center"/>
    </xf>
    <xf numFmtId="0" fontId="0" fillId="0" borderId="0" xfId="5" applyFont="1">
      <alignment vertical="center"/>
    </xf>
    <xf numFmtId="0" fontId="5" fillId="0" borderId="0" xfId="7" applyFont="1">
      <alignment vertical="center"/>
    </xf>
    <xf numFmtId="0" fontId="18" fillId="0" borderId="0" xfId="5" applyFont="1">
      <alignment vertical="center"/>
    </xf>
    <xf numFmtId="0" fontId="7" fillId="0" borderId="0" xfId="5" applyFont="1">
      <alignment vertical="center"/>
    </xf>
    <xf numFmtId="0" fontId="1" fillId="0" borderId="0" xfId="5" applyAlignment="1">
      <alignment horizontal="right" vertical="center"/>
    </xf>
    <xf numFmtId="0" fontId="19" fillId="0" borderId="0" xfId="0" applyFont="1" applyBorder="1" applyAlignment="1" applyProtection="1">
      <alignment vertical="center"/>
    </xf>
    <xf numFmtId="0" fontId="0" fillId="0" borderId="2" xfId="0" applyBorder="1" applyAlignment="1" applyProtection="1">
      <alignment vertical="center" wrapText="1" shrinkToFit="1"/>
      <protection locked="0"/>
    </xf>
    <xf numFmtId="0" fontId="13" fillId="3" borderId="40" xfId="0" applyFont="1" applyFill="1" applyBorder="1" applyAlignment="1" applyProtection="1">
      <alignment horizontal="center" vertical="center"/>
      <protection locked="0"/>
    </xf>
    <xf numFmtId="0" fontId="17" fillId="3" borderId="1" xfId="7" applyFont="1" applyFill="1" applyBorder="1" applyAlignment="1">
      <alignment horizontal="center" vertical="center"/>
    </xf>
    <xf numFmtId="0" fontId="0" fillId="0" borderId="58" xfId="7" applyFont="1" applyBorder="1" applyAlignment="1">
      <alignment horizontal="left" vertical="center" wrapText="1" indent="1"/>
    </xf>
    <xf numFmtId="0" fontId="0" fillId="0" borderId="59" xfId="7" applyFont="1" applyBorder="1" applyAlignment="1">
      <alignment horizontal="left" vertical="center" wrapText="1" indent="1"/>
    </xf>
    <xf numFmtId="0" fontId="1" fillId="0" borderId="0" xfId="6"/>
    <xf numFmtId="0" fontId="21" fillId="0" borderId="0" xfId="6" applyFont="1"/>
    <xf numFmtId="0" fontId="3" fillId="4" borderId="0" xfId="6" applyFont="1" applyFill="1" applyAlignment="1">
      <alignment horizontal="left" vertical="center" indent="1"/>
    </xf>
    <xf numFmtId="0" fontId="3" fillId="4" borderId="0" xfId="6" applyFont="1" applyFill="1"/>
    <xf numFmtId="0" fontId="22" fillId="0" borderId="0" xfId="1" applyFont="1" applyAlignment="1" applyProtection="1">
      <alignment horizontal="center" vertical="center"/>
    </xf>
    <xf numFmtId="0" fontId="0" fillId="0" borderId="0" xfId="0" applyBorder="1" applyProtection="1">
      <alignment vertical="center"/>
      <protection locked="0"/>
    </xf>
    <xf numFmtId="0" fontId="8" fillId="0" borderId="2" xfId="0" applyFont="1" applyBorder="1" applyAlignment="1" applyProtection="1">
      <alignment horizontal="center" vertical="center"/>
      <protection locked="0"/>
    </xf>
    <xf numFmtId="0" fontId="0" fillId="0" borderId="0" xfId="0" applyProtection="1">
      <alignment vertical="center"/>
      <protection locked="0"/>
    </xf>
    <xf numFmtId="0" fontId="3" fillId="0" borderId="0" xfId="0" applyFont="1" applyFill="1">
      <alignment vertical="center"/>
    </xf>
    <xf numFmtId="0" fontId="1" fillId="0" borderId="0" xfId="5" applyFont="1" applyAlignment="1">
      <alignment horizontal="center" vertical="center"/>
    </xf>
    <xf numFmtId="0" fontId="5" fillId="0" borderId="0" xfId="7" applyFont="1" applyAlignment="1">
      <alignment horizontal="center" vertical="center"/>
    </xf>
    <xf numFmtId="0" fontId="15" fillId="3" borderId="60" xfId="4" applyFont="1" applyFill="1" applyBorder="1" applyAlignment="1" applyProtection="1">
      <alignment horizontal="center" vertical="center"/>
      <protection hidden="1"/>
    </xf>
    <xf numFmtId="0" fontId="15" fillId="3" borderId="61" xfId="4" applyFont="1" applyFill="1" applyBorder="1" applyAlignment="1" applyProtection="1">
      <alignment horizontal="center" vertical="center"/>
      <protection hidden="1"/>
    </xf>
    <xf numFmtId="0" fontId="15" fillId="3" borderId="62" xfId="4" applyFont="1" applyFill="1" applyBorder="1" applyAlignment="1" applyProtection="1">
      <alignment horizontal="center" vertical="center"/>
      <protection hidden="1"/>
    </xf>
    <xf numFmtId="0" fontId="17" fillId="3" borderId="63" xfId="7" applyFont="1" applyFill="1" applyBorder="1" applyAlignment="1">
      <alignment horizontal="center" vertical="center"/>
    </xf>
    <xf numFmtId="0" fontId="17" fillId="3" borderId="64" xfId="7" applyFont="1" applyFill="1" applyBorder="1" applyAlignment="1">
      <alignment horizontal="center" vertical="center"/>
    </xf>
    <xf numFmtId="0" fontId="17" fillId="3" borderId="65" xfId="7" applyFont="1" applyFill="1" applyBorder="1" applyAlignment="1">
      <alignment horizontal="center" vertical="center"/>
    </xf>
    <xf numFmtId="0" fontId="17" fillId="3" borderId="66" xfId="7" applyFont="1" applyFill="1" applyBorder="1" applyAlignment="1">
      <alignment horizontal="center" vertical="center"/>
    </xf>
    <xf numFmtId="0" fontId="3" fillId="3" borderId="66" xfId="7" applyFont="1" applyFill="1" applyBorder="1" applyAlignment="1">
      <alignment vertical="center"/>
    </xf>
    <xf numFmtId="0" fontId="20" fillId="3" borderId="60" xfId="4" applyFont="1" applyFill="1" applyBorder="1" applyAlignment="1" applyProtection="1">
      <alignment horizontal="center" vertical="center"/>
      <protection hidden="1"/>
    </xf>
    <xf numFmtId="0" fontId="20" fillId="3" borderId="61" xfId="4" applyFont="1" applyFill="1" applyBorder="1" applyAlignment="1" applyProtection="1">
      <alignment horizontal="center" vertical="center"/>
      <protection hidden="1"/>
    </xf>
    <xf numFmtId="0" fontId="20" fillId="3" borderId="62" xfId="4" applyFont="1" applyFill="1" applyBorder="1" applyAlignment="1" applyProtection="1">
      <alignment horizontal="center" vertical="center"/>
      <protection hidden="1"/>
    </xf>
  </cellXfs>
  <cellStyles count="8">
    <cellStyle name="ハイパーリンク" xfId="1" builtinId="8"/>
    <cellStyle name="ハイパーリンク 2" xfId="2"/>
    <cellStyle name="桁区切り 3" xfId="3"/>
    <cellStyle name="標準" xfId="0" builtinId="0"/>
    <cellStyle name="標準 2" xfId="4"/>
    <cellStyle name="標準 2 2" xfId="5"/>
    <cellStyle name="標準 2 3" xfId="6"/>
    <cellStyle name="標準 3" xfId="7"/>
  </cellStyles>
  <dxfs count="738">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border>
        <left style="thin">
          <color indexed="23"/>
        </left>
        <right style="thin">
          <color indexed="23"/>
        </right>
        <top style="dotted">
          <color indexed="23"/>
        </top>
        <bottom style="dotted">
          <color indexed="23"/>
        </bottom>
      </border>
    </dxf>
    <dxf>
      <border>
        <left style="thin">
          <color indexed="23"/>
        </left>
        <right style="thin">
          <color indexed="23"/>
        </right>
        <top style="dotted">
          <color indexed="23"/>
        </top>
        <bottom style="thin">
          <color indexed="23"/>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ont>
        <condense val="0"/>
        <extend val="0"/>
        <color indexed="10"/>
      </font>
    </dxf>
    <dxf>
      <font>
        <condense val="0"/>
        <extend val="0"/>
        <color indexed="18"/>
      </font>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ont>
        <condense val="0"/>
        <extend val="0"/>
        <color indexed="10"/>
      </font>
    </dxf>
    <dxf>
      <font>
        <condense val="0"/>
        <extend val="0"/>
        <color indexed="18"/>
      </font>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ont>
        <condense val="0"/>
        <extend val="0"/>
        <color indexed="10"/>
      </font>
    </dxf>
    <dxf>
      <font>
        <condense val="0"/>
        <extend val="0"/>
        <color indexed="18"/>
      </font>
    </dxf>
    <dxf>
      <font>
        <condense val="0"/>
        <extend val="0"/>
        <color indexed="10"/>
      </font>
    </dxf>
    <dxf>
      <font>
        <condense val="0"/>
        <extend val="0"/>
        <color indexed="18"/>
      </font>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s>
  <tableStyles count="1" defaultTableStyle="TableStyleMedium9" defaultPivotStyle="PivotStyleLight16">
    <tableStyle name="MySqlDefault" pivot="0" table="0" count="0"/>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hyperlink" Target="#&#12510;&#12473;&#12479;!A1"/><Relationship Id="rId1" Type="http://schemas.openxmlformats.org/officeDocument/2006/relationships/hyperlink" Target="#&#12513;&#12491;&#12517;&#12540;!A1"/></Relationships>
</file>

<file path=xl/drawings/_rels/drawing2.xml.rels><?xml version="1.0" encoding="UTF-8" standalone="yes"?>
<Relationships xmlns="http://schemas.openxmlformats.org/package/2006/relationships"><Relationship Id="rId2" Type="http://schemas.openxmlformats.org/officeDocument/2006/relationships/hyperlink" Target="#&#24037;&#31243;&#31649;&#29702;&#34920;!A1"/><Relationship Id="rId1" Type="http://schemas.openxmlformats.org/officeDocument/2006/relationships/hyperlink" Target="#&#12513;&#12491;&#12517;&#12540;!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4</xdr:col>
      <xdr:colOff>152400</xdr:colOff>
      <xdr:row>0</xdr:row>
      <xdr:rowOff>142875</xdr:rowOff>
    </xdr:from>
    <xdr:to>
      <xdr:col>6</xdr:col>
      <xdr:colOff>104775</xdr:colOff>
      <xdr:row>2</xdr:row>
      <xdr:rowOff>0</xdr:rowOff>
    </xdr:to>
    <xdr:sp macro="[0]!CallDataClear" textlink="">
      <xdr:nvSpPr>
        <xdr:cNvPr id="976913" name="Rectangle 17"/>
        <xdr:cNvSpPr>
          <a:spLocks noChangeArrowheads="1"/>
        </xdr:cNvSpPr>
      </xdr:nvSpPr>
      <xdr:spPr bwMode="auto">
        <a:xfrm>
          <a:off x="4752975" y="142875"/>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データクリア</a:t>
          </a:r>
        </a:p>
      </xdr:txBody>
    </xdr:sp>
    <xdr:clientData fPrintsWithSheet="0"/>
  </xdr:twoCellAnchor>
  <xdr:twoCellAnchor>
    <xdr:from>
      <xdr:col>6</xdr:col>
      <xdr:colOff>485775</xdr:colOff>
      <xdr:row>0</xdr:row>
      <xdr:rowOff>142875</xdr:rowOff>
    </xdr:from>
    <xdr:to>
      <xdr:col>8</xdr:col>
      <xdr:colOff>342900</xdr:colOff>
      <xdr:row>2</xdr:row>
      <xdr:rowOff>0</xdr:rowOff>
    </xdr:to>
    <xdr:sp macro="" textlink="">
      <xdr:nvSpPr>
        <xdr:cNvPr id="976914" name="Rectangle 18">
          <a:hlinkClick xmlns:r="http://schemas.openxmlformats.org/officeDocument/2006/relationships" r:id="rId1"/>
        </xdr:cNvPr>
        <xdr:cNvSpPr>
          <a:spLocks noChangeArrowheads="1"/>
        </xdr:cNvSpPr>
      </xdr:nvSpPr>
      <xdr:spPr bwMode="auto">
        <a:xfrm>
          <a:off x="6238875" y="142875"/>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メニュー</a:t>
          </a:r>
        </a:p>
      </xdr:txBody>
    </xdr:sp>
    <xdr:clientData fPrintsWithSheet="0"/>
  </xdr:twoCellAnchor>
  <xdr:twoCellAnchor>
    <xdr:from>
      <xdr:col>6</xdr:col>
      <xdr:colOff>485775</xdr:colOff>
      <xdr:row>2</xdr:row>
      <xdr:rowOff>161925</xdr:rowOff>
    </xdr:from>
    <xdr:to>
      <xdr:col>8</xdr:col>
      <xdr:colOff>342900</xdr:colOff>
      <xdr:row>4</xdr:row>
      <xdr:rowOff>19050</xdr:rowOff>
    </xdr:to>
    <xdr:sp macro="" textlink="">
      <xdr:nvSpPr>
        <xdr:cNvPr id="976915" name="Rectangle 19">
          <a:hlinkClick xmlns:r="http://schemas.openxmlformats.org/officeDocument/2006/relationships" r:id="rId2"/>
        </xdr:cNvPr>
        <xdr:cNvSpPr>
          <a:spLocks noChangeArrowheads="1"/>
        </xdr:cNvSpPr>
      </xdr:nvSpPr>
      <xdr:spPr bwMode="auto">
        <a:xfrm>
          <a:off x="6238875" y="609600"/>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マスタ</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7</xdr:col>
      <xdr:colOff>257175</xdr:colOff>
      <xdr:row>0</xdr:row>
      <xdr:rowOff>133350</xdr:rowOff>
    </xdr:from>
    <xdr:to>
      <xdr:col>9</xdr:col>
      <xdr:colOff>85725</xdr:colOff>
      <xdr:row>2</xdr:row>
      <xdr:rowOff>95250</xdr:rowOff>
    </xdr:to>
    <xdr:sp macro="" textlink="">
      <xdr:nvSpPr>
        <xdr:cNvPr id="979970" name="Rectangle 2">
          <a:hlinkClick xmlns:r="http://schemas.openxmlformats.org/officeDocument/2006/relationships" r:id="rId1"/>
        </xdr:cNvPr>
        <xdr:cNvSpPr>
          <a:spLocks noChangeArrowheads="1"/>
        </xdr:cNvSpPr>
      </xdr:nvSpPr>
      <xdr:spPr bwMode="auto">
        <a:xfrm>
          <a:off x="6334125" y="133350"/>
          <a:ext cx="120015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メニュー</a:t>
          </a:r>
        </a:p>
      </xdr:txBody>
    </xdr:sp>
    <xdr:clientData fPrintsWithSheet="0"/>
  </xdr:twoCellAnchor>
  <xdr:twoCellAnchor>
    <xdr:from>
      <xdr:col>7</xdr:col>
      <xdr:colOff>257175</xdr:colOff>
      <xdr:row>3</xdr:row>
      <xdr:rowOff>85725</xdr:rowOff>
    </xdr:from>
    <xdr:to>
      <xdr:col>9</xdr:col>
      <xdr:colOff>85725</xdr:colOff>
      <xdr:row>5</xdr:row>
      <xdr:rowOff>47625</xdr:rowOff>
    </xdr:to>
    <xdr:sp macro="" textlink="">
      <xdr:nvSpPr>
        <xdr:cNvPr id="979971" name="Rectangle 3">
          <a:hlinkClick xmlns:r="http://schemas.openxmlformats.org/officeDocument/2006/relationships" r:id="rId2"/>
        </xdr:cNvPr>
        <xdr:cNvSpPr>
          <a:spLocks noChangeArrowheads="1"/>
        </xdr:cNvSpPr>
      </xdr:nvSpPr>
      <xdr:spPr bwMode="auto">
        <a:xfrm>
          <a:off x="6334125" y="600075"/>
          <a:ext cx="120015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工程管理表</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619125</xdr:colOff>
      <xdr:row>28</xdr:row>
      <xdr:rowOff>114300</xdr:rowOff>
    </xdr:from>
    <xdr:to>
      <xdr:col>11</xdr:col>
      <xdr:colOff>76200</xdr:colOff>
      <xdr:row>42</xdr:row>
      <xdr:rowOff>152400</xdr:rowOff>
    </xdr:to>
    <xdr:pic>
      <xdr:nvPicPr>
        <xdr:cNvPr id="981050"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b="7246"/>
        <a:stretch>
          <a:fillRect/>
        </a:stretch>
      </xdr:blipFill>
      <xdr:spPr bwMode="auto">
        <a:xfrm>
          <a:off x="619125" y="4562475"/>
          <a:ext cx="7315200" cy="2438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400050</xdr:colOff>
      <xdr:row>28</xdr:row>
      <xdr:rowOff>152400</xdr:rowOff>
    </xdr:from>
    <xdr:to>
      <xdr:col>5</xdr:col>
      <xdr:colOff>95250</xdr:colOff>
      <xdr:row>30</xdr:row>
      <xdr:rowOff>104775</xdr:rowOff>
    </xdr:to>
    <xdr:sp macro="" textlink="">
      <xdr:nvSpPr>
        <xdr:cNvPr id="980995" name="AutoShape 3"/>
        <xdr:cNvSpPr>
          <a:spLocks noChangeArrowheads="1"/>
        </xdr:cNvSpPr>
      </xdr:nvSpPr>
      <xdr:spPr bwMode="auto">
        <a:xfrm>
          <a:off x="3667125" y="4600575"/>
          <a:ext cx="381000" cy="295275"/>
        </a:xfrm>
        <a:prstGeom prst="wedgeRectCallout">
          <a:avLst>
            <a:gd name="adj1" fmla="val -92500"/>
            <a:gd name="adj2" fmla="val 27421"/>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A</a:t>
          </a:r>
        </a:p>
      </xdr:txBody>
    </xdr:sp>
    <xdr:clientData/>
  </xdr:twoCellAnchor>
  <xdr:twoCellAnchor>
    <xdr:from>
      <xdr:col>4</xdr:col>
      <xdr:colOff>409575</xdr:colOff>
      <xdr:row>31</xdr:row>
      <xdr:rowOff>28575</xdr:rowOff>
    </xdr:from>
    <xdr:to>
      <xdr:col>5</xdr:col>
      <xdr:colOff>104775</xdr:colOff>
      <xdr:row>32</xdr:row>
      <xdr:rowOff>152400</xdr:rowOff>
    </xdr:to>
    <xdr:sp macro="" textlink="">
      <xdr:nvSpPr>
        <xdr:cNvPr id="980996" name="AutoShape 4"/>
        <xdr:cNvSpPr>
          <a:spLocks noChangeArrowheads="1"/>
        </xdr:cNvSpPr>
      </xdr:nvSpPr>
      <xdr:spPr bwMode="auto">
        <a:xfrm>
          <a:off x="3676650" y="4991100"/>
          <a:ext cx="381000" cy="295275"/>
        </a:xfrm>
        <a:prstGeom prst="wedgeRectCallout">
          <a:avLst>
            <a:gd name="adj1" fmla="val -102500"/>
            <a:gd name="adj2" fmla="val 33870"/>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B</a:t>
          </a:r>
        </a:p>
      </xdr:txBody>
    </xdr:sp>
    <xdr:clientData/>
  </xdr:twoCellAnchor>
  <xdr:twoCellAnchor>
    <xdr:from>
      <xdr:col>4</xdr:col>
      <xdr:colOff>333375</xdr:colOff>
      <xdr:row>36</xdr:row>
      <xdr:rowOff>9525</xdr:rowOff>
    </xdr:from>
    <xdr:to>
      <xdr:col>5</xdr:col>
      <xdr:colOff>28575</xdr:colOff>
      <xdr:row>37</xdr:row>
      <xdr:rowOff>133350</xdr:rowOff>
    </xdr:to>
    <xdr:sp macro="" textlink="">
      <xdr:nvSpPr>
        <xdr:cNvPr id="980997" name="AutoShape 5"/>
        <xdr:cNvSpPr>
          <a:spLocks noChangeArrowheads="1"/>
        </xdr:cNvSpPr>
      </xdr:nvSpPr>
      <xdr:spPr bwMode="auto">
        <a:xfrm>
          <a:off x="3600450" y="5829300"/>
          <a:ext cx="381000" cy="295275"/>
        </a:xfrm>
        <a:prstGeom prst="wedgeRectCallout">
          <a:avLst>
            <a:gd name="adj1" fmla="val -65000"/>
            <a:gd name="adj2" fmla="val 111292"/>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a:t>
          </a:r>
        </a:p>
      </xdr:txBody>
    </xdr:sp>
    <xdr:clientData/>
  </xdr:twoCellAnchor>
  <xdr:twoCellAnchor>
    <xdr:from>
      <xdr:col>1</xdr:col>
      <xdr:colOff>542925</xdr:colOff>
      <xdr:row>38</xdr:row>
      <xdr:rowOff>28575</xdr:rowOff>
    </xdr:from>
    <xdr:to>
      <xdr:col>5</xdr:col>
      <xdr:colOff>266700</xdr:colOff>
      <xdr:row>39</xdr:row>
      <xdr:rowOff>85725</xdr:rowOff>
    </xdr:to>
    <xdr:sp macro="" textlink="">
      <xdr:nvSpPr>
        <xdr:cNvPr id="981054" name="AutoShape 6"/>
        <xdr:cNvSpPr>
          <a:spLocks/>
        </xdr:cNvSpPr>
      </xdr:nvSpPr>
      <xdr:spPr bwMode="auto">
        <a:xfrm rot="-5400000">
          <a:off x="2609850" y="4810125"/>
          <a:ext cx="228600" cy="2990850"/>
        </a:xfrm>
        <a:prstGeom prst="rightBrace">
          <a:avLst>
            <a:gd name="adj1" fmla="val 109028"/>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628650</xdr:colOff>
      <xdr:row>35</xdr:row>
      <xdr:rowOff>104775</xdr:rowOff>
    </xdr:from>
    <xdr:to>
      <xdr:col>7</xdr:col>
      <xdr:colOff>323850</xdr:colOff>
      <xdr:row>37</xdr:row>
      <xdr:rowOff>57150</xdr:rowOff>
    </xdr:to>
    <xdr:sp macro="" textlink="">
      <xdr:nvSpPr>
        <xdr:cNvPr id="980999" name="AutoShape 7"/>
        <xdr:cNvSpPr>
          <a:spLocks noChangeArrowheads="1"/>
        </xdr:cNvSpPr>
      </xdr:nvSpPr>
      <xdr:spPr bwMode="auto">
        <a:xfrm>
          <a:off x="5267325" y="5753100"/>
          <a:ext cx="381000" cy="295275"/>
        </a:xfrm>
        <a:prstGeom prst="wedgeRectCallout">
          <a:avLst>
            <a:gd name="adj1" fmla="val -65000"/>
            <a:gd name="adj2" fmla="val 111292"/>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D</a:t>
          </a:r>
        </a:p>
      </xdr:txBody>
    </xdr:sp>
    <xdr:clientData/>
  </xdr:twoCellAnchor>
  <xdr:twoCellAnchor>
    <xdr:from>
      <xdr:col>6</xdr:col>
      <xdr:colOff>9525</xdr:colOff>
      <xdr:row>38</xdr:row>
      <xdr:rowOff>19050</xdr:rowOff>
    </xdr:from>
    <xdr:to>
      <xdr:col>7</xdr:col>
      <xdr:colOff>323850</xdr:colOff>
      <xdr:row>39</xdr:row>
      <xdr:rowOff>114300</xdr:rowOff>
    </xdr:to>
    <xdr:sp macro="" textlink="">
      <xdr:nvSpPr>
        <xdr:cNvPr id="981056" name="AutoShape 8"/>
        <xdr:cNvSpPr>
          <a:spLocks/>
        </xdr:cNvSpPr>
      </xdr:nvSpPr>
      <xdr:spPr bwMode="auto">
        <a:xfrm rot="-5400000">
          <a:off x="5014913" y="5815012"/>
          <a:ext cx="266700" cy="1000125"/>
        </a:xfrm>
        <a:prstGeom prst="rightBrace">
          <a:avLst>
            <a:gd name="adj1" fmla="val 3125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476250</xdr:colOff>
      <xdr:row>27</xdr:row>
      <xdr:rowOff>161925</xdr:rowOff>
    </xdr:from>
    <xdr:to>
      <xdr:col>7</xdr:col>
      <xdr:colOff>171450</xdr:colOff>
      <xdr:row>29</xdr:row>
      <xdr:rowOff>114300</xdr:rowOff>
    </xdr:to>
    <xdr:sp macro="" textlink="">
      <xdr:nvSpPr>
        <xdr:cNvPr id="981001" name="AutoShape 9"/>
        <xdr:cNvSpPr>
          <a:spLocks noChangeArrowheads="1"/>
        </xdr:cNvSpPr>
      </xdr:nvSpPr>
      <xdr:spPr bwMode="auto">
        <a:xfrm>
          <a:off x="5114925" y="4438650"/>
          <a:ext cx="381000" cy="295275"/>
        </a:xfrm>
        <a:prstGeom prst="wedgeRectCallout">
          <a:avLst>
            <a:gd name="adj1" fmla="val -77500"/>
            <a:gd name="adj2" fmla="val 59676"/>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838200</xdr:colOff>
      <xdr:row>7</xdr:row>
      <xdr:rowOff>66675</xdr:rowOff>
    </xdr:from>
    <xdr:to>
      <xdr:col>6</xdr:col>
      <xdr:colOff>514350</xdr:colOff>
      <xdr:row>26</xdr:row>
      <xdr:rowOff>114300</xdr:rowOff>
    </xdr:to>
    <xdr:pic>
      <xdr:nvPicPr>
        <xdr:cNvPr id="98208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200" y="1266825"/>
          <a:ext cx="4010025" cy="3305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885825</xdr:colOff>
      <xdr:row>30</xdr:row>
      <xdr:rowOff>114300</xdr:rowOff>
    </xdr:from>
    <xdr:to>
      <xdr:col>7</xdr:col>
      <xdr:colOff>9525</xdr:colOff>
      <xdr:row>40</xdr:row>
      <xdr:rowOff>104775</xdr:rowOff>
    </xdr:to>
    <xdr:pic>
      <xdr:nvPicPr>
        <xdr:cNvPr id="98208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5825" y="5257800"/>
          <a:ext cx="414337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xdr:col>
      <xdr:colOff>28575</xdr:colOff>
      <xdr:row>13</xdr:row>
      <xdr:rowOff>76200</xdr:rowOff>
    </xdr:from>
    <xdr:to>
      <xdr:col>6</xdr:col>
      <xdr:colOff>390525</xdr:colOff>
      <xdr:row>17</xdr:row>
      <xdr:rowOff>57150</xdr:rowOff>
    </xdr:to>
    <xdr:sp macro="" textlink="">
      <xdr:nvSpPr>
        <xdr:cNvPr id="982089" name="Oval 3"/>
        <xdr:cNvSpPr>
          <a:spLocks noChangeArrowheads="1"/>
        </xdr:cNvSpPr>
      </xdr:nvSpPr>
      <xdr:spPr bwMode="auto">
        <a:xfrm>
          <a:off x="933450" y="2305050"/>
          <a:ext cx="3790950" cy="66675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66675</xdr:colOff>
      <xdr:row>38</xdr:row>
      <xdr:rowOff>0</xdr:rowOff>
    </xdr:from>
    <xdr:to>
      <xdr:col>5</xdr:col>
      <xdr:colOff>257175</xdr:colOff>
      <xdr:row>41</xdr:row>
      <xdr:rowOff>66675</xdr:rowOff>
    </xdr:to>
    <xdr:sp macro="" textlink="">
      <xdr:nvSpPr>
        <xdr:cNvPr id="982090" name="Oval 4"/>
        <xdr:cNvSpPr>
          <a:spLocks noChangeArrowheads="1"/>
        </xdr:cNvSpPr>
      </xdr:nvSpPr>
      <xdr:spPr bwMode="auto">
        <a:xfrm>
          <a:off x="2343150" y="6515100"/>
          <a:ext cx="1562100" cy="581025"/>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523875</xdr:colOff>
      <xdr:row>10</xdr:row>
      <xdr:rowOff>19050</xdr:rowOff>
    </xdr:from>
    <xdr:to>
      <xdr:col>19</xdr:col>
      <xdr:colOff>581025</xdr:colOff>
      <xdr:row>25</xdr:row>
      <xdr:rowOff>0</xdr:rowOff>
    </xdr:to>
    <xdr:pic>
      <xdr:nvPicPr>
        <xdr:cNvPr id="982091" name="Picture 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22144" b="60876"/>
        <a:stretch>
          <a:fillRect/>
        </a:stretch>
      </xdr:blipFill>
      <xdr:spPr bwMode="auto">
        <a:xfrm>
          <a:off x="7239000" y="1733550"/>
          <a:ext cx="6229350" cy="2552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10</xdr:col>
      <xdr:colOff>590550</xdr:colOff>
      <xdr:row>29</xdr:row>
      <xdr:rowOff>161925</xdr:rowOff>
    </xdr:from>
    <xdr:to>
      <xdr:col>16</xdr:col>
      <xdr:colOff>104775</xdr:colOff>
      <xdr:row>33</xdr:row>
      <xdr:rowOff>47625</xdr:rowOff>
    </xdr:to>
    <xdr:pic>
      <xdr:nvPicPr>
        <xdr:cNvPr id="982092" name="Picture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305675" y="5133975"/>
          <a:ext cx="36290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10</xdr:col>
      <xdr:colOff>638175</xdr:colOff>
      <xdr:row>35</xdr:row>
      <xdr:rowOff>161925</xdr:rowOff>
    </xdr:from>
    <xdr:to>
      <xdr:col>17</xdr:col>
      <xdr:colOff>514350</xdr:colOff>
      <xdr:row>60</xdr:row>
      <xdr:rowOff>38100</xdr:rowOff>
    </xdr:to>
    <xdr:pic>
      <xdr:nvPicPr>
        <xdr:cNvPr id="982093" name="Picture 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353300" y="6162675"/>
          <a:ext cx="4676775" cy="416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11</xdr:col>
      <xdr:colOff>171450</xdr:colOff>
      <xdr:row>48</xdr:row>
      <xdr:rowOff>66675</xdr:rowOff>
    </xdr:from>
    <xdr:to>
      <xdr:col>14</xdr:col>
      <xdr:colOff>295275</xdr:colOff>
      <xdr:row>51</xdr:row>
      <xdr:rowOff>133350</xdr:rowOff>
    </xdr:to>
    <xdr:sp macro="" textlink="">
      <xdr:nvSpPr>
        <xdr:cNvPr id="982094" name="Oval 8"/>
        <xdr:cNvSpPr>
          <a:spLocks noChangeArrowheads="1"/>
        </xdr:cNvSpPr>
      </xdr:nvSpPr>
      <xdr:spPr bwMode="auto">
        <a:xfrm>
          <a:off x="7572375" y="8296275"/>
          <a:ext cx="2181225" cy="581025"/>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266700</xdr:colOff>
      <xdr:row>30</xdr:row>
      <xdr:rowOff>123825</xdr:rowOff>
    </xdr:from>
    <xdr:to>
      <xdr:col>16</xdr:col>
      <xdr:colOff>28575</xdr:colOff>
      <xdr:row>33</xdr:row>
      <xdr:rowOff>142875</xdr:rowOff>
    </xdr:to>
    <xdr:sp macro="" textlink="">
      <xdr:nvSpPr>
        <xdr:cNvPr id="982095" name="Oval 9"/>
        <xdr:cNvSpPr>
          <a:spLocks noChangeArrowheads="1"/>
        </xdr:cNvSpPr>
      </xdr:nvSpPr>
      <xdr:spPr bwMode="auto">
        <a:xfrm>
          <a:off x="9725025" y="5267325"/>
          <a:ext cx="1133475" cy="53340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285750</xdr:colOff>
      <xdr:row>14</xdr:row>
      <xdr:rowOff>47625</xdr:rowOff>
    </xdr:from>
    <xdr:to>
      <xdr:col>17</xdr:col>
      <xdr:colOff>647700</xdr:colOff>
      <xdr:row>18</xdr:row>
      <xdr:rowOff>28575</xdr:rowOff>
    </xdr:to>
    <xdr:sp macro="" textlink="">
      <xdr:nvSpPr>
        <xdr:cNvPr id="982096" name="Oval 10"/>
        <xdr:cNvSpPr>
          <a:spLocks noChangeArrowheads="1"/>
        </xdr:cNvSpPr>
      </xdr:nvSpPr>
      <xdr:spPr bwMode="auto">
        <a:xfrm>
          <a:off x="8372475" y="2447925"/>
          <a:ext cx="3790950" cy="66675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
  <sheetViews>
    <sheetView showGridLines="0" workbookViewId="0">
      <selection activeCell="C8" sqref="C8"/>
    </sheetView>
  </sheetViews>
  <sheetFormatPr defaultRowHeight="13.5" x14ac:dyDescent="0.15"/>
  <cols>
    <col min="1" max="1" width="13.625" style="73" customWidth="1"/>
    <col min="2" max="2" width="30.25" style="73" customWidth="1"/>
    <col min="3" max="3" width="55.125" style="73" customWidth="1"/>
    <col min="4" max="4" width="4.5" style="73" customWidth="1"/>
    <col min="5" max="5" width="12.5" style="73" customWidth="1"/>
    <col min="6" max="16384" width="9" style="73"/>
  </cols>
  <sheetData>
    <row r="1" spans="1:5" ht="39" customHeight="1" thickTop="1" thickBot="1" x14ac:dyDescent="0.2">
      <c r="A1" s="122" t="s">
        <v>59</v>
      </c>
      <c r="B1" s="123"/>
      <c r="C1" s="124"/>
    </row>
    <row r="2" spans="1:5" ht="15" thickTop="1" x14ac:dyDescent="0.15">
      <c r="E2" s="74" t="s">
        <v>16</v>
      </c>
    </row>
    <row r="3" spans="1:5" ht="29.25" customHeight="1" x14ac:dyDescent="0.15">
      <c r="A3" s="125" t="s">
        <v>17</v>
      </c>
      <c r="B3" s="75" t="s">
        <v>60</v>
      </c>
      <c r="C3" s="76"/>
    </row>
    <row r="4" spans="1:5" ht="29.25" customHeight="1" x14ac:dyDescent="0.15">
      <c r="A4" s="126"/>
      <c r="B4" s="77" t="s">
        <v>61</v>
      </c>
      <c r="C4" s="78"/>
    </row>
    <row r="5" spans="1:5" ht="9" customHeight="1" x14ac:dyDescent="0.15">
      <c r="A5" s="79"/>
      <c r="B5" s="80"/>
      <c r="C5" s="81"/>
    </row>
    <row r="6" spans="1:5" ht="41.25" customHeight="1" x14ac:dyDescent="0.15">
      <c r="A6" s="127" t="s">
        <v>18</v>
      </c>
      <c r="B6" s="82" t="s">
        <v>19</v>
      </c>
      <c r="C6" s="83" t="s">
        <v>109</v>
      </c>
    </row>
    <row r="7" spans="1:5" ht="41.25" customHeight="1" x14ac:dyDescent="0.15">
      <c r="A7" s="128"/>
      <c r="B7" s="84" t="s">
        <v>62</v>
      </c>
      <c r="C7" s="85" t="s">
        <v>63</v>
      </c>
    </row>
    <row r="8" spans="1:5" ht="41.25" customHeight="1" x14ac:dyDescent="0.15">
      <c r="A8" s="128"/>
      <c r="B8" s="86" t="s">
        <v>64</v>
      </c>
      <c r="C8" s="87" t="s">
        <v>67</v>
      </c>
    </row>
    <row r="9" spans="1:5" ht="41.25" customHeight="1" x14ac:dyDescent="0.15">
      <c r="A9" s="128"/>
      <c r="B9" s="88" t="s">
        <v>65</v>
      </c>
      <c r="C9" s="89" t="s">
        <v>66</v>
      </c>
    </row>
    <row r="10" spans="1:5" ht="41.25" customHeight="1" x14ac:dyDescent="0.15">
      <c r="A10" s="129"/>
      <c r="B10" s="90" t="s">
        <v>69</v>
      </c>
      <c r="C10" s="91" t="s">
        <v>70</v>
      </c>
    </row>
    <row r="11" spans="1:5" x14ac:dyDescent="0.15">
      <c r="B11" s="92"/>
      <c r="C11" s="92"/>
    </row>
    <row r="12" spans="1:5" x14ac:dyDescent="0.15">
      <c r="B12" s="92"/>
      <c r="C12" s="92"/>
    </row>
    <row r="13" spans="1:5" ht="45.75" customHeight="1" x14ac:dyDescent="0.15">
      <c r="A13" s="108" t="s">
        <v>20</v>
      </c>
      <c r="B13" s="109" t="s">
        <v>72</v>
      </c>
      <c r="C13" s="110" t="s">
        <v>71</v>
      </c>
    </row>
  </sheetData>
  <mergeCells count="3">
    <mergeCell ref="A1:C1"/>
    <mergeCell ref="A3:A4"/>
    <mergeCell ref="A6:A10"/>
  </mergeCells>
  <phoneticPr fontId="2"/>
  <hyperlinks>
    <hyperlink ref="E2" location="メニュー!A1" display="メニューへ"/>
  </hyperlinks>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7"/>
  <sheetViews>
    <sheetView showGridLines="0" workbookViewId="0">
      <selection sqref="A1:G1"/>
    </sheetView>
  </sheetViews>
  <sheetFormatPr defaultRowHeight="14.25" x14ac:dyDescent="0.15"/>
  <cols>
    <col min="1" max="1" width="3.875" style="111" customWidth="1"/>
    <col min="2" max="2" width="16.5" style="112" customWidth="1"/>
    <col min="3" max="3" width="3.875" style="111" customWidth="1"/>
    <col min="4" max="4" width="9.75" style="111" customWidth="1"/>
    <col min="5" max="6" width="9" style="111"/>
    <col min="7" max="7" width="31.875" style="111" customWidth="1"/>
    <col min="8" max="16384" width="9" style="111"/>
  </cols>
  <sheetData>
    <row r="1" spans="1:7" ht="39.75" customHeight="1" thickTop="1" thickBot="1" x14ac:dyDescent="0.2">
      <c r="A1" s="130" t="s">
        <v>73</v>
      </c>
      <c r="B1" s="131"/>
      <c r="C1" s="131"/>
      <c r="D1" s="131"/>
      <c r="E1" s="131"/>
      <c r="F1" s="131"/>
      <c r="G1" s="132"/>
    </row>
    <row r="2" spans="1:7" ht="15" thickTop="1" x14ac:dyDescent="0.15"/>
    <row r="3" spans="1:7" ht="24.75" customHeight="1" x14ac:dyDescent="0.15">
      <c r="B3" s="115" t="s">
        <v>74</v>
      </c>
      <c r="D3" s="113" t="s">
        <v>75</v>
      </c>
      <c r="E3" s="114"/>
      <c r="F3" s="114"/>
      <c r="G3" s="114"/>
    </row>
    <row r="4" spans="1:7" ht="17.25" customHeight="1" x14ac:dyDescent="0.15"/>
    <row r="5" spans="1:7" ht="17.25" customHeight="1" x14ac:dyDescent="0.15"/>
    <row r="6" spans="1:7" ht="24.75" customHeight="1" x14ac:dyDescent="0.15">
      <c r="B6" s="115" t="s">
        <v>77</v>
      </c>
      <c r="D6" s="113" t="s">
        <v>76</v>
      </c>
      <c r="E6" s="114"/>
      <c r="F6" s="114"/>
      <c r="G6" s="114"/>
    </row>
    <row r="7" spans="1:7" ht="17.25" customHeight="1" x14ac:dyDescent="0.15"/>
  </sheetData>
  <mergeCells count="1">
    <mergeCell ref="A1:G1"/>
  </mergeCells>
  <phoneticPr fontId="2"/>
  <hyperlinks>
    <hyperlink ref="B3" location="工程管理表!A1" display="工程管理表"/>
    <hyperlink ref="B6" location="マスタ!A1" display="マスタ"/>
  </hyperlinks>
  <pageMargins left="0.75" right="0.75" top="1" bottom="1" header="0.51200000000000001" footer="0.51200000000000001"/>
  <pageSetup paperSize="9" orientation="portrait" horizontalDpi="0" verticalDpi="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NL124"/>
  <sheetViews>
    <sheetView showGridLines="0" tabSelected="1" view="pageBreakPreview" zoomScale="85" zoomScaleNormal="75" zoomScaleSheetLayoutView="85" workbookViewId="0">
      <pane xSplit="9" ySplit="12" topLeftCell="J92" activePane="bottomRight" state="frozen"/>
      <selection pane="topRight" activeCell="I1" sqref="I1"/>
      <selection pane="bottomLeft" activeCell="A11" sqref="A11"/>
      <selection pane="bottomRight"/>
    </sheetView>
  </sheetViews>
  <sheetFormatPr defaultRowHeight="13.5" x14ac:dyDescent="0.15"/>
  <cols>
    <col min="1" max="1" width="3.375" style="1" customWidth="1"/>
    <col min="2" max="2" width="19" style="1" customWidth="1"/>
    <col min="3" max="3" width="32.875" style="1" customWidth="1"/>
    <col min="4" max="4" width="15.125" style="1" customWidth="1"/>
    <col min="5" max="5" width="6.125" style="1" customWidth="1"/>
    <col min="6" max="7" width="9" style="1"/>
    <col min="8" max="8" width="7.375" style="1" customWidth="1"/>
    <col min="9" max="9" width="7" style="1" customWidth="1"/>
    <col min="10" max="376" width="6.125" style="1" customWidth="1"/>
    <col min="377" max="16384" width="9" style="1"/>
  </cols>
  <sheetData>
    <row r="1" spans="1:376" ht="21.75" customHeight="1" x14ac:dyDescent="0.15">
      <c r="B1" s="117" t="s">
        <v>68</v>
      </c>
      <c r="C1" s="106" t="s">
        <v>193</v>
      </c>
    </row>
    <row r="3" spans="1:376" x14ac:dyDescent="0.15">
      <c r="D3" s="2"/>
    </row>
    <row r="4" spans="1:376" ht="21.75" customHeight="1" x14ac:dyDescent="0.15">
      <c r="B4" s="3" t="s">
        <v>1</v>
      </c>
      <c r="C4" s="4">
        <v>42828</v>
      </c>
      <c r="D4" s="5"/>
      <c r="I4" s="6"/>
      <c r="J4" s="6"/>
    </row>
    <row r="5" spans="1:376" ht="21.75" customHeight="1" x14ac:dyDescent="0.15">
      <c r="B5" s="105"/>
      <c r="C5" s="7"/>
      <c r="D5" s="5"/>
      <c r="E5"/>
      <c r="F5" s="22"/>
      <c r="G5" s="70"/>
      <c r="J5" s="6"/>
    </row>
    <row r="6" spans="1:376" x14ac:dyDescent="0.15">
      <c r="C6" s="5"/>
      <c r="D6" s="5"/>
      <c r="E6"/>
      <c r="F6" s="22"/>
      <c r="G6" s="70"/>
      <c r="J6" s="6"/>
    </row>
    <row r="7" spans="1:376" x14ac:dyDescent="0.15">
      <c r="B7" s="8" t="s">
        <v>3</v>
      </c>
      <c r="C7" s="9">
        <f>IF(SUMIF($E$13:$E$112,"予定",$H$13:$H$112)=0,0,SUMIF($E$13:$E$112,"予定",$H$13:$H$112))</f>
        <v>644</v>
      </c>
      <c r="E7"/>
      <c r="F7" s="22"/>
      <c r="G7" s="70"/>
      <c r="J7" s="6"/>
    </row>
    <row r="8" spans="1:376" x14ac:dyDescent="0.15">
      <c r="B8" s="10" t="s">
        <v>4</v>
      </c>
      <c r="C8" s="11">
        <f>IF(SUMIF($E$13:$E$112,"実績",$H$13:$H$112)=0,0,SUMIF($E$13:$E$112,"実績",$H$13:$H$112))</f>
        <v>16</v>
      </c>
      <c r="E8"/>
      <c r="F8" s="22"/>
      <c r="G8" s="70"/>
      <c r="J8" s="6"/>
    </row>
    <row r="9" spans="1:376" x14ac:dyDescent="0.15">
      <c r="B9" s="12" t="s">
        <v>5</v>
      </c>
      <c r="C9" s="13">
        <f>IF(C7="","",C8-C7)</f>
        <v>-628</v>
      </c>
      <c r="E9"/>
      <c r="F9" s="22"/>
      <c r="G9" s="70"/>
      <c r="J9" s="6"/>
    </row>
    <row r="10" spans="1:376" x14ac:dyDescent="0.15">
      <c r="B10" s="14"/>
      <c r="C10" s="15"/>
      <c r="E10"/>
      <c r="F10" s="22"/>
      <c r="G10" s="70"/>
      <c r="J10" s="6"/>
    </row>
    <row r="12" spans="1:376" ht="29.25" customHeight="1" x14ac:dyDescent="0.15">
      <c r="A12" s="16" t="s">
        <v>14</v>
      </c>
      <c r="B12" s="17" t="str">
        <f>分類タイトル</f>
        <v>分類名</v>
      </c>
      <c r="C12" s="17" t="s">
        <v>6</v>
      </c>
      <c r="D12" s="17" t="s">
        <v>7</v>
      </c>
      <c r="E12" s="18" t="s">
        <v>8</v>
      </c>
      <c r="F12" s="17" t="s">
        <v>9</v>
      </c>
      <c r="G12" s="17" t="s">
        <v>10</v>
      </c>
      <c r="H12" s="18" t="s">
        <v>11</v>
      </c>
      <c r="I12" s="19" t="s">
        <v>12</v>
      </c>
      <c r="J12" s="20">
        <f>C4</f>
        <v>42828</v>
      </c>
      <c r="K12" s="21">
        <f t="shared" ref="K12:AP12" si="0">J12+1</f>
        <v>42829</v>
      </c>
      <c r="L12" s="21">
        <f t="shared" si="0"/>
        <v>42830</v>
      </c>
      <c r="M12" s="21">
        <f t="shared" si="0"/>
        <v>42831</v>
      </c>
      <c r="N12" s="21">
        <f t="shared" si="0"/>
        <v>42832</v>
      </c>
      <c r="O12" s="21">
        <f t="shared" si="0"/>
        <v>42833</v>
      </c>
      <c r="P12" s="21">
        <f t="shared" si="0"/>
        <v>42834</v>
      </c>
      <c r="Q12" s="21">
        <f t="shared" si="0"/>
        <v>42835</v>
      </c>
      <c r="R12" s="21">
        <f t="shared" si="0"/>
        <v>42836</v>
      </c>
      <c r="S12" s="21">
        <f t="shared" si="0"/>
        <v>42837</v>
      </c>
      <c r="T12" s="21">
        <f t="shared" si="0"/>
        <v>42838</v>
      </c>
      <c r="U12" s="21">
        <f t="shared" si="0"/>
        <v>42839</v>
      </c>
      <c r="V12" s="21">
        <f t="shared" si="0"/>
        <v>42840</v>
      </c>
      <c r="W12" s="21">
        <f t="shared" si="0"/>
        <v>42841</v>
      </c>
      <c r="X12" s="21">
        <f t="shared" si="0"/>
        <v>42842</v>
      </c>
      <c r="Y12" s="21">
        <f t="shared" si="0"/>
        <v>42843</v>
      </c>
      <c r="Z12" s="21">
        <f t="shared" si="0"/>
        <v>42844</v>
      </c>
      <c r="AA12" s="21">
        <f t="shared" si="0"/>
        <v>42845</v>
      </c>
      <c r="AB12" s="21">
        <f t="shared" si="0"/>
        <v>42846</v>
      </c>
      <c r="AC12" s="21">
        <f t="shared" si="0"/>
        <v>42847</v>
      </c>
      <c r="AD12" s="21">
        <f t="shared" si="0"/>
        <v>42848</v>
      </c>
      <c r="AE12" s="21">
        <f t="shared" si="0"/>
        <v>42849</v>
      </c>
      <c r="AF12" s="21">
        <f t="shared" si="0"/>
        <v>42850</v>
      </c>
      <c r="AG12" s="21">
        <f t="shared" si="0"/>
        <v>42851</v>
      </c>
      <c r="AH12" s="21">
        <f t="shared" si="0"/>
        <v>42852</v>
      </c>
      <c r="AI12" s="21">
        <f t="shared" si="0"/>
        <v>42853</v>
      </c>
      <c r="AJ12" s="21">
        <f t="shared" si="0"/>
        <v>42854</v>
      </c>
      <c r="AK12" s="21">
        <f t="shared" si="0"/>
        <v>42855</v>
      </c>
      <c r="AL12" s="21">
        <f t="shared" si="0"/>
        <v>42856</v>
      </c>
      <c r="AM12" s="21">
        <f t="shared" si="0"/>
        <v>42857</v>
      </c>
      <c r="AN12" s="21">
        <f t="shared" si="0"/>
        <v>42858</v>
      </c>
      <c r="AO12" s="21">
        <f t="shared" si="0"/>
        <v>42859</v>
      </c>
      <c r="AP12" s="21">
        <f t="shared" si="0"/>
        <v>42860</v>
      </c>
      <c r="AQ12" s="21">
        <f t="shared" ref="AQ12:BS12" si="1">AP12+1</f>
        <v>42861</v>
      </c>
      <c r="AR12" s="21">
        <f t="shared" si="1"/>
        <v>42862</v>
      </c>
      <c r="AS12" s="21">
        <f t="shared" si="1"/>
        <v>42863</v>
      </c>
      <c r="AT12" s="21">
        <f t="shared" si="1"/>
        <v>42864</v>
      </c>
      <c r="AU12" s="21">
        <f t="shared" si="1"/>
        <v>42865</v>
      </c>
      <c r="AV12" s="21">
        <f t="shared" si="1"/>
        <v>42866</v>
      </c>
      <c r="AW12" s="21">
        <f t="shared" si="1"/>
        <v>42867</v>
      </c>
      <c r="AX12" s="21">
        <f t="shared" si="1"/>
        <v>42868</v>
      </c>
      <c r="AY12" s="21">
        <f t="shared" si="1"/>
        <v>42869</v>
      </c>
      <c r="AZ12" s="21">
        <f t="shared" si="1"/>
        <v>42870</v>
      </c>
      <c r="BA12" s="21">
        <f t="shared" si="1"/>
        <v>42871</v>
      </c>
      <c r="BB12" s="21">
        <f t="shared" si="1"/>
        <v>42872</v>
      </c>
      <c r="BC12" s="21">
        <f t="shared" si="1"/>
        <v>42873</v>
      </c>
      <c r="BD12" s="21">
        <f t="shared" si="1"/>
        <v>42874</v>
      </c>
      <c r="BE12" s="21">
        <f t="shared" si="1"/>
        <v>42875</v>
      </c>
      <c r="BF12" s="21">
        <f t="shared" si="1"/>
        <v>42876</v>
      </c>
      <c r="BG12" s="21">
        <f t="shared" si="1"/>
        <v>42877</v>
      </c>
      <c r="BH12" s="21">
        <f t="shared" si="1"/>
        <v>42878</v>
      </c>
      <c r="BI12" s="21">
        <f t="shared" si="1"/>
        <v>42879</v>
      </c>
      <c r="BJ12" s="21">
        <f t="shared" si="1"/>
        <v>42880</v>
      </c>
      <c r="BK12" s="21">
        <f t="shared" si="1"/>
        <v>42881</v>
      </c>
      <c r="BL12" s="21">
        <f t="shared" si="1"/>
        <v>42882</v>
      </c>
      <c r="BM12" s="21">
        <f t="shared" si="1"/>
        <v>42883</v>
      </c>
      <c r="BN12" s="21">
        <f t="shared" si="1"/>
        <v>42884</v>
      </c>
      <c r="BO12" s="21">
        <f t="shared" si="1"/>
        <v>42885</v>
      </c>
      <c r="BP12" s="21">
        <f t="shared" si="1"/>
        <v>42886</v>
      </c>
      <c r="BQ12" s="21">
        <f t="shared" si="1"/>
        <v>42887</v>
      </c>
      <c r="BR12" s="21">
        <f t="shared" si="1"/>
        <v>42888</v>
      </c>
      <c r="BS12" s="21">
        <f t="shared" si="1"/>
        <v>42889</v>
      </c>
      <c r="BT12" s="21">
        <f t="shared" ref="BT12:CT12" si="2">BS12+1</f>
        <v>42890</v>
      </c>
      <c r="BU12" s="21">
        <f t="shared" si="2"/>
        <v>42891</v>
      </c>
      <c r="BV12" s="21">
        <f t="shared" si="2"/>
        <v>42892</v>
      </c>
      <c r="BW12" s="21">
        <f t="shared" si="2"/>
        <v>42893</v>
      </c>
      <c r="BX12" s="21">
        <f t="shared" si="2"/>
        <v>42894</v>
      </c>
      <c r="BY12" s="21">
        <f t="shared" si="2"/>
        <v>42895</v>
      </c>
      <c r="BZ12" s="21">
        <f t="shared" si="2"/>
        <v>42896</v>
      </c>
      <c r="CA12" s="21">
        <f t="shared" si="2"/>
        <v>42897</v>
      </c>
      <c r="CB12" s="21">
        <f t="shared" si="2"/>
        <v>42898</v>
      </c>
      <c r="CC12" s="21">
        <f t="shared" si="2"/>
        <v>42899</v>
      </c>
      <c r="CD12" s="21">
        <f t="shared" si="2"/>
        <v>42900</v>
      </c>
      <c r="CE12" s="21">
        <f t="shared" si="2"/>
        <v>42901</v>
      </c>
      <c r="CF12" s="21">
        <f t="shared" si="2"/>
        <v>42902</v>
      </c>
      <c r="CG12" s="21">
        <f t="shared" si="2"/>
        <v>42903</v>
      </c>
      <c r="CH12" s="21">
        <f t="shared" si="2"/>
        <v>42904</v>
      </c>
      <c r="CI12" s="21">
        <f t="shared" si="2"/>
        <v>42905</v>
      </c>
      <c r="CJ12" s="21">
        <f t="shared" si="2"/>
        <v>42906</v>
      </c>
      <c r="CK12" s="21">
        <f t="shared" si="2"/>
        <v>42907</v>
      </c>
      <c r="CL12" s="21">
        <f t="shared" si="2"/>
        <v>42908</v>
      </c>
      <c r="CM12" s="21">
        <f t="shared" si="2"/>
        <v>42909</v>
      </c>
      <c r="CN12" s="21">
        <f t="shared" si="2"/>
        <v>42910</v>
      </c>
      <c r="CO12" s="21">
        <f t="shared" si="2"/>
        <v>42911</v>
      </c>
      <c r="CP12" s="21">
        <f t="shared" si="2"/>
        <v>42912</v>
      </c>
      <c r="CQ12" s="21">
        <f t="shared" si="2"/>
        <v>42913</v>
      </c>
      <c r="CR12" s="21">
        <f t="shared" si="2"/>
        <v>42914</v>
      </c>
      <c r="CS12" s="21">
        <f t="shared" si="2"/>
        <v>42915</v>
      </c>
      <c r="CT12" s="21">
        <f t="shared" si="2"/>
        <v>42916</v>
      </c>
      <c r="CU12" s="21">
        <f t="shared" ref="CU12:DZ12" si="3">CT12+1</f>
        <v>42917</v>
      </c>
      <c r="CV12" s="21">
        <f t="shared" si="3"/>
        <v>42918</v>
      </c>
      <c r="CW12" s="21">
        <f t="shared" si="3"/>
        <v>42919</v>
      </c>
      <c r="CX12" s="21">
        <f t="shared" si="3"/>
        <v>42920</v>
      </c>
      <c r="CY12" s="21">
        <f t="shared" si="3"/>
        <v>42921</v>
      </c>
      <c r="CZ12" s="21">
        <f t="shared" si="3"/>
        <v>42922</v>
      </c>
      <c r="DA12" s="21">
        <f t="shared" si="3"/>
        <v>42923</v>
      </c>
      <c r="DB12" s="21">
        <f t="shared" si="3"/>
        <v>42924</v>
      </c>
      <c r="DC12" s="21">
        <f t="shared" si="3"/>
        <v>42925</v>
      </c>
      <c r="DD12" s="21">
        <f t="shared" si="3"/>
        <v>42926</v>
      </c>
      <c r="DE12" s="21">
        <f t="shared" si="3"/>
        <v>42927</v>
      </c>
      <c r="DF12" s="21">
        <f t="shared" si="3"/>
        <v>42928</v>
      </c>
      <c r="DG12" s="21">
        <f t="shared" si="3"/>
        <v>42929</v>
      </c>
      <c r="DH12" s="21">
        <f t="shared" si="3"/>
        <v>42930</v>
      </c>
      <c r="DI12" s="21">
        <f t="shared" si="3"/>
        <v>42931</v>
      </c>
      <c r="DJ12" s="21">
        <f t="shared" si="3"/>
        <v>42932</v>
      </c>
      <c r="DK12" s="21">
        <f t="shared" si="3"/>
        <v>42933</v>
      </c>
      <c r="DL12" s="21">
        <f t="shared" si="3"/>
        <v>42934</v>
      </c>
      <c r="DM12" s="21">
        <f t="shared" si="3"/>
        <v>42935</v>
      </c>
      <c r="DN12" s="21">
        <f t="shared" si="3"/>
        <v>42936</v>
      </c>
      <c r="DO12" s="21">
        <f t="shared" si="3"/>
        <v>42937</v>
      </c>
      <c r="DP12" s="21">
        <f t="shared" si="3"/>
        <v>42938</v>
      </c>
      <c r="DQ12" s="21">
        <f t="shared" si="3"/>
        <v>42939</v>
      </c>
      <c r="DR12" s="21">
        <f t="shared" si="3"/>
        <v>42940</v>
      </c>
      <c r="DS12" s="21">
        <f t="shared" si="3"/>
        <v>42941</v>
      </c>
      <c r="DT12" s="21">
        <f t="shared" si="3"/>
        <v>42942</v>
      </c>
      <c r="DU12" s="21">
        <f t="shared" si="3"/>
        <v>42943</v>
      </c>
      <c r="DV12" s="21">
        <f t="shared" si="3"/>
        <v>42944</v>
      </c>
      <c r="DW12" s="21">
        <f t="shared" si="3"/>
        <v>42945</v>
      </c>
      <c r="DX12" s="21">
        <f t="shared" si="3"/>
        <v>42946</v>
      </c>
      <c r="DY12" s="21">
        <f t="shared" si="3"/>
        <v>42947</v>
      </c>
      <c r="DZ12" s="21">
        <f t="shared" si="3"/>
        <v>42948</v>
      </c>
      <c r="EA12" s="21">
        <f t="shared" ref="EA12:EV12" si="4">DZ12+1</f>
        <v>42949</v>
      </c>
      <c r="EB12" s="21">
        <f t="shared" si="4"/>
        <v>42950</v>
      </c>
      <c r="EC12" s="21">
        <f t="shared" si="4"/>
        <v>42951</v>
      </c>
      <c r="ED12" s="21">
        <f t="shared" si="4"/>
        <v>42952</v>
      </c>
      <c r="EE12" s="21">
        <f t="shared" si="4"/>
        <v>42953</v>
      </c>
      <c r="EF12" s="21">
        <f t="shared" si="4"/>
        <v>42954</v>
      </c>
      <c r="EG12" s="21">
        <f t="shared" si="4"/>
        <v>42955</v>
      </c>
      <c r="EH12" s="21">
        <f t="shared" si="4"/>
        <v>42956</v>
      </c>
      <c r="EI12" s="21">
        <f t="shared" si="4"/>
        <v>42957</v>
      </c>
      <c r="EJ12" s="21">
        <f t="shared" si="4"/>
        <v>42958</v>
      </c>
      <c r="EK12" s="21">
        <f t="shared" si="4"/>
        <v>42959</v>
      </c>
      <c r="EL12" s="21">
        <f t="shared" si="4"/>
        <v>42960</v>
      </c>
      <c r="EM12" s="21">
        <f t="shared" si="4"/>
        <v>42961</v>
      </c>
      <c r="EN12" s="21">
        <f t="shared" si="4"/>
        <v>42962</v>
      </c>
      <c r="EO12" s="21">
        <f t="shared" si="4"/>
        <v>42963</v>
      </c>
      <c r="EP12" s="21">
        <f t="shared" si="4"/>
        <v>42964</v>
      </c>
      <c r="EQ12" s="21">
        <f t="shared" si="4"/>
        <v>42965</v>
      </c>
      <c r="ER12" s="21">
        <f t="shared" si="4"/>
        <v>42966</v>
      </c>
      <c r="ES12" s="21">
        <f t="shared" si="4"/>
        <v>42967</v>
      </c>
      <c r="ET12" s="21">
        <f t="shared" si="4"/>
        <v>42968</v>
      </c>
      <c r="EU12" s="21">
        <f t="shared" si="4"/>
        <v>42969</v>
      </c>
      <c r="EV12" s="21">
        <f t="shared" si="4"/>
        <v>42970</v>
      </c>
      <c r="EW12" s="21">
        <f t="shared" ref="EW12" si="5">EV12+1</f>
        <v>42971</v>
      </c>
      <c r="EX12" s="21">
        <f t="shared" ref="EX12" si="6">EW12+1</f>
        <v>42972</v>
      </c>
      <c r="EY12" s="21">
        <f t="shared" ref="EY12" si="7">EX12+1</f>
        <v>42973</v>
      </c>
      <c r="EZ12" s="21">
        <f t="shared" ref="EZ12" si="8">EY12+1</f>
        <v>42974</v>
      </c>
      <c r="FA12" s="21">
        <f t="shared" ref="FA12" si="9">EZ12+1</f>
        <v>42975</v>
      </c>
      <c r="FB12" s="21">
        <f t="shared" ref="FB12" si="10">FA12+1</f>
        <v>42976</v>
      </c>
      <c r="FC12" s="21">
        <f t="shared" ref="FC12" si="11">FB12+1</f>
        <v>42977</v>
      </c>
      <c r="FD12" s="21">
        <f t="shared" ref="FD12" si="12">FC12+1</f>
        <v>42978</v>
      </c>
      <c r="FE12" s="21">
        <f t="shared" ref="FE12" si="13">FD12+1</f>
        <v>42979</v>
      </c>
      <c r="FF12" s="21">
        <f t="shared" ref="FF12" si="14">FE12+1</f>
        <v>42980</v>
      </c>
      <c r="FG12" s="21">
        <f t="shared" ref="FG12" si="15">FF12+1</f>
        <v>42981</v>
      </c>
      <c r="FH12" s="21">
        <f t="shared" ref="FH12" si="16">FG12+1</f>
        <v>42982</v>
      </c>
      <c r="FI12" s="21">
        <f t="shared" ref="FI12" si="17">FH12+1</f>
        <v>42983</v>
      </c>
      <c r="FJ12" s="21">
        <f t="shared" ref="FJ12" si="18">FI12+1</f>
        <v>42984</v>
      </c>
      <c r="FK12" s="21">
        <f t="shared" ref="FK12" si="19">FJ12+1</f>
        <v>42985</v>
      </c>
      <c r="FL12" s="21">
        <f t="shared" ref="FL12" si="20">FK12+1</f>
        <v>42986</v>
      </c>
      <c r="FM12" s="21">
        <f t="shared" ref="FM12" si="21">FL12+1</f>
        <v>42987</v>
      </c>
      <c r="FN12" s="21">
        <f t="shared" ref="FN12" si="22">FM12+1</f>
        <v>42988</v>
      </c>
      <c r="FO12" s="21">
        <f t="shared" ref="FO12" si="23">FN12+1</f>
        <v>42989</v>
      </c>
      <c r="FP12" s="21">
        <f t="shared" ref="FP12" si="24">FO12+1</f>
        <v>42990</v>
      </c>
      <c r="FQ12" s="21">
        <f t="shared" ref="FQ12" si="25">FP12+1</f>
        <v>42991</v>
      </c>
      <c r="FR12" s="21">
        <f t="shared" ref="FR12" si="26">FQ12+1</f>
        <v>42992</v>
      </c>
      <c r="FS12" s="21">
        <f t="shared" ref="FS12" si="27">FR12+1</f>
        <v>42993</v>
      </c>
      <c r="FT12" s="21">
        <f t="shared" ref="FT12" si="28">FS12+1</f>
        <v>42994</v>
      </c>
      <c r="FU12" s="21">
        <f t="shared" ref="FU12" si="29">FT12+1</f>
        <v>42995</v>
      </c>
      <c r="FV12" s="21">
        <f t="shared" ref="FV12" si="30">FU12+1</f>
        <v>42996</v>
      </c>
      <c r="FW12" s="21">
        <f t="shared" ref="FW12" si="31">FV12+1</f>
        <v>42997</v>
      </c>
      <c r="FX12" s="21">
        <f t="shared" ref="FX12" si="32">FW12+1</f>
        <v>42998</v>
      </c>
      <c r="FY12" s="21">
        <f t="shared" ref="FY12" si="33">FX12+1</f>
        <v>42999</v>
      </c>
      <c r="FZ12" s="21">
        <f t="shared" ref="FZ12" si="34">FY12+1</f>
        <v>43000</v>
      </c>
      <c r="GA12" s="21">
        <f t="shared" ref="GA12" si="35">FZ12+1</f>
        <v>43001</v>
      </c>
      <c r="GB12" s="21">
        <f t="shared" ref="GB12" si="36">GA12+1</f>
        <v>43002</v>
      </c>
      <c r="GC12" s="21">
        <f t="shared" ref="GC12" si="37">GB12+1</f>
        <v>43003</v>
      </c>
      <c r="GD12" s="21">
        <f t="shared" ref="GD12" si="38">GC12+1</f>
        <v>43004</v>
      </c>
      <c r="GE12" s="21">
        <f t="shared" ref="GE12" si="39">GD12+1</f>
        <v>43005</v>
      </c>
      <c r="GF12" s="21">
        <f t="shared" ref="GF12" si="40">GE12+1</f>
        <v>43006</v>
      </c>
      <c r="GG12" s="21">
        <f t="shared" ref="GG12" si="41">GF12+1</f>
        <v>43007</v>
      </c>
      <c r="GH12" s="21">
        <f t="shared" ref="GH12" si="42">GG12+1</f>
        <v>43008</v>
      </c>
      <c r="GI12" s="21">
        <f t="shared" ref="GI12" si="43">GH12+1</f>
        <v>43009</v>
      </c>
      <c r="GJ12" s="21">
        <f t="shared" ref="GJ12" si="44">GI12+1</f>
        <v>43010</v>
      </c>
      <c r="GK12" s="21">
        <f t="shared" ref="GK12" si="45">GJ12+1</f>
        <v>43011</v>
      </c>
      <c r="GL12" s="21">
        <f t="shared" ref="GL12" si="46">GK12+1</f>
        <v>43012</v>
      </c>
      <c r="GM12" s="21">
        <f t="shared" ref="GM12" si="47">GL12+1</f>
        <v>43013</v>
      </c>
      <c r="GN12" s="21">
        <f t="shared" ref="GN12" si="48">GM12+1</f>
        <v>43014</v>
      </c>
      <c r="GO12" s="21">
        <f t="shared" ref="GO12" si="49">GN12+1</f>
        <v>43015</v>
      </c>
      <c r="GP12" s="21">
        <f t="shared" ref="GP12" si="50">GO12+1</f>
        <v>43016</v>
      </c>
      <c r="GQ12" s="21">
        <f t="shared" ref="GQ12" si="51">GP12+1</f>
        <v>43017</v>
      </c>
      <c r="GR12" s="21">
        <f t="shared" ref="GR12" si="52">GQ12+1</f>
        <v>43018</v>
      </c>
      <c r="GS12" s="21">
        <f t="shared" ref="GS12" si="53">GR12+1</f>
        <v>43019</v>
      </c>
      <c r="GT12" s="21">
        <f t="shared" ref="GT12" si="54">GS12+1</f>
        <v>43020</v>
      </c>
      <c r="GU12" s="21">
        <f t="shared" ref="GU12" si="55">GT12+1</f>
        <v>43021</v>
      </c>
      <c r="GV12" s="21">
        <f t="shared" ref="GV12" si="56">GU12+1</f>
        <v>43022</v>
      </c>
      <c r="GW12" s="21">
        <f t="shared" ref="GW12" si="57">GV12+1</f>
        <v>43023</v>
      </c>
      <c r="GX12" s="21">
        <f t="shared" ref="GX12" si="58">GW12+1</f>
        <v>43024</v>
      </c>
      <c r="GY12" s="21">
        <f t="shared" ref="GY12" si="59">GX12+1</f>
        <v>43025</v>
      </c>
      <c r="GZ12" s="21">
        <f t="shared" ref="GZ12" si="60">GY12+1</f>
        <v>43026</v>
      </c>
      <c r="HA12" s="21">
        <f t="shared" ref="HA12" si="61">GZ12+1</f>
        <v>43027</v>
      </c>
      <c r="HB12" s="21">
        <f t="shared" ref="HB12" si="62">HA12+1</f>
        <v>43028</v>
      </c>
      <c r="HC12" s="21">
        <f t="shared" ref="HC12" si="63">HB12+1</f>
        <v>43029</v>
      </c>
      <c r="HD12" s="21">
        <f t="shared" ref="HD12" si="64">HC12+1</f>
        <v>43030</v>
      </c>
      <c r="HE12" s="21">
        <f t="shared" ref="HE12" si="65">HD12+1</f>
        <v>43031</v>
      </c>
      <c r="HF12" s="21">
        <f t="shared" ref="HF12" si="66">HE12+1</f>
        <v>43032</v>
      </c>
      <c r="HG12" s="21">
        <f t="shared" ref="HG12" si="67">HF12+1</f>
        <v>43033</v>
      </c>
      <c r="HH12" s="21">
        <f t="shared" ref="HH12" si="68">HG12+1</f>
        <v>43034</v>
      </c>
      <c r="HI12" s="21">
        <f t="shared" ref="HI12" si="69">HH12+1</f>
        <v>43035</v>
      </c>
      <c r="HJ12" s="21">
        <f t="shared" ref="HJ12" si="70">HI12+1</f>
        <v>43036</v>
      </c>
      <c r="HK12" s="21">
        <f t="shared" ref="HK12" si="71">HJ12+1</f>
        <v>43037</v>
      </c>
      <c r="HL12" s="21">
        <f t="shared" ref="HL12" si="72">HK12+1</f>
        <v>43038</v>
      </c>
      <c r="HM12" s="21">
        <f t="shared" ref="HM12" si="73">HL12+1</f>
        <v>43039</v>
      </c>
      <c r="HN12" s="21">
        <f t="shared" ref="HN12" si="74">HM12+1</f>
        <v>43040</v>
      </c>
      <c r="HO12" s="21">
        <f t="shared" ref="HO12" si="75">HN12+1</f>
        <v>43041</v>
      </c>
      <c r="HP12" s="21">
        <f t="shared" ref="HP12" si="76">HO12+1</f>
        <v>43042</v>
      </c>
      <c r="HQ12" s="21">
        <f t="shared" ref="HQ12" si="77">HP12+1</f>
        <v>43043</v>
      </c>
      <c r="HR12" s="21">
        <f t="shared" ref="HR12" si="78">HQ12+1</f>
        <v>43044</v>
      </c>
      <c r="HS12" s="21">
        <f t="shared" ref="HS12" si="79">HR12+1</f>
        <v>43045</v>
      </c>
      <c r="HT12" s="21">
        <f t="shared" ref="HT12" si="80">HS12+1</f>
        <v>43046</v>
      </c>
      <c r="HU12" s="21">
        <f t="shared" ref="HU12" si="81">HT12+1</f>
        <v>43047</v>
      </c>
      <c r="HV12" s="21">
        <f t="shared" ref="HV12" si="82">HU12+1</f>
        <v>43048</v>
      </c>
      <c r="HW12" s="21">
        <f t="shared" ref="HW12" si="83">HV12+1</f>
        <v>43049</v>
      </c>
      <c r="HX12" s="21">
        <f t="shared" ref="HX12" si="84">HW12+1</f>
        <v>43050</v>
      </c>
      <c r="HY12" s="21">
        <f t="shared" ref="HY12" si="85">HX12+1</f>
        <v>43051</v>
      </c>
      <c r="HZ12" s="21">
        <f t="shared" ref="HZ12" si="86">HY12+1</f>
        <v>43052</v>
      </c>
      <c r="IA12" s="21">
        <f t="shared" ref="IA12" si="87">HZ12+1</f>
        <v>43053</v>
      </c>
      <c r="IB12" s="21">
        <f t="shared" ref="IB12" si="88">IA12+1</f>
        <v>43054</v>
      </c>
      <c r="IC12" s="21">
        <f t="shared" ref="IC12" si="89">IB12+1</f>
        <v>43055</v>
      </c>
      <c r="ID12" s="21">
        <f t="shared" ref="ID12" si="90">IC12+1</f>
        <v>43056</v>
      </c>
      <c r="IE12" s="21">
        <f t="shared" ref="IE12" si="91">ID12+1</f>
        <v>43057</v>
      </c>
      <c r="IF12" s="21">
        <f t="shared" ref="IF12" si="92">IE12+1</f>
        <v>43058</v>
      </c>
      <c r="IG12" s="21">
        <f t="shared" ref="IG12" si="93">IF12+1</f>
        <v>43059</v>
      </c>
      <c r="IH12" s="21">
        <f t="shared" ref="IH12" si="94">IG12+1</f>
        <v>43060</v>
      </c>
      <c r="II12" s="21">
        <f t="shared" ref="II12" si="95">IH12+1</f>
        <v>43061</v>
      </c>
      <c r="IJ12" s="21">
        <f t="shared" ref="IJ12" si="96">II12+1</f>
        <v>43062</v>
      </c>
      <c r="IK12" s="21">
        <f t="shared" ref="IK12" si="97">IJ12+1</f>
        <v>43063</v>
      </c>
      <c r="IL12" s="21">
        <f t="shared" ref="IL12" si="98">IK12+1</f>
        <v>43064</v>
      </c>
      <c r="IM12" s="21">
        <f t="shared" ref="IM12" si="99">IL12+1</f>
        <v>43065</v>
      </c>
      <c r="IN12" s="21">
        <f t="shared" ref="IN12" si="100">IM12+1</f>
        <v>43066</v>
      </c>
      <c r="IO12" s="21">
        <f t="shared" ref="IO12" si="101">IN12+1</f>
        <v>43067</v>
      </c>
      <c r="IP12" s="21">
        <f t="shared" ref="IP12" si="102">IO12+1</f>
        <v>43068</v>
      </c>
      <c r="IQ12" s="21">
        <f t="shared" ref="IQ12" si="103">IP12+1</f>
        <v>43069</v>
      </c>
      <c r="IR12" s="21">
        <f t="shared" ref="IR12" si="104">IQ12+1</f>
        <v>43070</v>
      </c>
      <c r="IS12" s="21">
        <f t="shared" ref="IS12" si="105">IR12+1</f>
        <v>43071</v>
      </c>
      <c r="IT12" s="21">
        <f t="shared" ref="IT12" si="106">IS12+1</f>
        <v>43072</v>
      </c>
      <c r="IU12" s="21">
        <f t="shared" ref="IU12" si="107">IT12+1</f>
        <v>43073</v>
      </c>
      <c r="IV12" s="21">
        <f t="shared" ref="IV12" si="108">IU12+1</f>
        <v>43074</v>
      </c>
      <c r="IW12" s="21">
        <f t="shared" ref="IW12" si="109">IV12+1</f>
        <v>43075</v>
      </c>
      <c r="IX12" s="21">
        <f t="shared" ref="IX12" si="110">IW12+1</f>
        <v>43076</v>
      </c>
      <c r="IY12" s="21">
        <f t="shared" ref="IY12" si="111">IX12+1</f>
        <v>43077</v>
      </c>
      <c r="IZ12" s="21">
        <f t="shared" ref="IZ12" si="112">IY12+1</f>
        <v>43078</v>
      </c>
      <c r="JA12" s="21">
        <f t="shared" ref="JA12" si="113">IZ12+1</f>
        <v>43079</v>
      </c>
      <c r="JB12" s="21">
        <f t="shared" ref="JB12" si="114">JA12+1</f>
        <v>43080</v>
      </c>
      <c r="JC12" s="21">
        <f t="shared" ref="JC12" si="115">JB12+1</f>
        <v>43081</v>
      </c>
      <c r="JD12" s="21">
        <f t="shared" ref="JD12" si="116">JC12+1</f>
        <v>43082</v>
      </c>
      <c r="JE12" s="21">
        <f t="shared" ref="JE12" si="117">JD12+1</f>
        <v>43083</v>
      </c>
      <c r="JF12" s="21">
        <f t="shared" ref="JF12" si="118">JE12+1</f>
        <v>43084</v>
      </c>
      <c r="JG12" s="21">
        <f t="shared" ref="JG12" si="119">JF12+1</f>
        <v>43085</v>
      </c>
      <c r="JH12" s="21">
        <f t="shared" ref="JH12" si="120">JG12+1</f>
        <v>43086</v>
      </c>
      <c r="JI12" s="21">
        <f t="shared" ref="JI12" si="121">JH12+1</f>
        <v>43087</v>
      </c>
      <c r="JJ12" s="21">
        <f t="shared" ref="JJ12" si="122">JI12+1</f>
        <v>43088</v>
      </c>
      <c r="JK12" s="21">
        <f t="shared" ref="JK12" si="123">JJ12+1</f>
        <v>43089</v>
      </c>
      <c r="JL12" s="21">
        <f t="shared" ref="JL12" si="124">JK12+1</f>
        <v>43090</v>
      </c>
      <c r="JM12" s="21">
        <f t="shared" ref="JM12" si="125">JL12+1</f>
        <v>43091</v>
      </c>
      <c r="JN12" s="21">
        <f t="shared" ref="JN12" si="126">JM12+1</f>
        <v>43092</v>
      </c>
      <c r="JO12" s="21">
        <f t="shared" ref="JO12" si="127">JN12+1</f>
        <v>43093</v>
      </c>
      <c r="JP12" s="21">
        <f t="shared" ref="JP12" si="128">JO12+1</f>
        <v>43094</v>
      </c>
      <c r="JQ12" s="21">
        <f t="shared" ref="JQ12" si="129">JP12+1</f>
        <v>43095</v>
      </c>
      <c r="JR12" s="21">
        <f t="shared" ref="JR12" si="130">JQ12+1</f>
        <v>43096</v>
      </c>
      <c r="JS12" s="21">
        <f t="shared" ref="JS12" si="131">JR12+1</f>
        <v>43097</v>
      </c>
      <c r="JT12" s="21">
        <f t="shared" ref="JT12" si="132">JS12+1</f>
        <v>43098</v>
      </c>
      <c r="JU12" s="21">
        <f t="shared" ref="JU12" si="133">JT12+1</f>
        <v>43099</v>
      </c>
      <c r="JV12" s="21">
        <f t="shared" ref="JV12" si="134">JU12+1</f>
        <v>43100</v>
      </c>
      <c r="JW12" s="21">
        <f t="shared" ref="JW12" si="135">JV12+1</f>
        <v>43101</v>
      </c>
      <c r="JX12" s="21">
        <f t="shared" ref="JX12" si="136">JW12+1</f>
        <v>43102</v>
      </c>
      <c r="JY12" s="21">
        <f t="shared" ref="JY12" si="137">JX12+1</f>
        <v>43103</v>
      </c>
      <c r="JZ12" s="21">
        <f t="shared" ref="JZ12" si="138">JY12+1</f>
        <v>43104</v>
      </c>
      <c r="KA12" s="21">
        <f t="shared" ref="KA12" si="139">JZ12+1</f>
        <v>43105</v>
      </c>
      <c r="KB12" s="21">
        <f t="shared" ref="KB12" si="140">KA12+1</f>
        <v>43106</v>
      </c>
      <c r="KC12" s="21">
        <f t="shared" ref="KC12" si="141">KB12+1</f>
        <v>43107</v>
      </c>
      <c r="KD12" s="21">
        <f t="shared" ref="KD12" si="142">KC12+1</f>
        <v>43108</v>
      </c>
      <c r="KE12" s="21">
        <f t="shared" ref="KE12" si="143">KD12+1</f>
        <v>43109</v>
      </c>
      <c r="KF12" s="21">
        <f t="shared" ref="KF12" si="144">KE12+1</f>
        <v>43110</v>
      </c>
      <c r="KG12" s="21">
        <f t="shared" ref="KG12" si="145">KF12+1</f>
        <v>43111</v>
      </c>
      <c r="KH12" s="21">
        <f t="shared" ref="KH12" si="146">KG12+1</f>
        <v>43112</v>
      </c>
      <c r="KI12" s="21">
        <f t="shared" ref="KI12" si="147">KH12+1</f>
        <v>43113</v>
      </c>
      <c r="KJ12" s="21">
        <f t="shared" ref="KJ12" si="148">KI12+1</f>
        <v>43114</v>
      </c>
      <c r="KK12" s="21">
        <f t="shared" ref="KK12" si="149">KJ12+1</f>
        <v>43115</v>
      </c>
      <c r="KL12" s="21">
        <f t="shared" ref="KL12" si="150">KK12+1</f>
        <v>43116</v>
      </c>
      <c r="KM12" s="21">
        <f t="shared" ref="KM12" si="151">KL12+1</f>
        <v>43117</v>
      </c>
      <c r="KN12" s="21">
        <f t="shared" ref="KN12" si="152">KM12+1</f>
        <v>43118</v>
      </c>
      <c r="KO12" s="21">
        <f t="shared" ref="KO12" si="153">KN12+1</f>
        <v>43119</v>
      </c>
      <c r="KP12" s="21">
        <f t="shared" ref="KP12" si="154">KO12+1</f>
        <v>43120</v>
      </c>
      <c r="KQ12" s="21">
        <f t="shared" ref="KQ12" si="155">KP12+1</f>
        <v>43121</v>
      </c>
      <c r="KR12" s="21">
        <f t="shared" ref="KR12" si="156">KQ12+1</f>
        <v>43122</v>
      </c>
      <c r="KS12" s="21">
        <f t="shared" ref="KS12" si="157">KR12+1</f>
        <v>43123</v>
      </c>
      <c r="KT12" s="21">
        <f t="shared" ref="KT12" si="158">KS12+1</f>
        <v>43124</v>
      </c>
      <c r="KU12" s="21">
        <f t="shared" ref="KU12" si="159">KT12+1</f>
        <v>43125</v>
      </c>
      <c r="KV12" s="21">
        <f t="shared" ref="KV12" si="160">KU12+1</f>
        <v>43126</v>
      </c>
      <c r="KW12" s="21">
        <f t="shared" ref="KW12" si="161">KV12+1</f>
        <v>43127</v>
      </c>
      <c r="KX12" s="21">
        <f t="shared" ref="KX12" si="162">KW12+1</f>
        <v>43128</v>
      </c>
      <c r="KY12" s="21">
        <f t="shared" ref="KY12" si="163">KX12+1</f>
        <v>43129</v>
      </c>
      <c r="KZ12" s="21">
        <f t="shared" ref="KZ12" si="164">KY12+1</f>
        <v>43130</v>
      </c>
      <c r="LA12" s="21">
        <f t="shared" ref="LA12" si="165">KZ12+1</f>
        <v>43131</v>
      </c>
      <c r="LB12" s="21">
        <f t="shared" ref="LB12" si="166">LA12+1</f>
        <v>43132</v>
      </c>
      <c r="LC12" s="21">
        <f t="shared" ref="LC12" si="167">LB12+1</f>
        <v>43133</v>
      </c>
      <c r="LD12" s="21">
        <f t="shared" ref="LD12" si="168">LC12+1</f>
        <v>43134</v>
      </c>
      <c r="LE12" s="21">
        <f t="shared" ref="LE12" si="169">LD12+1</f>
        <v>43135</v>
      </c>
      <c r="LF12" s="21">
        <f t="shared" ref="LF12" si="170">LE12+1</f>
        <v>43136</v>
      </c>
      <c r="LG12" s="21">
        <f t="shared" ref="LG12" si="171">LF12+1</f>
        <v>43137</v>
      </c>
      <c r="LH12" s="21">
        <f t="shared" ref="LH12" si="172">LG12+1</f>
        <v>43138</v>
      </c>
      <c r="LI12" s="21">
        <f t="shared" ref="LI12" si="173">LH12+1</f>
        <v>43139</v>
      </c>
      <c r="LJ12" s="21">
        <f t="shared" ref="LJ12" si="174">LI12+1</f>
        <v>43140</v>
      </c>
      <c r="LK12" s="21">
        <f t="shared" ref="LK12" si="175">LJ12+1</f>
        <v>43141</v>
      </c>
      <c r="LL12" s="21">
        <f t="shared" ref="LL12" si="176">LK12+1</f>
        <v>43142</v>
      </c>
      <c r="LM12" s="21">
        <f t="shared" ref="LM12" si="177">LL12+1</f>
        <v>43143</v>
      </c>
      <c r="LN12" s="21">
        <f t="shared" ref="LN12" si="178">LM12+1</f>
        <v>43144</v>
      </c>
      <c r="LO12" s="21">
        <f t="shared" ref="LO12" si="179">LN12+1</f>
        <v>43145</v>
      </c>
      <c r="LP12" s="21">
        <f t="shared" ref="LP12" si="180">LO12+1</f>
        <v>43146</v>
      </c>
      <c r="LQ12" s="21">
        <f t="shared" ref="LQ12" si="181">LP12+1</f>
        <v>43147</v>
      </c>
      <c r="LR12" s="21">
        <f t="shared" ref="LR12" si="182">LQ12+1</f>
        <v>43148</v>
      </c>
      <c r="LS12" s="21">
        <f t="shared" ref="LS12" si="183">LR12+1</f>
        <v>43149</v>
      </c>
      <c r="LT12" s="21">
        <f t="shared" ref="LT12" si="184">LS12+1</f>
        <v>43150</v>
      </c>
      <c r="LU12" s="21">
        <f t="shared" ref="LU12" si="185">LT12+1</f>
        <v>43151</v>
      </c>
      <c r="LV12" s="21">
        <f t="shared" ref="LV12" si="186">LU12+1</f>
        <v>43152</v>
      </c>
      <c r="LW12" s="21">
        <f t="shared" ref="LW12" si="187">LV12+1</f>
        <v>43153</v>
      </c>
      <c r="LX12" s="21">
        <f t="shared" ref="LX12" si="188">LW12+1</f>
        <v>43154</v>
      </c>
      <c r="LY12" s="21">
        <f t="shared" ref="LY12" si="189">LX12+1</f>
        <v>43155</v>
      </c>
      <c r="LZ12" s="21">
        <f t="shared" ref="LZ12" si="190">LY12+1</f>
        <v>43156</v>
      </c>
      <c r="MA12" s="21">
        <f t="shared" ref="MA12" si="191">LZ12+1</f>
        <v>43157</v>
      </c>
      <c r="MB12" s="21">
        <f t="shared" ref="MB12" si="192">MA12+1</f>
        <v>43158</v>
      </c>
      <c r="MC12" s="21">
        <f t="shared" ref="MC12" si="193">MB12+1</f>
        <v>43159</v>
      </c>
      <c r="MD12" s="21">
        <f t="shared" ref="MD12" si="194">MC12+1</f>
        <v>43160</v>
      </c>
      <c r="ME12" s="21">
        <f t="shared" ref="ME12" si="195">MD12+1</f>
        <v>43161</v>
      </c>
      <c r="MF12" s="21">
        <f t="shared" ref="MF12" si="196">ME12+1</f>
        <v>43162</v>
      </c>
      <c r="MG12" s="21">
        <f t="shared" ref="MG12" si="197">MF12+1</f>
        <v>43163</v>
      </c>
      <c r="MH12" s="21">
        <f t="shared" ref="MH12" si="198">MG12+1</f>
        <v>43164</v>
      </c>
      <c r="MI12" s="21">
        <f t="shared" ref="MI12" si="199">MH12+1</f>
        <v>43165</v>
      </c>
      <c r="MJ12" s="21">
        <f t="shared" ref="MJ12" si="200">MI12+1</f>
        <v>43166</v>
      </c>
      <c r="MK12" s="21">
        <f t="shared" ref="MK12" si="201">MJ12+1</f>
        <v>43167</v>
      </c>
      <c r="ML12" s="21">
        <f t="shared" ref="ML12" si="202">MK12+1</f>
        <v>43168</v>
      </c>
      <c r="MM12" s="21">
        <f t="shared" ref="MM12" si="203">ML12+1</f>
        <v>43169</v>
      </c>
      <c r="MN12" s="21">
        <f t="shared" ref="MN12" si="204">MM12+1</f>
        <v>43170</v>
      </c>
      <c r="MO12" s="21">
        <f t="shared" ref="MO12" si="205">MN12+1</f>
        <v>43171</v>
      </c>
      <c r="MP12" s="21">
        <f t="shared" ref="MP12" si="206">MO12+1</f>
        <v>43172</v>
      </c>
      <c r="MQ12" s="21">
        <f t="shared" ref="MQ12" si="207">MP12+1</f>
        <v>43173</v>
      </c>
      <c r="MR12" s="21">
        <f t="shared" ref="MR12" si="208">MQ12+1</f>
        <v>43174</v>
      </c>
      <c r="MS12" s="21">
        <f t="shared" ref="MS12" si="209">MR12+1</f>
        <v>43175</v>
      </c>
      <c r="MT12" s="21">
        <f t="shared" ref="MT12" si="210">MS12+1</f>
        <v>43176</v>
      </c>
      <c r="MU12" s="21">
        <f t="shared" ref="MU12" si="211">MT12+1</f>
        <v>43177</v>
      </c>
      <c r="MV12" s="21">
        <f t="shared" ref="MV12" si="212">MU12+1</f>
        <v>43178</v>
      </c>
      <c r="MW12" s="21">
        <f t="shared" ref="MW12" si="213">MV12+1</f>
        <v>43179</v>
      </c>
      <c r="MX12" s="21">
        <f t="shared" ref="MX12" si="214">MW12+1</f>
        <v>43180</v>
      </c>
      <c r="MY12" s="21">
        <f t="shared" ref="MY12" si="215">MX12+1</f>
        <v>43181</v>
      </c>
      <c r="MZ12" s="21">
        <f t="shared" ref="MZ12" si="216">MY12+1</f>
        <v>43182</v>
      </c>
      <c r="NA12" s="21">
        <f t="shared" ref="NA12" si="217">MZ12+1</f>
        <v>43183</v>
      </c>
      <c r="NB12" s="21">
        <f t="shared" ref="NB12" si="218">NA12+1</f>
        <v>43184</v>
      </c>
      <c r="NC12" s="21">
        <f t="shared" ref="NC12" si="219">NB12+1</f>
        <v>43185</v>
      </c>
      <c r="ND12" s="21">
        <f t="shared" ref="ND12" si="220">NC12+1</f>
        <v>43186</v>
      </c>
      <c r="NE12" s="21">
        <f t="shared" ref="NE12" si="221">ND12+1</f>
        <v>43187</v>
      </c>
      <c r="NF12" s="21">
        <f t="shared" ref="NF12" si="222">NE12+1</f>
        <v>43188</v>
      </c>
      <c r="NG12" s="21">
        <f t="shared" ref="NG12" si="223">NF12+1</f>
        <v>43189</v>
      </c>
      <c r="NH12" s="21">
        <f t="shared" ref="NH12" si="224">NG12+1</f>
        <v>43190</v>
      </c>
      <c r="NI12" s="21">
        <f t="shared" ref="NI12" si="225">NH12+1</f>
        <v>43191</v>
      </c>
      <c r="NJ12" s="21">
        <f t="shared" ref="NJ12" si="226">NI12+1</f>
        <v>43192</v>
      </c>
      <c r="NK12" s="21">
        <f t="shared" ref="NK12" si="227">NJ12+1</f>
        <v>43193</v>
      </c>
      <c r="NL12" s="21">
        <f t="shared" ref="NL12" si="228">NK12+1</f>
        <v>43194</v>
      </c>
    </row>
    <row r="13" spans="1:376" x14ac:dyDescent="0.15">
      <c r="A13" s="23">
        <v>1</v>
      </c>
      <c r="B13" s="24" t="s">
        <v>117</v>
      </c>
      <c r="C13" s="25" t="s">
        <v>111</v>
      </c>
      <c r="D13" s="26" t="s">
        <v>114</v>
      </c>
      <c r="E13" s="27" t="s">
        <v>13</v>
      </c>
      <c r="F13" s="28">
        <v>42828</v>
      </c>
      <c r="G13" s="28">
        <v>42854</v>
      </c>
      <c r="H13" s="29">
        <f>SUM(J13:NL13)</f>
        <v>12</v>
      </c>
      <c r="I13" s="30"/>
      <c r="J13" s="31">
        <v>4</v>
      </c>
      <c r="K13" s="32"/>
      <c r="L13" s="32"/>
      <c r="M13" s="32"/>
      <c r="N13" s="32"/>
      <c r="O13" s="32">
        <v>4</v>
      </c>
      <c r="P13" s="32"/>
      <c r="Q13" s="32"/>
      <c r="R13" s="32"/>
      <c r="S13" s="32"/>
      <c r="T13" s="32"/>
      <c r="U13" s="32"/>
      <c r="V13" s="32"/>
      <c r="W13" s="32"/>
      <c r="X13" s="32"/>
      <c r="Y13" s="32"/>
      <c r="Z13" s="32"/>
      <c r="AA13" s="32"/>
      <c r="AB13" s="32"/>
      <c r="AC13" s="32"/>
      <c r="AD13" s="32"/>
      <c r="AE13" s="32"/>
      <c r="AF13" s="32"/>
      <c r="AG13" s="32"/>
      <c r="AH13" s="32"/>
      <c r="AI13" s="32"/>
      <c r="AJ13" s="32">
        <v>4</v>
      </c>
      <c r="AK13" s="32"/>
      <c r="AL13" s="32"/>
      <c r="AM13" s="32"/>
      <c r="AN13" s="32"/>
      <c r="AO13" s="32"/>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c r="HV13" s="33"/>
      <c r="HW13" s="33"/>
      <c r="HX13" s="33"/>
      <c r="HY13" s="33"/>
      <c r="HZ13" s="33"/>
      <c r="IA13" s="33"/>
      <c r="IB13" s="33"/>
      <c r="IC13" s="33"/>
      <c r="ID13" s="33"/>
      <c r="IE13" s="33"/>
      <c r="IF13" s="33"/>
      <c r="IG13" s="33"/>
      <c r="IH13" s="33"/>
      <c r="II13" s="33"/>
      <c r="IJ13" s="33"/>
      <c r="IK13" s="33"/>
      <c r="IL13" s="33"/>
      <c r="IM13" s="33"/>
      <c r="IN13" s="33"/>
      <c r="IO13" s="33"/>
      <c r="IP13" s="33"/>
      <c r="IQ13" s="33"/>
      <c r="IR13" s="33"/>
      <c r="IS13" s="33"/>
      <c r="IT13" s="33"/>
      <c r="IU13" s="33"/>
      <c r="IV13" s="33"/>
      <c r="IW13" s="33"/>
      <c r="IX13" s="33"/>
      <c r="IY13" s="33"/>
      <c r="IZ13" s="33"/>
      <c r="JA13" s="33"/>
      <c r="JB13" s="33"/>
      <c r="JC13" s="33"/>
      <c r="JD13" s="33"/>
      <c r="JE13" s="33"/>
      <c r="JF13" s="33"/>
      <c r="JG13" s="33"/>
      <c r="JH13" s="33"/>
      <c r="JI13" s="33"/>
      <c r="JJ13" s="33"/>
      <c r="JK13" s="33"/>
      <c r="JL13" s="33"/>
      <c r="JM13" s="33"/>
      <c r="JN13" s="33"/>
      <c r="JO13" s="33"/>
      <c r="JP13" s="33"/>
      <c r="JQ13" s="33"/>
      <c r="JR13" s="33"/>
      <c r="JS13" s="33"/>
      <c r="JT13" s="33"/>
      <c r="JU13" s="33"/>
      <c r="JV13" s="33"/>
      <c r="JW13" s="33"/>
      <c r="JX13" s="33"/>
      <c r="JY13" s="33"/>
      <c r="JZ13" s="33"/>
      <c r="KA13" s="33"/>
      <c r="KB13" s="33"/>
      <c r="KC13" s="33"/>
      <c r="KD13" s="33"/>
      <c r="KE13" s="33"/>
      <c r="KF13" s="33"/>
      <c r="KG13" s="33"/>
      <c r="KH13" s="33"/>
      <c r="KI13" s="33"/>
      <c r="KJ13" s="33"/>
      <c r="KK13" s="33"/>
      <c r="KL13" s="33"/>
      <c r="KM13" s="33"/>
      <c r="KN13" s="33"/>
      <c r="KO13" s="33"/>
      <c r="KP13" s="33"/>
      <c r="KQ13" s="33"/>
      <c r="KR13" s="33"/>
      <c r="KS13" s="33"/>
      <c r="KT13" s="33"/>
      <c r="KU13" s="33"/>
      <c r="KV13" s="33"/>
      <c r="KW13" s="33"/>
      <c r="KX13" s="33"/>
      <c r="KY13" s="33"/>
      <c r="KZ13" s="33"/>
      <c r="LA13" s="33"/>
      <c r="LB13" s="33"/>
      <c r="LC13" s="33"/>
      <c r="LD13" s="33"/>
      <c r="LE13" s="33"/>
      <c r="LF13" s="33"/>
      <c r="LG13" s="33"/>
      <c r="LH13" s="33"/>
      <c r="LI13" s="33"/>
      <c r="LJ13" s="33"/>
      <c r="LK13" s="33"/>
      <c r="LL13" s="33"/>
      <c r="LM13" s="33"/>
      <c r="LN13" s="33"/>
      <c r="LO13" s="33"/>
      <c r="LP13" s="33"/>
      <c r="LQ13" s="33"/>
      <c r="LR13" s="33"/>
      <c r="LS13" s="33"/>
      <c r="LT13" s="33"/>
      <c r="LU13" s="33"/>
      <c r="LV13" s="33"/>
      <c r="LW13" s="33"/>
      <c r="LX13" s="33"/>
      <c r="LY13" s="33"/>
      <c r="LZ13" s="33"/>
      <c r="MA13" s="33"/>
      <c r="MB13" s="33"/>
      <c r="MC13" s="33"/>
      <c r="MD13" s="33"/>
      <c r="ME13" s="33"/>
      <c r="MF13" s="33"/>
      <c r="MG13" s="33"/>
      <c r="MH13" s="33"/>
      <c r="MI13" s="33"/>
      <c r="MJ13" s="33"/>
      <c r="MK13" s="33"/>
      <c r="ML13" s="33"/>
      <c r="MM13" s="33"/>
      <c r="MN13" s="33"/>
      <c r="MO13" s="33"/>
      <c r="MP13" s="33"/>
      <c r="MQ13" s="33"/>
      <c r="MR13" s="33"/>
      <c r="MS13" s="33"/>
      <c r="MT13" s="33"/>
      <c r="MU13" s="33"/>
      <c r="MV13" s="33"/>
      <c r="MW13" s="33"/>
      <c r="MX13" s="33"/>
      <c r="MY13" s="33"/>
      <c r="MZ13" s="33"/>
      <c r="NA13" s="33"/>
      <c r="NB13" s="33"/>
      <c r="NC13" s="33"/>
      <c r="ND13" s="33"/>
      <c r="NE13" s="33"/>
      <c r="NF13" s="33"/>
      <c r="NG13" s="33"/>
      <c r="NH13" s="33"/>
      <c r="NI13" s="33"/>
      <c r="NJ13" s="33"/>
      <c r="NK13" s="33"/>
      <c r="NL13" s="34"/>
    </row>
    <row r="14" spans="1:376" x14ac:dyDescent="0.15">
      <c r="A14" s="35">
        <f>A13</f>
        <v>1</v>
      </c>
      <c r="B14" s="36" t="str">
        <f>B13</f>
        <v>SA</v>
      </c>
      <c r="C14" s="36" t="str">
        <f>C13</f>
        <v>開発計画書作成</v>
      </c>
      <c r="D14" s="37" t="str">
        <f>D13</f>
        <v>那須</v>
      </c>
      <c r="E14" s="38" t="s">
        <v>0</v>
      </c>
      <c r="F14" s="39">
        <v>42828</v>
      </c>
      <c r="G14" s="39"/>
      <c r="H14" s="55">
        <f>SUM(J14:NL14)</f>
        <v>8</v>
      </c>
      <c r="I14" s="40">
        <f>IF(OR(H13="",H14=""),"",H14-H13)</f>
        <v>-4</v>
      </c>
      <c r="J14" s="41">
        <v>4</v>
      </c>
      <c r="K14" s="42"/>
      <c r="L14" s="42"/>
      <c r="M14" s="42"/>
      <c r="N14" s="42"/>
      <c r="O14" s="42">
        <v>4</v>
      </c>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c r="EA14" s="43"/>
      <c r="EB14" s="43"/>
      <c r="EC14" s="43"/>
      <c r="ED14" s="43"/>
      <c r="EE14" s="43"/>
      <c r="EF14" s="43"/>
      <c r="EG14" s="43"/>
      <c r="EH14" s="43"/>
      <c r="EI14" s="43"/>
      <c r="EJ14" s="43"/>
      <c r="EK14" s="43"/>
      <c r="EL14" s="43"/>
      <c r="EM14" s="43"/>
      <c r="EN14" s="43"/>
      <c r="EO14" s="43"/>
      <c r="EP14" s="43"/>
      <c r="EQ14" s="43"/>
      <c r="ER14" s="43"/>
      <c r="ES14" s="43"/>
      <c r="ET14" s="43"/>
      <c r="EU14" s="43"/>
      <c r="EV14" s="43"/>
      <c r="EW14" s="43"/>
      <c r="EX14" s="43"/>
      <c r="EY14" s="43"/>
      <c r="EZ14" s="43"/>
      <c r="FA14" s="43"/>
      <c r="FB14" s="43"/>
      <c r="FC14" s="43"/>
      <c r="FD14" s="43"/>
      <c r="FE14" s="43"/>
      <c r="FF14" s="43"/>
      <c r="FG14" s="43"/>
      <c r="FH14" s="43"/>
      <c r="FI14" s="43"/>
      <c r="FJ14" s="43"/>
      <c r="FK14" s="43"/>
      <c r="FL14" s="43"/>
      <c r="FM14" s="43"/>
      <c r="FN14" s="43"/>
      <c r="FO14" s="43"/>
      <c r="FP14" s="43"/>
      <c r="FQ14" s="43"/>
      <c r="FR14" s="43"/>
      <c r="FS14" s="43"/>
      <c r="FT14" s="43"/>
      <c r="FU14" s="43"/>
      <c r="FV14" s="43"/>
      <c r="FW14" s="43"/>
      <c r="FX14" s="43"/>
      <c r="FY14" s="43"/>
      <c r="FZ14" s="43"/>
      <c r="GA14" s="43"/>
      <c r="GB14" s="43"/>
      <c r="GC14" s="43"/>
      <c r="GD14" s="43"/>
      <c r="GE14" s="43"/>
      <c r="GF14" s="43"/>
      <c r="GG14" s="43"/>
      <c r="GH14" s="43"/>
      <c r="GI14" s="43"/>
      <c r="GJ14" s="43"/>
      <c r="GK14" s="43"/>
      <c r="GL14" s="43"/>
      <c r="GM14" s="43"/>
      <c r="GN14" s="43"/>
      <c r="GO14" s="43"/>
      <c r="GP14" s="43"/>
      <c r="GQ14" s="43"/>
      <c r="GR14" s="43"/>
      <c r="GS14" s="43"/>
      <c r="GT14" s="43"/>
      <c r="GU14" s="43"/>
      <c r="GV14" s="43"/>
      <c r="GW14" s="43"/>
      <c r="GX14" s="43"/>
      <c r="GY14" s="43"/>
      <c r="GZ14" s="43"/>
      <c r="HA14" s="43"/>
      <c r="HB14" s="43"/>
      <c r="HC14" s="43"/>
      <c r="HD14" s="43"/>
      <c r="HE14" s="43"/>
      <c r="HF14" s="43"/>
      <c r="HG14" s="43"/>
      <c r="HH14" s="43"/>
      <c r="HI14" s="43"/>
      <c r="HJ14" s="43"/>
      <c r="HK14" s="43"/>
      <c r="HL14" s="43"/>
      <c r="HM14" s="43"/>
      <c r="HN14" s="43"/>
      <c r="HO14" s="43"/>
      <c r="HP14" s="43"/>
      <c r="HQ14" s="43"/>
      <c r="HR14" s="43"/>
      <c r="HS14" s="43"/>
      <c r="HT14" s="43"/>
      <c r="HU14" s="43"/>
      <c r="HV14" s="43"/>
      <c r="HW14" s="43"/>
      <c r="HX14" s="43"/>
      <c r="HY14" s="43"/>
      <c r="HZ14" s="43"/>
      <c r="IA14" s="43"/>
      <c r="IB14" s="43"/>
      <c r="IC14" s="43"/>
      <c r="ID14" s="43"/>
      <c r="IE14" s="43"/>
      <c r="IF14" s="43"/>
      <c r="IG14" s="43"/>
      <c r="IH14" s="43"/>
      <c r="II14" s="43"/>
      <c r="IJ14" s="43"/>
      <c r="IK14" s="43"/>
      <c r="IL14" s="43"/>
      <c r="IM14" s="43"/>
      <c r="IN14" s="43"/>
      <c r="IO14" s="43"/>
      <c r="IP14" s="43"/>
      <c r="IQ14" s="43"/>
      <c r="IR14" s="43"/>
      <c r="IS14" s="43"/>
      <c r="IT14" s="43"/>
      <c r="IU14" s="43"/>
      <c r="IV14" s="43"/>
      <c r="IW14" s="43"/>
      <c r="IX14" s="43"/>
      <c r="IY14" s="43"/>
      <c r="IZ14" s="43"/>
      <c r="JA14" s="43"/>
      <c r="JB14" s="43"/>
      <c r="JC14" s="43"/>
      <c r="JD14" s="43"/>
      <c r="JE14" s="43"/>
      <c r="JF14" s="43"/>
      <c r="JG14" s="43"/>
      <c r="JH14" s="43"/>
      <c r="JI14" s="43"/>
      <c r="JJ14" s="43"/>
      <c r="JK14" s="43"/>
      <c r="JL14" s="43"/>
      <c r="JM14" s="43"/>
      <c r="JN14" s="43"/>
      <c r="JO14" s="43"/>
      <c r="JP14" s="43"/>
      <c r="JQ14" s="43"/>
      <c r="JR14" s="43"/>
      <c r="JS14" s="43"/>
      <c r="JT14" s="43"/>
      <c r="JU14" s="43"/>
      <c r="JV14" s="43"/>
      <c r="JW14" s="43"/>
      <c r="JX14" s="43"/>
      <c r="JY14" s="43"/>
      <c r="JZ14" s="43"/>
      <c r="KA14" s="43"/>
      <c r="KB14" s="43"/>
      <c r="KC14" s="43"/>
      <c r="KD14" s="43"/>
      <c r="KE14" s="43"/>
      <c r="KF14" s="43"/>
      <c r="KG14" s="43"/>
      <c r="KH14" s="43"/>
      <c r="KI14" s="43"/>
      <c r="KJ14" s="43"/>
      <c r="KK14" s="43"/>
      <c r="KL14" s="43"/>
      <c r="KM14" s="43"/>
      <c r="KN14" s="43"/>
      <c r="KO14" s="43"/>
      <c r="KP14" s="43"/>
      <c r="KQ14" s="43"/>
      <c r="KR14" s="43"/>
      <c r="KS14" s="43"/>
      <c r="KT14" s="43"/>
      <c r="KU14" s="43"/>
      <c r="KV14" s="43"/>
      <c r="KW14" s="43"/>
      <c r="KX14" s="43"/>
      <c r="KY14" s="43"/>
      <c r="KZ14" s="43"/>
      <c r="LA14" s="43"/>
      <c r="LB14" s="43"/>
      <c r="LC14" s="43"/>
      <c r="LD14" s="43"/>
      <c r="LE14" s="43"/>
      <c r="LF14" s="43"/>
      <c r="LG14" s="43"/>
      <c r="LH14" s="43"/>
      <c r="LI14" s="43"/>
      <c r="LJ14" s="43"/>
      <c r="LK14" s="43"/>
      <c r="LL14" s="43"/>
      <c r="LM14" s="43"/>
      <c r="LN14" s="43"/>
      <c r="LO14" s="43"/>
      <c r="LP14" s="43"/>
      <c r="LQ14" s="43"/>
      <c r="LR14" s="43"/>
      <c r="LS14" s="43"/>
      <c r="LT14" s="43"/>
      <c r="LU14" s="43"/>
      <c r="LV14" s="43"/>
      <c r="LW14" s="43"/>
      <c r="LX14" s="43"/>
      <c r="LY14" s="43"/>
      <c r="LZ14" s="43"/>
      <c r="MA14" s="43"/>
      <c r="MB14" s="43"/>
      <c r="MC14" s="43"/>
      <c r="MD14" s="43"/>
      <c r="ME14" s="43"/>
      <c r="MF14" s="43"/>
      <c r="MG14" s="43"/>
      <c r="MH14" s="43"/>
      <c r="MI14" s="43"/>
      <c r="MJ14" s="43"/>
      <c r="MK14" s="43"/>
      <c r="ML14" s="43"/>
      <c r="MM14" s="43"/>
      <c r="MN14" s="43"/>
      <c r="MO14" s="43"/>
      <c r="MP14" s="43"/>
      <c r="MQ14" s="43"/>
      <c r="MR14" s="43"/>
      <c r="MS14" s="43"/>
      <c r="MT14" s="43"/>
      <c r="MU14" s="43"/>
      <c r="MV14" s="43"/>
      <c r="MW14" s="43"/>
      <c r="MX14" s="43"/>
      <c r="MY14" s="43"/>
      <c r="MZ14" s="43"/>
      <c r="NA14" s="43"/>
      <c r="NB14" s="43"/>
      <c r="NC14" s="43"/>
      <c r="ND14" s="43"/>
      <c r="NE14" s="43"/>
      <c r="NF14" s="43"/>
      <c r="NG14" s="43"/>
      <c r="NH14" s="43"/>
      <c r="NI14" s="43"/>
      <c r="NJ14" s="43"/>
      <c r="NK14" s="43"/>
      <c r="NL14" s="44"/>
    </row>
    <row r="15" spans="1:376" x14ac:dyDescent="0.15">
      <c r="A15" s="23">
        <v>2</v>
      </c>
      <c r="B15" s="24" t="s">
        <v>118</v>
      </c>
      <c r="C15" s="45" t="s">
        <v>112</v>
      </c>
      <c r="D15" s="26" t="s">
        <v>115</v>
      </c>
      <c r="E15" s="46" t="s">
        <v>13</v>
      </c>
      <c r="F15" s="47">
        <v>42828</v>
      </c>
      <c r="G15" s="47">
        <v>42854</v>
      </c>
      <c r="H15" s="29">
        <f>SUM(J15:NL15)</f>
        <v>12</v>
      </c>
      <c r="I15" s="48"/>
      <c r="J15" s="49">
        <v>4</v>
      </c>
      <c r="K15" s="50"/>
      <c r="L15" s="50"/>
      <c r="M15" s="50"/>
      <c r="N15" s="50"/>
      <c r="O15" s="50">
        <v>4</v>
      </c>
      <c r="P15" s="50"/>
      <c r="Q15" s="50"/>
      <c r="R15" s="50"/>
      <c r="S15" s="50"/>
      <c r="T15" s="50"/>
      <c r="U15" s="50"/>
      <c r="V15" s="50"/>
      <c r="W15" s="50"/>
      <c r="X15" s="50"/>
      <c r="Y15" s="50"/>
      <c r="Z15" s="50"/>
      <c r="AA15" s="50"/>
      <c r="AB15" s="50"/>
      <c r="AC15" s="50"/>
      <c r="AD15" s="50"/>
      <c r="AE15" s="50"/>
      <c r="AF15" s="50"/>
      <c r="AG15" s="50"/>
      <c r="AH15" s="50"/>
      <c r="AI15" s="50"/>
      <c r="AJ15" s="50">
        <v>4</v>
      </c>
      <c r="AK15" s="50"/>
      <c r="AL15" s="50"/>
      <c r="AM15" s="50"/>
      <c r="AN15" s="50"/>
      <c r="AO15" s="50"/>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c r="DS15" s="51"/>
      <c r="DT15" s="51"/>
      <c r="DU15" s="51"/>
      <c r="DV15" s="51"/>
      <c r="DW15" s="51"/>
      <c r="DX15" s="51"/>
      <c r="DY15" s="51"/>
      <c r="DZ15" s="51"/>
      <c r="EA15" s="51"/>
      <c r="EB15" s="51"/>
      <c r="EC15" s="51"/>
      <c r="ED15" s="51"/>
      <c r="EE15" s="51"/>
      <c r="EF15" s="51"/>
      <c r="EG15" s="51"/>
      <c r="EH15" s="51"/>
      <c r="EI15" s="51"/>
      <c r="EJ15" s="51"/>
      <c r="EK15" s="51"/>
      <c r="EL15" s="51"/>
      <c r="EM15" s="51"/>
      <c r="EN15" s="51"/>
      <c r="EO15" s="51"/>
      <c r="EP15" s="51"/>
      <c r="EQ15" s="51"/>
      <c r="ER15" s="51"/>
      <c r="ES15" s="51"/>
      <c r="ET15" s="51"/>
      <c r="EU15" s="51"/>
      <c r="EV15" s="51"/>
      <c r="EW15" s="51"/>
      <c r="EX15" s="51"/>
      <c r="EY15" s="51"/>
      <c r="EZ15" s="51"/>
      <c r="FA15" s="51"/>
      <c r="FB15" s="51"/>
      <c r="FC15" s="51"/>
      <c r="FD15" s="51"/>
      <c r="FE15" s="51"/>
      <c r="FF15" s="51"/>
      <c r="FG15" s="51"/>
      <c r="FH15" s="51"/>
      <c r="FI15" s="51"/>
      <c r="FJ15" s="51"/>
      <c r="FK15" s="51"/>
      <c r="FL15" s="51"/>
      <c r="FM15" s="51"/>
      <c r="FN15" s="51"/>
      <c r="FO15" s="51"/>
      <c r="FP15" s="51"/>
      <c r="FQ15" s="51"/>
      <c r="FR15" s="51"/>
      <c r="FS15" s="51"/>
      <c r="FT15" s="51"/>
      <c r="FU15" s="51"/>
      <c r="FV15" s="51"/>
      <c r="FW15" s="51"/>
      <c r="FX15" s="51"/>
      <c r="FY15" s="51"/>
      <c r="FZ15" s="51"/>
      <c r="GA15" s="51"/>
      <c r="GB15" s="51"/>
      <c r="GC15" s="51"/>
      <c r="GD15" s="51"/>
      <c r="GE15" s="51"/>
      <c r="GF15" s="51"/>
      <c r="GG15" s="51"/>
      <c r="GH15" s="51"/>
      <c r="GI15" s="51"/>
      <c r="GJ15" s="51"/>
      <c r="GK15" s="51"/>
      <c r="GL15" s="51"/>
      <c r="GM15" s="51"/>
      <c r="GN15" s="51"/>
      <c r="GO15" s="51"/>
      <c r="GP15" s="51"/>
      <c r="GQ15" s="51"/>
      <c r="GR15" s="51"/>
      <c r="GS15" s="51"/>
      <c r="GT15" s="51"/>
      <c r="GU15" s="51"/>
      <c r="GV15" s="51"/>
      <c r="GW15" s="51"/>
      <c r="GX15" s="51"/>
      <c r="GY15" s="51"/>
      <c r="GZ15" s="51"/>
      <c r="HA15" s="51"/>
      <c r="HB15" s="51"/>
      <c r="HC15" s="51"/>
      <c r="HD15" s="51"/>
      <c r="HE15" s="51"/>
      <c r="HF15" s="51"/>
      <c r="HG15" s="51"/>
      <c r="HH15" s="51"/>
      <c r="HI15" s="51"/>
      <c r="HJ15" s="51"/>
      <c r="HK15" s="51"/>
      <c r="HL15" s="51"/>
      <c r="HM15" s="51"/>
      <c r="HN15" s="51"/>
      <c r="HO15" s="51"/>
      <c r="HP15" s="51"/>
      <c r="HQ15" s="51"/>
      <c r="HR15" s="51"/>
      <c r="HS15" s="51"/>
      <c r="HT15" s="51"/>
      <c r="HU15" s="51"/>
      <c r="HV15" s="51"/>
      <c r="HW15" s="51"/>
      <c r="HX15" s="51"/>
      <c r="HY15" s="51"/>
      <c r="HZ15" s="51"/>
      <c r="IA15" s="51"/>
      <c r="IB15" s="51"/>
      <c r="IC15" s="51"/>
      <c r="ID15" s="51"/>
      <c r="IE15" s="51"/>
      <c r="IF15" s="51"/>
      <c r="IG15" s="51"/>
      <c r="IH15" s="51"/>
      <c r="II15" s="51"/>
      <c r="IJ15" s="51"/>
      <c r="IK15" s="51"/>
      <c r="IL15" s="51"/>
      <c r="IM15" s="51"/>
      <c r="IN15" s="51"/>
      <c r="IO15" s="51"/>
      <c r="IP15" s="51"/>
      <c r="IQ15" s="51"/>
      <c r="IR15" s="51"/>
      <c r="IS15" s="51"/>
      <c r="IT15" s="51"/>
      <c r="IU15" s="51"/>
      <c r="IV15" s="51"/>
      <c r="IW15" s="51"/>
      <c r="IX15" s="51"/>
      <c r="IY15" s="51"/>
      <c r="IZ15" s="51"/>
      <c r="JA15" s="51"/>
      <c r="JB15" s="51"/>
      <c r="JC15" s="51"/>
      <c r="JD15" s="51"/>
      <c r="JE15" s="51"/>
      <c r="JF15" s="51"/>
      <c r="JG15" s="51"/>
      <c r="JH15" s="51"/>
      <c r="JI15" s="51"/>
      <c r="JJ15" s="51"/>
      <c r="JK15" s="51"/>
      <c r="JL15" s="51"/>
      <c r="JM15" s="51"/>
      <c r="JN15" s="51"/>
      <c r="JO15" s="51"/>
      <c r="JP15" s="51"/>
      <c r="JQ15" s="51"/>
      <c r="JR15" s="51"/>
      <c r="JS15" s="51"/>
      <c r="JT15" s="51"/>
      <c r="JU15" s="51"/>
      <c r="JV15" s="51"/>
      <c r="JW15" s="51"/>
      <c r="JX15" s="51"/>
      <c r="JY15" s="51"/>
      <c r="JZ15" s="51"/>
      <c r="KA15" s="51"/>
      <c r="KB15" s="51"/>
      <c r="KC15" s="51"/>
      <c r="KD15" s="51"/>
      <c r="KE15" s="51"/>
      <c r="KF15" s="51"/>
      <c r="KG15" s="51"/>
      <c r="KH15" s="51"/>
      <c r="KI15" s="51"/>
      <c r="KJ15" s="51"/>
      <c r="KK15" s="51"/>
      <c r="KL15" s="51"/>
      <c r="KM15" s="51"/>
      <c r="KN15" s="51"/>
      <c r="KO15" s="51"/>
      <c r="KP15" s="51"/>
      <c r="KQ15" s="51"/>
      <c r="KR15" s="51"/>
      <c r="KS15" s="51"/>
      <c r="KT15" s="51"/>
      <c r="KU15" s="51"/>
      <c r="KV15" s="51"/>
      <c r="KW15" s="51"/>
      <c r="KX15" s="51"/>
      <c r="KY15" s="51"/>
      <c r="KZ15" s="51"/>
      <c r="LA15" s="51"/>
      <c r="LB15" s="51"/>
      <c r="LC15" s="51"/>
      <c r="LD15" s="51"/>
      <c r="LE15" s="51"/>
      <c r="LF15" s="51"/>
      <c r="LG15" s="51"/>
      <c r="LH15" s="51"/>
      <c r="LI15" s="51"/>
      <c r="LJ15" s="51"/>
      <c r="LK15" s="51"/>
      <c r="LL15" s="51"/>
      <c r="LM15" s="51"/>
      <c r="LN15" s="51"/>
      <c r="LO15" s="51"/>
      <c r="LP15" s="51"/>
      <c r="LQ15" s="51"/>
      <c r="LR15" s="51"/>
      <c r="LS15" s="51"/>
      <c r="LT15" s="51"/>
      <c r="LU15" s="51"/>
      <c r="LV15" s="51"/>
      <c r="LW15" s="51"/>
      <c r="LX15" s="51"/>
      <c r="LY15" s="51"/>
      <c r="LZ15" s="51"/>
      <c r="MA15" s="51"/>
      <c r="MB15" s="51"/>
      <c r="MC15" s="51"/>
      <c r="MD15" s="51"/>
      <c r="ME15" s="51"/>
      <c r="MF15" s="51"/>
      <c r="MG15" s="51"/>
      <c r="MH15" s="51"/>
      <c r="MI15" s="51"/>
      <c r="MJ15" s="51"/>
      <c r="MK15" s="51"/>
      <c r="ML15" s="51"/>
      <c r="MM15" s="51"/>
      <c r="MN15" s="51"/>
      <c r="MO15" s="51"/>
      <c r="MP15" s="51"/>
      <c r="MQ15" s="51"/>
      <c r="MR15" s="51"/>
      <c r="MS15" s="51"/>
      <c r="MT15" s="51"/>
      <c r="MU15" s="51"/>
      <c r="MV15" s="51"/>
      <c r="MW15" s="51"/>
      <c r="MX15" s="51"/>
      <c r="MY15" s="51"/>
      <c r="MZ15" s="51"/>
      <c r="NA15" s="51"/>
      <c r="NB15" s="51"/>
      <c r="NC15" s="51"/>
      <c r="ND15" s="51"/>
      <c r="NE15" s="51"/>
      <c r="NF15" s="51"/>
      <c r="NG15" s="51"/>
      <c r="NH15" s="51"/>
      <c r="NI15" s="51"/>
      <c r="NJ15" s="51"/>
      <c r="NK15" s="51"/>
      <c r="NL15" s="52"/>
    </row>
    <row r="16" spans="1:376" x14ac:dyDescent="0.15">
      <c r="A16" s="35">
        <f>A15</f>
        <v>2</v>
      </c>
      <c r="B16" s="36" t="str">
        <f>B15</f>
        <v>SA</v>
      </c>
      <c r="C16" s="36" t="str">
        <f>C15</f>
        <v>開発計画書作成</v>
      </c>
      <c r="D16" s="37" t="str">
        <f>D15</f>
        <v>若山</v>
      </c>
      <c r="E16" s="53" t="s">
        <v>0</v>
      </c>
      <c r="F16" s="54"/>
      <c r="G16" s="54"/>
      <c r="H16" s="55">
        <f>SUM(J16:NL16)</f>
        <v>8</v>
      </c>
      <c r="I16" s="56">
        <f>IF(OR(H15="",H16=""),"",H16-H15)</f>
        <v>-4</v>
      </c>
      <c r="J16" s="57">
        <v>4</v>
      </c>
      <c r="K16" s="58"/>
      <c r="L16" s="58"/>
      <c r="M16" s="58"/>
      <c r="N16" s="58"/>
      <c r="O16" s="58">
        <v>4</v>
      </c>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c r="CE16" s="59"/>
      <c r="CF16" s="59"/>
      <c r="CG16" s="59"/>
      <c r="CH16" s="59"/>
      <c r="CI16" s="59"/>
      <c r="CJ16" s="59"/>
      <c r="CK16" s="59"/>
      <c r="CL16" s="59"/>
      <c r="CM16" s="59"/>
      <c r="CN16" s="59"/>
      <c r="CO16" s="59"/>
      <c r="CP16" s="59"/>
      <c r="CQ16" s="59"/>
      <c r="CR16" s="59"/>
      <c r="CS16" s="59"/>
      <c r="CT16" s="59"/>
      <c r="CU16" s="59"/>
      <c r="CV16" s="59"/>
      <c r="CW16" s="59"/>
      <c r="CX16" s="59"/>
      <c r="CY16" s="59"/>
      <c r="CZ16" s="59"/>
      <c r="DA16" s="59"/>
      <c r="DB16" s="59"/>
      <c r="DC16" s="59"/>
      <c r="DD16" s="59"/>
      <c r="DE16" s="59"/>
      <c r="DF16" s="59"/>
      <c r="DG16" s="59"/>
      <c r="DH16" s="59"/>
      <c r="DI16" s="59"/>
      <c r="DJ16" s="59"/>
      <c r="DK16" s="59"/>
      <c r="DL16" s="59"/>
      <c r="DM16" s="59"/>
      <c r="DN16" s="59"/>
      <c r="DO16" s="59"/>
      <c r="DP16" s="59"/>
      <c r="DQ16" s="59"/>
      <c r="DR16" s="59"/>
      <c r="DS16" s="59"/>
      <c r="DT16" s="59"/>
      <c r="DU16" s="59"/>
      <c r="DV16" s="59"/>
      <c r="DW16" s="59"/>
      <c r="DX16" s="59"/>
      <c r="DY16" s="59"/>
      <c r="DZ16" s="59"/>
      <c r="EA16" s="59"/>
      <c r="EB16" s="59"/>
      <c r="EC16" s="59"/>
      <c r="ED16" s="59"/>
      <c r="EE16" s="59"/>
      <c r="EF16" s="59"/>
      <c r="EG16" s="59"/>
      <c r="EH16" s="59"/>
      <c r="EI16" s="59"/>
      <c r="EJ16" s="59"/>
      <c r="EK16" s="59"/>
      <c r="EL16" s="59"/>
      <c r="EM16" s="59"/>
      <c r="EN16" s="59"/>
      <c r="EO16" s="59"/>
      <c r="EP16" s="59"/>
      <c r="EQ16" s="59"/>
      <c r="ER16" s="59"/>
      <c r="ES16" s="59"/>
      <c r="ET16" s="59"/>
      <c r="EU16" s="59"/>
      <c r="EV16" s="59"/>
      <c r="EW16" s="59"/>
      <c r="EX16" s="59"/>
      <c r="EY16" s="59"/>
      <c r="EZ16" s="59"/>
      <c r="FA16" s="59"/>
      <c r="FB16" s="59"/>
      <c r="FC16" s="59"/>
      <c r="FD16" s="59"/>
      <c r="FE16" s="59"/>
      <c r="FF16" s="59"/>
      <c r="FG16" s="59"/>
      <c r="FH16" s="59"/>
      <c r="FI16" s="59"/>
      <c r="FJ16" s="59"/>
      <c r="FK16" s="59"/>
      <c r="FL16" s="59"/>
      <c r="FM16" s="59"/>
      <c r="FN16" s="59"/>
      <c r="FO16" s="59"/>
      <c r="FP16" s="59"/>
      <c r="FQ16" s="59"/>
      <c r="FR16" s="59"/>
      <c r="FS16" s="59"/>
      <c r="FT16" s="59"/>
      <c r="FU16" s="59"/>
      <c r="FV16" s="59"/>
      <c r="FW16" s="59"/>
      <c r="FX16" s="59"/>
      <c r="FY16" s="59"/>
      <c r="FZ16" s="59"/>
      <c r="GA16" s="59"/>
      <c r="GB16" s="59"/>
      <c r="GC16" s="59"/>
      <c r="GD16" s="59"/>
      <c r="GE16" s="59"/>
      <c r="GF16" s="59"/>
      <c r="GG16" s="59"/>
      <c r="GH16" s="59"/>
      <c r="GI16" s="59"/>
      <c r="GJ16" s="59"/>
      <c r="GK16" s="59"/>
      <c r="GL16" s="59"/>
      <c r="GM16" s="59"/>
      <c r="GN16" s="59"/>
      <c r="GO16" s="59"/>
      <c r="GP16" s="59"/>
      <c r="GQ16" s="59"/>
      <c r="GR16" s="59"/>
      <c r="GS16" s="59"/>
      <c r="GT16" s="59"/>
      <c r="GU16" s="59"/>
      <c r="GV16" s="59"/>
      <c r="GW16" s="59"/>
      <c r="GX16" s="59"/>
      <c r="GY16" s="59"/>
      <c r="GZ16" s="59"/>
      <c r="HA16" s="59"/>
      <c r="HB16" s="59"/>
      <c r="HC16" s="59"/>
      <c r="HD16" s="59"/>
      <c r="HE16" s="59"/>
      <c r="HF16" s="59"/>
      <c r="HG16" s="59"/>
      <c r="HH16" s="59"/>
      <c r="HI16" s="59"/>
      <c r="HJ16" s="59"/>
      <c r="HK16" s="59"/>
      <c r="HL16" s="59"/>
      <c r="HM16" s="59"/>
      <c r="HN16" s="59"/>
      <c r="HO16" s="59"/>
      <c r="HP16" s="59"/>
      <c r="HQ16" s="59"/>
      <c r="HR16" s="59"/>
      <c r="HS16" s="59"/>
      <c r="HT16" s="59"/>
      <c r="HU16" s="59"/>
      <c r="HV16" s="59"/>
      <c r="HW16" s="59"/>
      <c r="HX16" s="59"/>
      <c r="HY16" s="59"/>
      <c r="HZ16" s="59"/>
      <c r="IA16" s="59"/>
      <c r="IB16" s="59"/>
      <c r="IC16" s="59"/>
      <c r="ID16" s="59"/>
      <c r="IE16" s="59"/>
      <c r="IF16" s="59"/>
      <c r="IG16" s="59"/>
      <c r="IH16" s="59"/>
      <c r="II16" s="59"/>
      <c r="IJ16" s="59"/>
      <c r="IK16" s="59"/>
      <c r="IL16" s="59"/>
      <c r="IM16" s="59"/>
      <c r="IN16" s="59"/>
      <c r="IO16" s="59"/>
      <c r="IP16" s="59"/>
      <c r="IQ16" s="59"/>
      <c r="IR16" s="59"/>
      <c r="IS16" s="59"/>
      <c r="IT16" s="59"/>
      <c r="IU16" s="59"/>
      <c r="IV16" s="59"/>
      <c r="IW16" s="59"/>
      <c r="IX16" s="59"/>
      <c r="IY16" s="59"/>
      <c r="IZ16" s="59"/>
      <c r="JA16" s="59"/>
      <c r="JB16" s="59"/>
      <c r="JC16" s="59"/>
      <c r="JD16" s="59"/>
      <c r="JE16" s="59"/>
      <c r="JF16" s="59"/>
      <c r="JG16" s="59"/>
      <c r="JH16" s="59"/>
      <c r="JI16" s="59"/>
      <c r="JJ16" s="59"/>
      <c r="JK16" s="59"/>
      <c r="JL16" s="59"/>
      <c r="JM16" s="59"/>
      <c r="JN16" s="59"/>
      <c r="JO16" s="59"/>
      <c r="JP16" s="59"/>
      <c r="JQ16" s="59"/>
      <c r="JR16" s="59"/>
      <c r="JS16" s="59"/>
      <c r="JT16" s="59"/>
      <c r="JU16" s="59"/>
      <c r="JV16" s="59"/>
      <c r="JW16" s="59"/>
      <c r="JX16" s="59"/>
      <c r="JY16" s="59"/>
      <c r="JZ16" s="59"/>
      <c r="KA16" s="59"/>
      <c r="KB16" s="59"/>
      <c r="KC16" s="59"/>
      <c r="KD16" s="59"/>
      <c r="KE16" s="59"/>
      <c r="KF16" s="59"/>
      <c r="KG16" s="59"/>
      <c r="KH16" s="59"/>
      <c r="KI16" s="59"/>
      <c r="KJ16" s="59"/>
      <c r="KK16" s="59"/>
      <c r="KL16" s="59"/>
      <c r="KM16" s="59"/>
      <c r="KN16" s="59"/>
      <c r="KO16" s="59"/>
      <c r="KP16" s="59"/>
      <c r="KQ16" s="59"/>
      <c r="KR16" s="59"/>
      <c r="KS16" s="59"/>
      <c r="KT16" s="59"/>
      <c r="KU16" s="59"/>
      <c r="KV16" s="59"/>
      <c r="KW16" s="59"/>
      <c r="KX16" s="59"/>
      <c r="KY16" s="59"/>
      <c r="KZ16" s="59"/>
      <c r="LA16" s="59"/>
      <c r="LB16" s="59"/>
      <c r="LC16" s="59"/>
      <c r="LD16" s="59"/>
      <c r="LE16" s="59"/>
      <c r="LF16" s="59"/>
      <c r="LG16" s="59"/>
      <c r="LH16" s="59"/>
      <c r="LI16" s="59"/>
      <c r="LJ16" s="59"/>
      <c r="LK16" s="59"/>
      <c r="LL16" s="59"/>
      <c r="LM16" s="59"/>
      <c r="LN16" s="59"/>
      <c r="LO16" s="59"/>
      <c r="LP16" s="59"/>
      <c r="LQ16" s="59"/>
      <c r="LR16" s="59"/>
      <c r="LS16" s="59"/>
      <c r="LT16" s="59"/>
      <c r="LU16" s="59"/>
      <c r="LV16" s="59"/>
      <c r="LW16" s="59"/>
      <c r="LX16" s="59"/>
      <c r="LY16" s="59"/>
      <c r="LZ16" s="59"/>
      <c r="MA16" s="59"/>
      <c r="MB16" s="59"/>
      <c r="MC16" s="59"/>
      <c r="MD16" s="59"/>
      <c r="ME16" s="59"/>
      <c r="MF16" s="59"/>
      <c r="MG16" s="59"/>
      <c r="MH16" s="59"/>
      <c r="MI16" s="59"/>
      <c r="MJ16" s="59"/>
      <c r="MK16" s="59"/>
      <c r="ML16" s="59"/>
      <c r="MM16" s="59"/>
      <c r="MN16" s="59"/>
      <c r="MO16" s="59"/>
      <c r="MP16" s="59"/>
      <c r="MQ16" s="59"/>
      <c r="MR16" s="59"/>
      <c r="MS16" s="59"/>
      <c r="MT16" s="59"/>
      <c r="MU16" s="59"/>
      <c r="MV16" s="59"/>
      <c r="MW16" s="59"/>
      <c r="MX16" s="59"/>
      <c r="MY16" s="59"/>
      <c r="MZ16" s="59"/>
      <c r="NA16" s="59"/>
      <c r="NB16" s="59"/>
      <c r="NC16" s="59"/>
      <c r="ND16" s="59"/>
      <c r="NE16" s="59"/>
      <c r="NF16" s="59"/>
      <c r="NG16" s="59"/>
      <c r="NH16" s="59"/>
      <c r="NI16" s="59"/>
      <c r="NJ16" s="59"/>
      <c r="NK16" s="59"/>
      <c r="NL16" s="60"/>
    </row>
    <row r="17" spans="1:376" x14ac:dyDescent="0.15">
      <c r="A17" s="23">
        <v>3</v>
      </c>
      <c r="B17" s="24" t="s">
        <v>119</v>
      </c>
      <c r="C17" s="45" t="s">
        <v>113</v>
      </c>
      <c r="D17" s="26" t="s">
        <v>114</v>
      </c>
      <c r="E17" s="27" t="s">
        <v>13</v>
      </c>
      <c r="F17" s="28">
        <v>42854</v>
      </c>
      <c r="G17" s="28">
        <v>42857</v>
      </c>
      <c r="H17" s="29">
        <f t="shared" ref="H17:H80" si="229">SUM(J17:NL17)</f>
        <v>8</v>
      </c>
      <c r="I17" s="48"/>
      <c r="J17" s="31"/>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v>4</v>
      </c>
      <c r="AK17" s="32"/>
      <c r="AL17" s="32"/>
      <c r="AM17" s="32">
        <v>4</v>
      </c>
      <c r="AN17" s="32"/>
      <c r="AO17" s="32"/>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c r="CV17" s="33"/>
      <c r="CW17" s="33"/>
      <c r="CX17" s="33"/>
      <c r="CY17" s="33"/>
      <c r="CZ17" s="33"/>
      <c r="DA17" s="33"/>
      <c r="DB17" s="33"/>
      <c r="DC17" s="33"/>
      <c r="DD17" s="33"/>
      <c r="DE17" s="33"/>
      <c r="DF17" s="33"/>
      <c r="DG17" s="33"/>
      <c r="DH17" s="33"/>
      <c r="DI17" s="33"/>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3"/>
      <c r="GJ17" s="33"/>
      <c r="GK17" s="33"/>
      <c r="GL17" s="33"/>
      <c r="GM17" s="33"/>
      <c r="GN17" s="33"/>
      <c r="GO17" s="33"/>
      <c r="GP17" s="33"/>
      <c r="GQ17" s="33"/>
      <c r="GR17" s="33"/>
      <c r="GS17" s="33"/>
      <c r="GT17" s="33"/>
      <c r="GU17" s="33"/>
      <c r="GV17" s="33"/>
      <c r="GW17" s="33"/>
      <c r="GX17" s="33"/>
      <c r="GY17" s="33"/>
      <c r="GZ17" s="33"/>
      <c r="HA17" s="33"/>
      <c r="HB17" s="33"/>
      <c r="HC17" s="33"/>
      <c r="HD17" s="33"/>
      <c r="HE17" s="33"/>
      <c r="HF17" s="33"/>
      <c r="HG17" s="33"/>
      <c r="HH17" s="33"/>
      <c r="HI17" s="33"/>
      <c r="HJ17" s="33"/>
      <c r="HK17" s="33"/>
      <c r="HL17" s="33"/>
      <c r="HM17" s="33"/>
      <c r="HN17" s="33"/>
      <c r="HO17" s="33"/>
      <c r="HP17" s="33"/>
      <c r="HQ17" s="33"/>
      <c r="HR17" s="33"/>
      <c r="HS17" s="33"/>
      <c r="HT17" s="33"/>
      <c r="HU17" s="33"/>
      <c r="HV17" s="33"/>
      <c r="HW17" s="33"/>
      <c r="HX17" s="33"/>
      <c r="HY17" s="33"/>
      <c r="HZ17" s="33"/>
      <c r="IA17" s="33"/>
      <c r="IB17" s="33"/>
      <c r="IC17" s="33"/>
      <c r="ID17" s="33"/>
      <c r="IE17" s="33"/>
      <c r="IF17" s="33"/>
      <c r="IG17" s="33"/>
      <c r="IH17" s="33"/>
      <c r="II17" s="33"/>
      <c r="IJ17" s="33"/>
      <c r="IK17" s="33"/>
      <c r="IL17" s="33"/>
      <c r="IM17" s="33"/>
      <c r="IN17" s="33"/>
      <c r="IO17" s="33"/>
      <c r="IP17" s="33"/>
      <c r="IQ17" s="33"/>
      <c r="IR17" s="33"/>
      <c r="IS17" s="33"/>
      <c r="IT17" s="33"/>
      <c r="IU17" s="33"/>
      <c r="IV17" s="33"/>
      <c r="IW17" s="33"/>
      <c r="IX17" s="33"/>
      <c r="IY17" s="33"/>
      <c r="IZ17" s="33"/>
      <c r="JA17" s="33"/>
      <c r="JB17" s="33"/>
      <c r="JC17" s="33"/>
      <c r="JD17" s="33"/>
      <c r="JE17" s="33"/>
      <c r="JF17" s="33"/>
      <c r="JG17" s="33"/>
      <c r="JH17" s="33"/>
      <c r="JI17" s="33"/>
      <c r="JJ17" s="33"/>
      <c r="JK17" s="33"/>
      <c r="JL17" s="33"/>
      <c r="JM17" s="33"/>
      <c r="JN17" s="33"/>
      <c r="JO17" s="33"/>
      <c r="JP17" s="33"/>
      <c r="JQ17" s="33"/>
      <c r="JR17" s="33"/>
      <c r="JS17" s="33"/>
      <c r="JT17" s="33"/>
      <c r="JU17" s="33"/>
      <c r="JV17" s="33"/>
      <c r="JW17" s="33"/>
      <c r="JX17" s="33"/>
      <c r="JY17" s="33"/>
      <c r="JZ17" s="33"/>
      <c r="KA17" s="33"/>
      <c r="KB17" s="33"/>
      <c r="KC17" s="33"/>
      <c r="KD17" s="33"/>
      <c r="KE17" s="33"/>
      <c r="KF17" s="33"/>
      <c r="KG17" s="33"/>
      <c r="KH17" s="33"/>
      <c r="KI17" s="33"/>
      <c r="KJ17" s="33"/>
      <c r="KK17" s="33"/>
      <c r="KL17" s="33"/>
      <c r="KM17" s="33"/>
      <c r="KN17" s="33"/>
      <c r="KO17" s="33"/>
      <c r="KP17" s="33"/>
      <c r="KQ17" s="33"/>
      <c r="KR17" s="33"/>
      <c r="KS17" s="33"/>
      <c r="KT17" s="33"/>
      <c r="KU17" s="33"/>
      <c r="KV17" s="33"/>
      <c r="KW17" s="33"/>
      <c r="KX17" s="33"/>
      <c r="KY17" s="33"/>
      <c r="KZ17" s="33"/>
      <c r="LA17" s="33"/>
      <c r="LB17" s="33"/>
      <c r="LC17" s="33"/>
      <c r="LD17" s="33"/>
      <c r="LE17" s="33"/>
      <c r="LF17" s="33"/>
      <c r="LG17" s="33"/>
      <c r="LH17" s="33"/>
      <c r="LI17" s="33"/>
      <c r="LJ17" s="33"/>
      <c r="LK17" s="33"/>
      <c r="LL17" s="33"/>
      <c r="LM17" s="33"/>
      <c r="LN17" s="33"/>
      <c r="LO17" s="33"/>
      <c r="LP17" s="33"/>
      <c r="LQ17" s="33"/>
      <c r="LR17" s="33"/>
      <c r="LS17" s="33"/>
      <c r="LT17" s="33"/>
      <c r="LU17" s="33"/>
      <c r="LV17" s="33"/>
      <c r="LW17" s="33"/>
      <c r="LX17" s="33"/>
      <c r="LY17" s="33"/>
      <c r="LZ17" s="33"/>
      <c r="MA17" s="33"/>
      <c r="MB17" s="33"/>
      <c r="MC17" s="33"/>
      <c r="MD17" s="33"/>
      <c r="ME17" s="33"/>
      <c r="MF17" s="33"/>
      <c r="MG17" s="33"/>
      <c r="MH17" s="33"/>
      <c r="MI17" s="33"/>
      <c r="MJ17" s="33"/>
      <c r="MK17" s="33"/>
      <c r="ML17" s="33"/>
      <c r="MM17" s="33"/>
      <c r="MN17" s="33"/>
      <c r="MO17" s="33"/>
      <c r="MP17" s="33"/>
      <c r="MQ17" s="33"/>
      <c r="MR17" s="33"/>
      <c r="MS17" s="33"/>
      <c r="MT17" s="33"/>
      <c r="MU17" s="33"/>
      <c r="MV17" s="33"/>
      <c r="MW17" s="33"/>
      <c r="MX17" s="33"/>
      <c r="MY17" s="33"/>
      <c r="MZ17" s="33"/>
      <c r="NA17" s="33"/>
      <c r="NB17" s="33"/>
      <c r="NC17" s="33"/>
      <c r="ND17" s="33"/>
      <c r="NE17" s="33"/>
      <c r="NF17" s="33"/>
      <c r="NG17" s="33"/>
      <c r="NH17" s="33"/>
      <c r="NI17" s="33"/>
      <c r="NJ17" s="33"/>
      <c r="NK17" s="33"/>
      <c r="NL17" s="34"/>
    </row>
    <row r="18" spans="1:376" x14ac:dyDescent="0.15">
      <c r="A18" s="35">
        <f>A17</f>
        <v>3</v>
      </c>
      <c r="B18" s="36" t="str">
        <f>B17</f>
        <v>RD</v>
      </c>
      <c r="C18" s="36" t="str">
        <f>C17</f>
        <v>要件定義書作成</v>
      </c>
      <c r="D18" s="37"/>
      <c r="E18" s="38" t="s">
        <v>0</v>
      </c>
      <c r="F18" s="39"/>
      <c r="G18" s="39"/>
      <c r="H18" s="55">
        <f t="shared" si="229"/>
        <v>0</v>
      </c>
      <c r="I18" s="56">
        <f t="shared" ref="I18" si="230">IF(OR(H17="",H18=""),"",H18-H17)</f>
        <v>-8</v>
      </c>
      <c r="J18" s="41"/>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3"/>
      <c r="EF18" s="43"/>
      <c r="EG18" s="43"/>
      <c r="EH18" s="43"/>
      <c r="EI18" s="43"/>
      <c r="EJ18" s="43"/>
      <c r="EK18" s="43"/>
      <c r="EL18" s="43"/>
      <c r="EM18" s="43"/>
      <c r="EN18" s="43"/>
      <c r="EO18" s="43"/>
      <c r="EP18" s="43"/>
      <c r="EQ18" s="43"/>
      <c r="ER18" s="43"/>
      <c r="ES18" s="43"/>
      <c r="ET18" s="43"/>
      <c r="EU18" s="43"/>
      <c r="EV18" s="43"/>
      <c r="EW18" s="43"/>
      <c r="EX18" s="43"/>
      <c r="EY18" s="43"/>
      <c r="EZ18" s="43"/>
      <c r="FA18" s="43"/>
      <c r="FB18" s="43"/>
      <c r="FC18" s="43"/>
      <c r="FD18" s="43"/>
      <c r="FE18" s="43"/>
      <c r="FF18" s="43"/>
      <c r="FG18" s="43"/>
      <c r="FH18" s="43"/>
      <c r="FI18" s="43"/>
      <c r="FJ18" s="43"/>
      <c r="FK18" s="43"/>
      <c r="FL18" s="43"/>
      <c r="FM18" s="43"/>
      <c r="FN18" s="43"/>
      <c r="FO18" s="43"/>
      <c r="FP18" s="43"/>
      <c r="FQ18" s="43"/>
      <c r="FR18" s="43"/>
      <c r="FS18" s="43"/>
      <c r="FT18" s="43"/>
      <c r="FU18" s="43"/>
      <c r="FV18" s="43"/>
      <c r="FW18" s="43"/>
      <c r="FX18" s="43"/>
      <c r="FY18" s="43"/>
      <c r="FZ18" s="43"/>
      <c r="GA18" s="43"/>
      <c r="GB18" s="43"/>
      <c r="GC18" s="43"/>
      <c r="GD18" s="43"/>
      <c r="GE18" s="43"/>
      <c r="GF18" s="43"/>
      <c r="GG18" s="43"/>
      <c r="GH18" s="43"/>
      <c r="GI18" s="43"/>
      <c r="GJ18" s="43"/>
      <c r="GK18" s="43"/>
      <c r="GL18" s="43"/>
      <c r="GM18" s="43"/>
      <c r="GN18" s="43"/>
      <c r="GO18" s="43"/>
      <c r="GP18" s="43"/>
      <c r="GQ18" s="43"/>
      <c r="GR18" s="43"/>
      <c r="GS18" s="43"/>
      <c r="GT18" s="43"/>
      <c r="GU18" s="43"/>
      <c r="GV18" s="43"/>
      <c r="GW18" s="43"/>
      <c r="GX18" s="43"/>
      <c r="GY18" s="43"/>
      <c r="GZ18" s="43"/>
      <c r="HA18" s="43"/>
      <c r="HB18" s="43"/>
      <c r="HC18" s="43"/>
      <c r="HD18" s="43"/>
      <c r="HE18" s="43"/>
      <c r="HF18" s="43"/>
      <c r="HG18" s="43"/>
      <c r="HH18" s="43"/>
      <c r="HI18" s="43"/>
      <c r="HJ18" s="43"/>
      <c r="HK18" s="43"/>
      <c r="HL18" s="43"/>
      <c r="HM18" s="43"/>
      <c r="HN18" s="43"/>
      <c r="HO18" s="43"/>
      <c r="HP18" s="43"/>
      <c r="HQ18" s="43"/>
      <c r="HR18" s="43"/>
      <c r="HS18" s="43"/>
      <c r="HT18" s="43"/>
      <c r="HU18" s="43"/>
      <c r="HV18" s="43"/>
      <c r="HW18" s="43"/>
      <c r="HX18" s="43"/>
      <c r="HY18" s="43"/>
      <c r="HZ18" s="43"/>
      <c r="IA18" s="43"/>
      <c r="IB18" s="43"/>
      <c r="IC18" s="43"/>
      <c r="ID18" s="43"/>
      <c r="IE18" s="43"/>
      <c r="IF18" s="43"/>
      <c r="IG18" s="43"/>
      <c r="IH18" s="43"/>
      <c r="II18" s="43"/>
      <c r="IJ18" s="43"/>
      <c r="IK18" s="43"/>
      <c r="IL18" s="43"/>
      <c r="IM18" s="43"/>
      <c r="IN18" s="43"/>
      <c r="IO18" s="43"/>
      <c r="IP18" s="43"/>
      <c r="IQ18" s="43"/>
      <c r="IR18" s="43"/>
      <c r="IS18" s="43"/>
      <c r="IT18" s="43"/>
      <c r="IU18" s="43"/>
      <c r="IV18" s="43"/>
      <c r="IW18" s="43"/>
      <c r="IX18" s="43"/>
      <c r="IY18" s="43"/>
      <c r="IZ18" s="43"/>
      <c r="JA18" s="43"/>
      <c r="JB18" s="43"/>
      <c r="JC18" s="43"/>
      <c r="JD18" s="43"/>
      <c r="JE18" s="43"/>
      <c r="JF18" s="43"/>
      <c r="JG18" s="43"/>
      <c r="JH18" s="43"/>
      <c r="JI18" s="43"/>
      <c r="JJ18" s="43"/>
      <c r="JK18" s="43"/>
      <c r="JL18" s="43"/>
      <c r="JM18" s="43"/>
      <c r="JN18" s="43"/>
      <c r="JO18" s="43"/>
      <c r="JP18" s="43"/>
      <c r="JQ18" s="43"/>
      <c r="JR18" s="43"/>
      <c r="JS18" s="43"/>
      <c r="JT18" s="43"/>
      <c r="JU18" s="43"/>
      <c r="JV18" s="43"/>
      <c r="JW18" s="43"/>
      <c r="JX18" s="43"/>
      <c r="JY18" s="43"/>
      <c r="JZ18" s="43"/>
      <c r="KA18" s="43"/>
      <c r="KB18" s="43"/>
      <c r="KC18" s="43"/>
      <c r="KD18" s="43"/>
      <c r="KE18" s="43"/>
      <c r="KF18" s="43"/>
      <c r="KG18" s="43"/>
      <c r="KH18" s="43"/>
      <c r="KI18" s="43"/>
      <c r="KJ18" s="43"/>
      <c r="KK18" s="43"/>
      <c r="KL18" s="43"/>
      <c r="KM18" s="43"/>
      <c r="KN18" s="43"/>
      <c r="KO18" s="43"/>
      <c r="KP18" s="43"/>
      <c r="KQ18" s="43"/>
      <c r="KR18" s="43"/>
      <c r="KS18" s="43"/>
      <c r="KT18" s="43"/>
      <c r="KU18" s="43"/>
      <c r="KV18" s="43"/>
      <c r="KW18" s="43"/>
      <c r="KX18" s="43"/>
      <c r="KY18" s="43"/>
      <c r="KZ18" s="43"/>
      <c r="LA18" s="43"/>
      <c r="LB18" s="43"/>
      <c r="LC18" s="43"/>
      <c r="LD18" s="43"/>
      <c r="LE18" s="43"/>
      <c r="LF18" s="43"/>
      <c r="LG18" s="43"/>
      <c r="LH18" s="43"/>
      <c r="LI18" s="43"/>
      <c r="LJ18" s="43"/>
      <c r="LK18" s="43"/>
      <c r="LL18" s="43"/>
      <c r="LM18" s="43"/>
      <c r="LN18" s="43"/>
      <c r="LO18" s="43"/>
      <c r="LP18" s="43"/>
      <c r="LQ18" s="43"/>
      <c r="LR18" s="43"/>
      <c r="LS18" s="43"/>
      <c r="LT18" s="43"/>
      <c r="LU18" s="43"/>
      <c r="LV18" s="43"/>
      <c r="LW18" s="43"/>
      <c r="LX18" s="43"/>
      <c r="LY18" s="43"/>
      <c r="LZ18" s="43"/>
      <c r="MA18" s="43"/>
      <c r="MB18" s="43"/>
      <c r="MC18" s="43"/>
      <c r="MD18" s="43"/>
      <c r="ME18" s="43"/>
      <c r="MF18" s="43"/>
      <c r="MG18" s="43"/>
      <c r="MH18" s="43"/>
      <c r="MI18" s="43"/>
      <c r="MJ18" s="43"/>
      <c r="MK18" s="43"/>
      <c r="ML18" s="43"/>
      <c r="MM18" s="43"/>
      <c r="MN18" s="43"/>
      <c r="MO18" s="43"/>
      <c r="MP18" s="43"/>
      <c r="MQ18" s="43"/>
      <c r="MR18" s="43"/>
      <c r="MS18" s="43"/>
      <c r="MT18" s="43"/>
      <c r="MU18" s="43"/>
      <c r="MV18" s="43"/>
      <c r="MW18" s="43"/>
      <c r="MX18" s="43"/>
      <c r="MY18" s="43"/>
      <c r="MZ18" s="43"/>
      <c r="NA18" s="43"/>
      <c r="NB18" s="43"/>
      <c r="NC18" s="43"/>
      <c r="ND18" s="43"/>
      <c r="NE18" s="43"/>
      <c r="NF18" s="43"/>
      <c r="NG18" s="43"/>
      <c r="NH18" s="43"/>
      <c r="NI18" s="43"/>
      <c r="NJ18" s="43"/>
      <c r="NK18" s="43"/>
      <c r="NL18" s="44"/>
    </row>
    <row r="19" spans="1:376" x14ac:dyDescent="0.15">
      <c r="A19" s="23">
        <v>4</v>
      </c>
      <c r="B19" s="24" t="s">
        <v>119</v>
      </c>
      <c r="C19" s="45" t="s">
        <v>113</v>
      </c>
      <c r="D19" s="26" t="s">
        <v>115</v>
      </c>
      <c r="E19" s="46" t="s">
        <v>13</v>
      </c>
      <c r="F19" s="47">
        <v>42854</v>
      </c>
      <c r="G19" s="47">
        <v>42857</v>
      </c>
      <c r="H19" s="29">
        <f t="shared" si="229"/>
        <v>8</v>
      </c>
      <c r="I19" s="48"/>
      <c r="J19" s="49"/>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v>4</v>
      </c>
      <c r="AK19" s="50"/>
      <c r="AL19" s="50"/>
      <c r="AM19" s="50">
        <v>4</v>
      </c>
      <c r="AN19" s="50"/>
      <c r="AO19" s="50"/>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1"/>
      <c r="CA19" s="51"/>
      <c r="CB19" s="51"/>
      <c r="CC19" s="51"/>
      <c r="CD19" s="51"/>
      <c r="CE19" s="51"/>
      <c r="CF19" s="51"/>
      <c r="CG19" s="51"/>
      <c r="CH19" s="51"/>
      <c r="CI19" s="51"/>
      <c r="CJ19" s="51"/>
      <c r="CK19" s="51"/>
      <c r="CL19" s="51"/>
      <c r="CM19" s="51"/>
      <c r="CN19" s="51"/>
      <c r="CO19" s="51"/>
      <c r="CP19" s="51"/>
      <c r="CQ19" s="51"/>
      <c r="CR19" s="51"/>
      <c r="CS19" s="51"/>
      <c r="CT19" s="51"/>
      <c r="CU19" s="51"/>
      <c r="CV19" s="51"/>
      <c r="CW19" s="51"/>
      <c r="CX19" s="51"/>
      <c r="CY19" s="51"/>
      <c r="CZ19" s="51"/>
      <c r="DA19" s="51"/>
      <c r="DB19" s="51"/>
      <c r="DC19" s="51"/>
      <c r="DD19" s="51"/>
      <c r="DE19" s="51"/>
      <c r="DF19" s="51"/>
      <c r="DG19" s="51"/>
      <c r="DH19" s="51"/>
      <c r="DI19" s="51"/>
      <c r="DJ19" s="51"/>
      <c r="DK19" s="51"/>
      <c r="DL19" s="51"/>
      <c r="DM19" s="51"/>
      <c r="DN19" s="51"/>
      <c r="DO19" s="51"/>
      <c r="DP19" s="51"/>
      <c r="DQ19" s="51"/>
      <c r="DR19" s="51"/>
      <c r="DS19" s="51"/>
      <c r="DT19" s="51"/>
      <c r="DU19" s="51"/>
      <c r="DV19" s="51"/>
      <c r="DW19" s="51"/>
      <c r="DX19" s="51"/>
      <c r="DY19" s="51"/>
      <c r="DZ19" s="51"/>
      <c r="EA19" s="51"/>
      <c r="EB19" s="51"/>
      <c r="EC19" s="51"/>
      <c r="ED19" s="51"/>
      <c r="EE19" s="51"/>
      <c r="EF19" s="51"/>
      <c r="EG19" s="51"/>
      <c r="EH19" s="51"/>
      <c r="EI19" s="51"/>
      <c r="EJ19" s="51"/>
      <c r="EK19" s="51"/>
      <c r="EL19" s="51"/>
      <c r="EM19" s="51"/>
      <c r="EN19" s="51"/>
      <c r="EO19" s="51"/>
      <c r="EP19" s="51"/>
      <c r="EQ19" s="51"/>
      <c r="ER19" s="51"/>
      <c r="ES19" s="51"/>
      <c r="ET19" s="51"/>
      <c r="EU19" s="51"/>
      <c r="EV19" s="51"/>
      <c r="EW19" s="51"/>
      <c r="EX19" s="51"/>
      <c r="EY19" s="51"/>
      <c r="EZ19" s="51"/>
      <c r="FA19" s="51"/>
      <c r="FB19" s="51"/>
      <c r="FC19" s="51"/>
      <c r="FD19" s="51"/>
      <c r="FE19" s="51"/>
      <c r="FF19" s="51"/>
      <c r="FG19" s="51"/>
      <c r="FH19" s="51"/>
      <c r="FI19" s="51"/>
      <c r="FJ19" s="51"/>
      <c r="FK19" s="51"/>
      <c r="FL19" s="51"/>
      <c r="FM19" s="51"/>
      <c r="FN19" s="51"/>
      <c r="FO19" s="51"/>
      <c r="FP19" s="51"/>
      <c r="FQ19" s="51"/>
      <c r="FR19" s="51"/>
      <c r="FS19" s="51"/>
      <c r="FT19" s="51"/>
      <c r="FU19" s="51"/>
      <c r="FV19" s="51"/>
      <c r="FW19" s="51"/>
      <c r="FX19" s="51"/>
      <c r="FY19" s="51"/>
      <c r="FZ19" s="51"/>
      <c r="GA19" s="51"/>
      <c r="GB19" s="51"/>
      <c r="GC19" s="51"/>
      <c r="GD19" s="51"/>
      <c r="GE19" s="51"/>
      <c r="GF19" s="51"/>
      <c r="GG19" s="51"/>
      <c r="GH19" s="51"/>
      <c r="GI19" s="51"/>
      <c r="GJ19" s="51"/>
      <c r="GK19" s="51"/>
      <c r="GL19" s="51"/>
      <c r="GM19" s="51"/>
      <c r="GN19" s="51"/>
      <c r="GO19" s="51"/>
      <c r="GP19" s="51"/>
      <c r="GQ19" s="51"/>
      <c r="GR19" s="51"/>
      <c r="GS19" s="51"/>
      <c r="GT19" s="51"/>
      <c r="GU19" s="51"/>
      <c r="GV19" s="51"/>
      <c r="GW19" s="51"/>
      <c r="GX19" s="51"/>
      <c r="GY19" s="51"/>
      <c r="GZ19" s="51"/>
      <c r="HA19" s="51"/>
      <c r="HB19" s="51"/>
      <c r="HC19" s="51"/>
      <c r="HD19" s="51"/>
      <c r="HE19" s="51"/>
      <c r="HF19" s="51"/>
      <c r="HG19" s="51"/>
      <c r="HH19" s="51"/>
      <c r="HI19" s="51"/>
      <c r="HJ19" s="51"/>
      <c r="HK19" s="51"/>
      <c r="HL19" s="51"/>
      <c r="HM19" s="51"/>
      <c r="HN19" s="51"/>
      <c r="HO19" s="51"/>
      <c r="HP19" s="51"/>
      <c r="HQ19" s="51"/>
      <c r="HR19" s="51"/>
      <c r="HS19" s="51"/>
      <c r="HT19" s="51"/>
      <c r="HU19" s="51"/>
      <c r="HV19" s="51"/>
      <c r="HW19" s="51"/>
      <c r="HX19" s="51"/>
      <c r="HY19" s="51"/>
      <c r="HZ19" s="51"/>
      <c r="IA19" s="51"/>
      <c r="IB19" s="51"/>
      <c r="IC19" s="51"/>
      <c r="ID19" s="51"/>
      <c r="IE19" s="51"/>
      <c r="IF19" s="51"/>
      <c r="IG19" s="51"/>
      <c r="IH19" s="51"/>
      <c r="II19" s="51"/>
      <c r="IJ19" s="51"/>
      <c r="IK19" s="51"/>
      <c r="IL19" s="51"/>
      <c r="IM19" s="51"/>
      <c r="IN19" s="51"/>
      <c r="IO19" s="51"/>
      <c r="IP19" s="51"/>
      <c r="IQ19" s="51"/>
      <c r="IR19" s="51"/>
      <c r="IS19" s="51"/>
      <c r="IT19" s="51"/>
      <c r="IU19" s="51"/>
      <c r="IV19" s="51"/>
      <c r="IW19" s="51"/>
      <c r="IX19" s="51"/>
      <c r="IY19" s="51"/>
      <c r="IZ19" s="51"/>
      <c r="JA19" s="51"/>
      <c r="JB19" s="51"/>
      <c r="JC19" s="51"/>
      <c r="JD19" s="51"/>
      <c r="JE19" s="51"/>
      <c r="JF19" s="51"/>
      <c r="JG19" s="51"/>
      <c r="JH19" s="51"/>
      <c r="JI19" s="51"/>
      <c r="JJ19" s="51"/>
      <c r="JK19" s="51"/>
      <c r="JL19" s="51"/>
      <c r="JM19" s="51"/>
      <c r="JN19" s="51"/>
      <c r="JO19" s="51"/>
      <c r="JP19" s="51"/>
      <c r="JQ19" s="51"/>
      <c r="JR19" s="51"/>
      <c r="JS19" s="51"/>
      <c r="JT19" s="51"/>
      <c r="JU19" s="51"/>
      <c r="JV19" s="51"/>
      <c r="JW19" s="51"/>
      <c r="JX19" s="51"/>
      <c r="JY19" s="51"/>
      <c r="JZ19" s="51"/>
      <c r="KA19" s="51"/>
      <c r="KB19" s="51"/>
      <c r="KC19" s="51"/>
      <c r="KD19" s="51"/>
      <c r="KE19" s="51"/>
      <c r="KF19" s="51"/>
      <c r="KG19" s="51"/>
      <c r="KH19" s="51"/>
      <c r="KI19" s="51"/>
      <c r="KJ19" s="51"/>
      <c r="KK19" s="51"/>
      <c r="KL19" s="51"/>
      <c r="KM19" s="51"/>
      <c r="KN19" s="51"/>
      <c r="KO19" s="51"/>
      <c r="KP19" s="51"/>
      <c r="KQ19" s="51"/>
      <c r="KR19" s="51"/>
      <c r="KS19" s="51"/>
      <c r="KT19" s="51"/>
      <c r="KU19" s="51"/>
      <c r="KV19" s="51"/>
      <c r="KW19" s="51"/>
      <c r="KX19" s="51"/>
      <c r="KY19" s="51"/>
      <c r="KZ19" s="51"/>
      <c r="LA19" s="51"/>
      <c r="LB19" s="51"/>
      <c r="LC19" s="51"/>
      <c r="LD19" s="51"/>
      <c r="LE19" s="51"/>
      <c r="LF19" s="51"/>
      <c r="LG19" s="51"/>
      <c r="LH19" s="51"/>
      <c r="LI19" s="51"/>
      <c r="LJ19" s="51"/>
      <c r="LK19" s="51"/>
      <c r="LL19" s="51"/>
      <c r="LM19" s="51"/>
      <c r="LN19" s="51"/>
      <c r="LO19" s="51"/>
      <c r="LP19" s="51"/>
      <c r="LQ19" s="51"/>
      <c r="LR19" s="51"/>
      <c r="LS19" s="51"/>
      <c r="LT19" s="51"/>
      <c r="LU19" s="51"/>
      <c r="LV19" s="51"/>
      <c r="LW19" s="51"/>
      <c r="LX19" s="51"/>
      <c r="LY19" s="51"/>
      <c r="LZ19" s="51"/>
      <c r="MA19" s="51"/>
      <c r="MB19" s="51"/>
      <c r="MC19" s="51"/>
      <c r="MD19" s="51"/>
      <c r="ME19" s="51"/>
      <c r="MF19" s="51"/>
      <c r="MG19" s="51"/>
      <c r="MH19" s="51"/>
      <c r="MI19" s="51"/>
      <c r="MJ19" s="51"/>
      <c r="MK19" s="51"/>
      <c r="ML19" s="51"/>
      <c r="MM19" s="51"/>
      <c r="MN19" s="51"/>
      <c r="MO19" s="51"/>
      <c r="MP19" s="51"/>
      <c r="MQ19" s="51"/>
      <c r="MR19" s="51"/>
      <c r="MS19" s="51"/>
      <c r="MT19" s="51"/>
      <c r="MU19" s="51"/>
      <c r="MV19" s="51"/>
      <c r="MW19" s="51"/>
      <c r="MX19" s="51"/>
      <c r="MY19" s="51"/>
      <c r="MZ19" s="51"/>
      <c r="NA19" s="51"/>
      <c r="NB19" s="51"/>
      <c r="NC19" s="51"/>
      <c r="ND19" s="51"/>
      <c r="NE19" s="51"/>
      <c r="NF19" s="51"/>
      <c r="NG19" s="51"/>
      <c r="NH19" s="51"/>
      <c r="NI19" s="51"/>
      <c r="NJ19" s="51"/>
      <c r="NK19" s="51"/>
      <c r="NL19" s="52"/>
    </row>
    <row r="20" spans="1:376" x14ac:dyDescent="0.15">
      <c r="A20" s="35">
        <f>A19</f>
        <v>4</v>
      </c>
      <c r="B20" s="36" t="str">
        <f>B19</f>
        <v>RD</v>
      </c>
      <c r="C20" s="36" t="str">
        <f>C19</f>
        <v>要件定義書作成</v>
      </c>
      <c r="D20" s="37"/>
      <c r="E20" s="53" t="s">
        <v>0</v>
      </c>
      <c r="F20" s="54"/>
      <c r="G20" s="54"/>
      <c r="H20" s="55">
        <f t="shared" si="229"/>
        <v>0</v>
      </c>
      <c r="I20" s="56">
        <f t="shared" ref="I20" si="231">IF(OR(H19="",H20=""),"",H20-H19)</f>
        <v>-8</v>
      </c>
      <c r="J20" s="57"/>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59"/>
      <c r="BT20" s="59"/>
      <c r="BU20" s="59"/>
      <c r="BV20" s="59"/>
      <c r="BW20" s="59"/>
      <c r="BX20" s="59"/>
      <c r="BY20" s="59"/>
      <c r="BZ20" s="59"/>
      <c r="CA20" s="59"/>
      <c r="CB20" s="59"/>
      <c r="CC20" s="59"/>
      <c r="CD20" s="59"/>
      <c r="CE20" s="59"/>
      <c r="CF20" s="59"/>
      <c r="CG20" s="59"/>
      <c r="CH20" s="59"/>
      <c r="CI20" s="59"/>
      <c r="CJ20" s="59"/>
      <c r="CK20" s="59"/>
      <c r="CL20" s="59"/>
      <c r="CM20" s="59"/>
      <c r="CN20" s="59"/>
      <c r="CO20" s="59"/>
      <c r="CP20" s="59"/>
      <c r="CQ20" s="59"/>
      <c r="CR20" s="59"/>
      <c r="CS20" s="59"/>
      <c r="CT20" s="59"/>
      <c r="CU20" s="59"/>
      <c r="CV20" s="59"/>
      <c r="CW20" s="59"/>
      <c r="CX20" s="59"/>
      <c r="CY20" s="59"/>
      <c r="CZ20" s="59"/>
      <c r="DA20" s="59"/>
      <c r="DB20" s="59"/>
      <c r="DC20" s="59"/>
      <c r="DD20" s="59"/>
      <c r="DE20" s="59"/>
      <c r="DF20" s="59"/>
      <c r="DG20" s="59"/>
      <c r="DH20" s="59"/>
      <c r="DI20" s="59"/>
      <c r="DJ20" s="59"/>
      <c r="DK20" s="59"/>
      <c r="DL20" s="59"/>
      <c r="DM20" s="59"/>
      <c r="DN20" s="59"/>
      <c r="DO20" s="59"/>
      <c r="DP20" s="59"/>
      <c r="DQ20" s="59"/>
      <c r="DR20" s="59"/>
      <c r="DS20" s="59"/>
      <c r="DT20" s="59"/>
      <c r="DU20" s="59"/>
      <c r="DV20" s="59"/>
      <c r="DW20" s="59"/>
      <c r="DX20" s="59"/>
      <c r="DY20" s="59"/>
      <c r="DZ20" s="59"/>
      <c r="EA20" s="59"/>
      <c r="EB20" s="59"/>
      <c r="EC20" s="59"/>
      <c r="ED20" s="59"/>
      <c r="EE20" s="59"/>
      <c r="EF20" s="59"/>
      <c r="EG20" s="59"/>
      <c r="EH20" s="59"/>
      <c r="EI20" s="59"/>
      <c r="EJ20" s="59"/>
      <c r="EK20" s="59"/>
      <c r="EL20" s="59"/>
      <c r="EM20" s="59"/>
      <c r="EN20" s="59"/>
      <c r="EO20" s="59"/>
      <c r="EP20" s="59"/>
      <c r="EQ20" s="59"/>
      <c r="ER20" s="59"/>
      <c r="ES20" s="59"/>
      <c r="ET20" s="59"/>
      <c r="EU20" s="59"/>
      <c r="EV20" s="59"/>
      <c r="EW20" s="59"/>
      <c r="EX20" s="59"/>
      <c r="EY20" s="59"/>
      <c r="EZ20" s="59"/>
      <c r="FA20" s="59"/>
      <c r="FB20" s="59"/>
      <c r="FC20" s="59"/>
      <c r="FD20" s="59"/>
      <c r="FE20" s="59"/>
      <c r="FF20" s="59"/>
      <c r="FG20" s="59"/>
      <c r="FH20" s="59"/>
      <c r="FI20" s="59"/>
      <c r="FJ20" s="59"/>
      <c r="FK20" s="59"/>
      <c r="FL20" s="59"/>
      <c r="FM20" s="59"/>
      <c r="FN20" s="59"/>
      <c r="FO20" s="59"/>
      <c r="FP20" s="59"/>
      <c r="FQ20" s="59"/>
      <c r="FR20" s="59"/>
      <c r="FS20" s="59"/>
      <c r="FT20" s="59"/>
      <c r="FU20" s="59"/>
      <c r="FV20" s="59"/>
      <c r="FW20" s="59"/>
      <c r="FX20" s="59"/>
      <c r="FY20" s="59"/>
      <c r="FZ20" s="59"/>
      <c r="GA20" s="59"/>
      <c r="GB20" s="59"/>
      <c r="GC20" s="59"/>
      <c r="GD20" s="59"/>
      <c r="GE20" s="59"/>
      <c r="GF20" s="59"/>
      <c r="GG20" s="59"/>
      <c r="GH20" s="59"/>
      <c r="GI20" s="59"/>
      <c r="GJ20" s="59"/>
      <c r="GK20" s="59"/>
      <c r="GL20" s="59"/>
      <c r="GM20" s="59"/>
      <c r="GN20" s="59"/>
      <c r="GO20" s="59"/>
      <c r="GP20" s="59"/>
      <c r="GQ20" s="59"/>
      <c r="GR20" s="59"/>
      <c r="GS20" s="59"/>
      <c r="GT20" s="59"/>
      <c r="GU20" s="59"/>
      <c r="GV20" s="59"/>
      <c r="GW20" s="59"/>
      <c r="GX20" s="59"/>
      <c r="GY20" s="59"/>
      <c r="GZ20" s="59"/>
      <c r="HA20" s="59"/>
      <c r="HB20" s="59"/>
      <c r="HC20" s="59"/>
      <c r="HD20" s="59"/>
      <c r="HE20" s="59"/>
      <c r="HF20" s="59"/>
      <c r="HG20" s="59"/>
      <c r="HH20" s="59"/>
      <c r="HI20" s="59"/>
      <c r="HJ20" s="59"/>
      <c r="HK20" s="59"/>
      <c r="HL20" s="59"/>
      <c r="HM20" s="59"/>
      <c r="HN20" s="59"/>
      <c r="HO20" s="59"/>
      <c r="HP20" s="59"/>
      <c r="HQ20" s="59"/>
      <c r="HR20" s="59"/>
      <c r="HS20" s="59"/>
      <c r="HT20" s="59"/>
      <c r="HU20" s="59"/>
      <c r="HV20" s="59"/>
      <c r="HW20" s="59"/>
      <c r="HX20" s="59"/>
      <c r="HY20" s="59"/>
      <c r="HZ20" s="59"/>
      <c r="IA20" s="59"/>
      <c r="IB20" s="59"/>
      <c r="IC20" s="59"/>
      <c r="ID20" s="59"/>
      <c r="IE20" s="59"/>
      <c r="IF20" s="59"/>
      <c r="IG20" s="59"/>
      <c r="IH20" s="59"/>
      <c r="II20" s="59"/>
      <c r="IJ20" s="59"/>
      <c r="IK20" s="59"/>
      <c r="IL20" s="59"/>
      <c r="IM20" s="59"/>
      <c r="IN20" s="59"/>
      <c r="IO20" s="59"/>
      <c r="IP20" s="59"/>
      <c r="IQ20" s="59"/>
      <c r="IR20" s="59"/>
      <c r="IS20" s="59"/>
      <c r="IT20" s="59"/>
      <c r="IU20" s="59"/>
      <c r="IV20" s="59"/>
      <c r="IW20" s="59"/>
      <c r="IX20" s="59"/>
      <c r="IY20" s="59"/>
      <c r="IZ20" s="59"/>
      <c r="JA20" s="59"/>
      <c r="JB20" s="59"/>
      <c r="JC20" s="59"/>
      <c r="JD20" s="59"/>
      <c r="JE20" s="59"/>
      <c r="JF20" s="59"/>
      <c r="JG20" s="59"/>
      <c r="JH20" s="59"/>
      <c r="JI20" s="59"/>
      <c r="JJ20" s="59"/>
      <c r="JK20" s="59"/>
      <c r="JL20" s="59"/>
      <c r="JM20" s="59"/>
      <c r="JN20" s="59"/>
      <c r="JO20" s="59"/>
      <c r="JP20" s="59"/>
      <c r="JQ20" s="59"/>
      <c r="JR20" s="59"/>
      <c r="JS20" s="59"/>
      <c r="JT20" s="59"/>
      <c r="JU20" s="59"/>
      <c r="JV20" s="59"/>
      <c r="JW20" s="59"/>
      <c r="JX20" s="59"/>
      <c r="JY20" s="59"/>
      <c r="JZ20" s="59"/>
      <c r="KA20" s="59"/>
      <c r="KB20" s="59"/>
      <c r="KC20" s="59"/>
      <c r="KD20" s="59"/>
      <c r="KE20" s="59"/>
      <c r="KF20" s="59"/>
      <c r="KG20" s="59"/>
      <c r="KH20" s="59"/>
      <c r="KI20" s="59"/>
      <c r="KJ20" s="59"/>
      <c r="KK20" s="59"/>
      <c r="KL20" s="59"/>
      <c r="KM20" s="59"/>
      <c r="KN20" s="59"/>
      <c r="KO20" s="59"/>
      <c r="KP20" s="59"/>
      <c r="KQ20" s="59"/>
      <c r="KR20" s="59"/>
      <c r="KS20" s="59"/>
      <c r="KT20" s="59"/>
      <c r="KU20" s="59"/>
      <c r="KV20" s="59"/>
      <c r="KW20" s="59"/>
      <c r="KX20" s="59"/>
      <c r="KY20" s="59"/>
      <c r="KZ20" s="59"/>
      <c r="LA20" s="59"/>
      <c r="LB20" s="59"/>
      <c r="LC20" s="59"/>
      <c r="LD20" s="59"/>
      <c r="LE20" s="59"/>
      <c r="LF20" s="59"/>
      <c r="LG20" s="59"/>
      <c r="LH20" s="59"/>
      <c r="LI20" s="59"/>
      <c r="LJ20" s="59"/>
      <c r="LK20" s="59"/>
      <c r="LL20" s="59"/>
      <c r="LM20" s="59"/>
      <c r="LN20" s="59"/>
      <c r="LO20" s="59"/>
      <c r="LP20" s="59"/>
      <c r="LQ20" s="59"/>
      <c r="LR20" s="59"/>
      <c r="LS20" s="59"/>
      <c r="LT20" s="59"/>
      <c r="LU20" s="59"/>
      <c r="LV20" s="59"/>
      <c r="LW20" s="59"/>
      <c r="LX20" s="59"/>
      <c r="LY20" s="59"/>
      <c r="LZ20" s="59"/>
      <c r="MA20" s="59"/>
      <c r="MB20" s="59"/>
      <c r="MC20" s="59"/>
      <c r="MD20" s="59"/>
      <c r="ME20" s="59"/>
      <c r="MF20" s="59"/>
      <c r="MG20" s="59"/>
      <c r="MH20" s="59"/>
      <c r="MI20" s="59"/>
      <c r="MJ20" s="59"/>
      <c r="MK20" s="59"/>
      <c r="ML20" s="59"/>
      <c r="MM20" s="59"/>
      <c r="MN20" s="59"/>
      <c r="MO20" s="59"/>
      <c r="MP20" s="59"/>
      <c r="MQ20" s="59"/>
      <c r="MR20" s="59"/>
      <c r="MS20" s="59"/>
      <c r="MT20" s="59"/>
      <c r="MU20" s="59"/>
      <c r="MV20" s="59"/>
      <c r="MW20" s="59"/>
      <c r="MX20" s="59"/>
      <c r="MY20" s="59"/>
      <c r="MZ20" s="59"/>
      <c r="NA20" s="59"/>
      <c r="NB20" s="59"/>
      <c r="NC20" s="59"/>
      <c r="ND20" s="59"/>
      <c r="NE20" s="59"/>
      <c r="NF20" s="59"/>
      <c r="NG20" s="59"/>
      <c r="NH20" s="59"/>
      <c r="NI20" s="59"/>
      <c r="NJ20" s="59"/>
      <c r="NK20" s="59"/>
      <c r="NL20" s="60"/>
    </row>
    <row r="21" spans="1:376" x14ac:dyDescent="0.15">
      <c r="A21" s="23">
        <v>5</v>
      </c>
      <c r="B21" s="24" t="s">
        <v>120</v>
      </c>
      <c r="C21" s="45" t="s">
        <v>121</v>
      </c>
      <c r="D21" s="26" t="s">
        <v>114</v>
      </c>
      <c r="E21" s="46" t="s">
        <v>13</v>
      </c>
      <c r="F21" s="47">
        <v>42858</v>
      </c>
      <c r="G21" s="47">
        <v>42875</v>
      </c>
      <c r="H21" s="29">
        <f t="shared" si="229"/>
        <v>12</v>
      </c>
      <c r="I21" s="48"/>
      <c r="J21" s="49"/>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1"/>
      <c r="AQ21" s="51">
        <v>4</v>
      </c>
      <c r="AR21" s="51"/>
      <c r="AS21" s="51"/>
      <c r="AT21" s="51"/>
      <c r="AU21" s="51"/>
      <c r="AV21" s="51"/>
      <c r="AW21" s="51"/>
      <c r="AX21" s="51">
        <v>4</v>
      </c>
      <c r="AY21" s="51"/>
      <c r="AZ21" s="51"/>
      <c r="BA21" s="51"/>
      <c r="BB21" s="51"/>
      <c r="BC21" s="51"/>
      <c r="BD21" s="51"/>
      <c r="BE21" s="51">
        <v>4</v>
      </c>
      <c r="BF21" s="51"/>
      <c r="BG21" s="51"/>
      <c r="BH21" s="51"/>
      <c r="BI21" s="51"/>
      <c r="BJ21" s="51"/>
      <c r="BK21" s="51"/>
      <c r="BL21" s="51"/>
      <c r="BM21" s="51"/>
      <c r="BN21" s="51"/>
      <c r="BO21" s="51"/>
      <c r="BP21" s="51"/>
      <c r="BQ21" s="51"/>
      <c r="BR21" s="51"/>
      <c r="BS21" s="51"/>
      <c r="BT21" s="51"/>
      <c r="BU21" s="51"/>
      <c r="BV21" s="51"/>
      <c r="BW21" s="51"/>
      <c r="BX21" s="51"/>
      <c r="BY21" s="51"/>
      <c r="BZ21" s="51"/>
      <c r="CA21" s="51"/>
      <c r="CB21" s="51"/>
      <c r="CC21" s="51"/>
      <c r="CD21" s="51"/>
      <c r="CE21" s="51"/>
      <c r="CF21" s="51"/>
      <c r="CG21" s="51"/>
      <c r="CH21" s="51"/>
      <c r="CI21" s="51"/>
      <c r="CJ21" s="51"/>
      <c r="CK21" s="51"/>
      <c r="CL21" s="51"/>
      <c r="CM21" s="51"/>
      <c r="CN21" s="51"/>
      <c r="CO21" s="51"/>
      <c r="CP21" s="51"/>
      <c r="CQ21" s="51"/>
      <c r="CR21" s="51"/>
      <c r="CS21" s="51"/>
      <c r="CT21" s="51"/>
      <c r="CU21" s="51"/>
      <c r="CV21" s="51"/>
      <c r="CW21" s="51"/>
      <c r="CX21" s="51"/>
      <c r="CY21" s="51"/>
      <c r="CZ21" s="51"/>
      <c r="DA21" s="51"/>
      <c r="DB21" s="51"/>
      <c r="DC21" s="51"/>
      <c r="DD21" s="51"/>
      <c r="DE21" s="51"/>
      <c r="DF21" s="51"/>
      <c r="DG21" s="51"/>
      <c r="DH21" s="51"/>
      <c r="DI21" s="51"/>
      <c r="DJ21" s="51"/>
      <c r="DK21" s="51"/>
      <c r="DL21" s="51"/>
      <c r="DM21" s="51"/>
      <c r="DN21" s="51"/>
      <c r="DO21" s="51"/>
      <c r="DP21" s="51"/>
      <c r="DQ21" s="51"/>
      <c r="DR21" s="51"/>
      <c r="DS21" s="51"/>
      <c r="DT21" s="51"/>
      <c r="DU21" s="51"/>
      <c r="DV21" s="51"/>
      <c r="DW21" s="51"/>
      <c r="DX21" s="51"/>
      <c r="DY21" s="51"/>
      <c r="DZ21" s="51"/>
      <c r="EA21" s="51"/>
      <c r="EB21" s="51"/>
      <c r="EC21" s="51"/>
      <c r="ED21" s="51"/>
      <c r="EE21" s="51"/>
      <c r="EF21" s="51"/>
      <c r="EG21" s="51"/>
      <c r="EH21" s="51"/>
      <c r="EI21" s="51"/>
      <c r="EJ21" s="51"/>
      <c r="EK21" s="51"/>
      <c r="EL21" s="51"/>
      <c r="EM21" s="51"/>
      <c r="EN21" s="51"/>
      <c r="EO21" s="51"/>
      <c r="EP21" s="51"/>
      <c r="EQ21" s="51"/>
      <c r="ER21" s="51"/>
      <c r="ES21" s="51"/>
      <c r="ET21" s="51"/>
      <c r="EU21" s="51"/>
      <c r="EV21" s="51"/>
      <c r="EW21" s="51"/>
      <c r="EX21" s="51"/>
      <c r="EY21" s="51"/>
      <c r="EZ21" s="51"/>
      <c r="FA21" s="51"/>
      <c r="FB21" s="51"/>
      <c r="FC21" s="51"/>
      <c r="FD21" s="51"/>
      <c r="FE21" s="51"/>
      <c r="FF21" s="51"/>
      <c r="FG21" s="51"/>
      <c r="FH21" s="51"/>
      <c r="FI21" s="51"/>
      <c r="FJ21" s="51"/>
      <c r="FK21" s="51"/>
      <c r="FL21" s="51"/>
      <c r="FM21" s="51"/>
      <c r="FN21" s="51"/>
      <c r="FO21" s="51"/>
      <c r="FP21" s="51"/>
      <c r="FQ21" s="51"/>
      <c r="FR21" s="51"/>
      <c r="FS21" s="51"/>
      <c r="FT21" s="51"/>
      <c r="FU21" s="51"/>
      <c r="FV21" s="51"/>
      <c r="FW21" s="51"/>
      <c r="FX21" s="51"/>
      <c r="FY21" s="51"/>
      <c r="FZ21" s="51"/>
      <c r="GA21" s="51"/>
      <c r="GB21" s="51"/>
      <c r="GC21" s="51"/>
      <c r="GD21" s="51"/>
      <c r="GE21" s="51"/>
      <c r="GF21" s="51"/>
      <c r="GG21" s="51"/>
      <c r="GH21" s="51"/>
      <c r="GI21" s="51"/>
      <c r="GJ21" s="51"/>
      <c r="GK21" s="51"/>
      <c r="GL21" s="51"/>
      <c r="GM21" s="51"/>
      <c r="GN21" s="51"/>
      <c r="GO21" s="51"/>
      <c r="GP21" s="51"/>
      <c r="GQ21" s="51"/>
      <c r="GR21" s="51"/>
      <c r="GS21" s="51"/>
      <c r="GT21" s="51"/>
      <c r="GU21" s="51"/>
      <c r="GV21" s="51"/>
      <c r="GW21" s="51"/>
      <c r="GX21" s="51"/>
      <c r="GY21" s="51"/>
      <c r="GZ21" s="51"/>
      <c r="HA21" s="51"/>
      <c r="HB21" s="51"/>
      <c r="HC21" s="51"/>
      <c r="HD21" s="51"/>
      <c r="HE21" s="51"/>
      <c r="HF21" s="51"/>
      <c r="HG21" s="51"/>
      <c r="HH21" s="51"/>
      <c r="HI21" s="51"/>
      <c r="HJ21" s="51"/>
      <c r="HK21" s="51"/>
      <c r="HL21" s="51"/>
      <c r="HM21" s="51"/>
      <c r="HN21" s="51"/>
      <c r="HO21" s="51"/>
      <c r="HP21" s="51"/>
      <c r="HQ21" s="51"/>
      <c r="HR21" s="51"/>
      <c r="HS21" s="51"/>
      <c r="HT21" s="51"/>
      <c r="HU21" s="51"/>
      <c r="HV21" s="51"/>
      <c r="HW21" s="51"/>
      <c r="HX21" s="51"/>
      <c r="HY21" s="51"/>
      <c r="HZ21" s="51"/>
      <c r="IA21" s="51"/>
      <c r="IB21" s="51"/>
      <c r="IC21" s="51"/>
      <c r="ID21" s="51"/>
      <c r="IE21" s="51"/>
      <c r="IF21" s="51"/>
      <c r="IG21" s="51"/>
      <c r="IH21" s="51"/>
      <c r="II21" s="51"/>
      <c r="IJ21" s="51"/>
      <c r="IK21" s="51"/>
      <c r="IL21" s="51"/>
      <c r="IM21" s="51"/>
      <c r="IN21" s="51"/>
      <c r="IO21" s="51"/>
      <c r="IP21" s="51"/>
      <c r="IQ21" s="51"/>
      <c r="IR21" s="51"/>
      <c r="IS21" s="51"/>
      <c r="IT21" s="51"/>
      <c r="IU21" s="51"/>
      <c r="IV21" s="51"/>
      <c r="IW21" s="51"/>
      <c r="IX21" s="51"/>
      <c r="IY21" s="51"/>
      <c r="IZ21" s="51"/>
      <c r="JA21" s="51"/>
      <c r="JB21" s="51"/>
      <c r="JC21" s="51"/>
      <c r="JD21" s="51"/>
      <c r="JE21" s="51"/>
      <c r="JF21" s="51"/>
      <c r="JG21" s="51"/>
      <c r="JH21" s="51"/>
      <c r="JI21" s="51"/>
      <c r="JJ21" s="51"/>
      <c r="JK21" s="51"/>
      <c r="JL21" s="51"/>
      <c r="JM21" s="51"/>
      <c r="JN21" s="51"/>
      <c r="JO21" s="51"/>
      <c r="JP21" s="51"/>
      <c r="JQ21" s="51"/>
      <c r="JR21" s="51"/>
      <c r="JS21" s="51"/>
      <c r="JT21" s="51"/>
      <c r="JU21" s="51"/>
      <c r="JV21" s="51"/>
      <c r="JW21" s="51"/>
      <c r="JX21" s="51"/>
      <c r="JY21" s="51"/>
      <c r="JZ21" s="51"/>
      <c r="KA21" s="51"/>
      <c r="KB21" s="51"/>
      <c r="KC21" s="51"/>
      <c r="KD21" s="51"/>
      <c r="KE21" s="51"/>
      <c r="KF21" s="51"/>
      <c r="KG21" s="51"/>
      <c r="KH21" s="51"/>
      <c r="KI21" s="51"/>
      <c r="KJ21" s="51"/>
      <c r="KK21" s="51"/>
      <c r="KL21" s="51"/>
      <c r="KM21" s="51"/>
      <c r="KN21" s="51"/>
      <c r="KO21" s="51"/>
      <c r="KP21" s="51"/>
      <c r="KQ21" s="51"/>
      <c r="KR21" s="51"/>
      <c r="KS21" s="51"/>
      <c r="KT21" s="51"/>
      <c r="KU21" s="51"/>
      <c r="KV21" s="51"/>
      <c r="KW21" s="51"/>
      <c r="KX21" s="51"/>
      <c r="KY21" s="51"/>
      <c r="KZ21" s="51"/>
      <c r="LA21" s="51"/>
      <c r="LB21" s="51"/>
      <c r="LC21" s="51"/>
      <c r="LD21" s="51"/>
      <c r="LE21" s="51"/>
      <c r="LF21" s="51"/>
      <c r="LG21" s="51"/>
      <c r="LH21" s="51"/>
      <c r="LI21" s="51"/>
      <c r="LJ21" s="51"/>
      <c r="LK21" s="51"/>
      <c r="LL21" s="51"/>
      <c r="LM21" s="51"/>
      <c r="LN21" s="51"/>
      <c r="LO21" s="51"/>
      <c r="LP21" s="51"/>
      <c r="LQ21" s="51"/>
      <c r="LR21" s="51"/>
      <c r="LS21" s="51"/>
      <c r="LT21" s="51"/>
      <c r="LU21" s="51"/>
      <c r="LV21" s="51"/>
      <c r="LW21" s="51"/>
      <c r="LX21" s="51"/>
      <c r="LY21" s="51"/>
      <c r="LZ21" s="51"/>
      <c r="MA21" s="51"/>
      <c r="MB21" s="51"/>
      <c r="MC21" s="51"/>
      <c r="MD21" s="51"/>
      <c r="ME21" s="51"/>
      <c r="MF21" s="51"/>
      <c r="MG21" s="51"/>
      <c r="MH21" s="51"/>
      <c r="MI21" s="51"/>
      <c r="MJ21" s="51"/>
      <c r="MK21" s="51"/>
      <c r="ML21" s="51"/>
      <c r="MM21" s="51"/>
      <c r="MN21" s="51"/>
      <c r="MO21" s="51"/>
      <c r="MP21" s="51"/>
      <c r="MQ21" s="51"/>
      <c r="MR21" s="51"/>
      <c r="MS21" s="51"/>
      <c r="MT21" s="51"/>
      <c r="MU21" s="51"/>
      <c r="MV21" s="51"/>
      <c r="MW21" s="51"/>
      <c r="MX21" s="51"/>
      <c r="MY21" s="51"/>
      <c r="MZ21" s="51"/>
      <c r="NA21" s="51"/>
      <c r="NB21" s="51"/>
      <c r="NC21" s="51"/>
      <c r="ND21" s="51"/>
      <c r="NE21" s="51"/>
      <c r="NF21" s="51"/>
      <c r="NG21" s="51"/>
      <c r="NH21" s="51"/>
      <c r="NI21" s="51"/>
      <c r="NJ21" s="51"/>
      <c r="NK21" s="51"/>
      <c r="NL21" s="52"/>
    </row>
    <row r="22" spans="1:376" x14ac:dyDescent="0.15">
      <c r="A22" s="35">
        <f>A21</f>
        <v>5</v>
      </c>
      <c r="B22" s="36" t="str">
        <f>B21</f>
        <v>FD</v>
      </c>
      <c r="C22" s="36" t="str">
        <f>C21</f>
        <v>Webアプリ機能設計書作成</v>
      </c>
      <c r="D22" s="37"/>
      <c r="E22" s="53" t="s">
        <v>0</v>
      </c>
      <c r="F22" s="54"/>
      <c r="G22" s="54"/>
      <c r="H22" s="55">
        <f t="shared" si="229"/>
        <v>0</v>
      </c>
      <c r="I22" s="56">
        <f t="shared" ref="I22" si="232">IF(OR(H21="",H22=""),"",H22-H21)</f>
        <v>-12</v>
      </c>
      <c r="J22" s="57"/>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c r="BS22" s="59"/>
      <c r="BT22" s="59"/>
      <c r="BU22" s="59"/>
      <c r="BV22" s="59"/>
      <c r="BW22" s="59"/>
      <c r="BX22" s="59"/>
      <c r="BY22" s="59"/>
      <c r="BZ22" s="59"/>
      <c r="CA22" s="59"/>
      <c r="CB22" s="59"/>
      <c r="CC22" s="59"/>
      <c r="CD22" s="59"/>
      <c r="CE22" s="59"/>
      <c r="CF22" s="59"/>
      <c r="CG22" s="59"/>
      <c r="CH22" s="59"/>
      <c r="CI22" s="59"/>
      <c r="CJ22" s="59"/>
      <c r="CK22" s="59"/>
      <c r="CL22" s="59"/>
      <c r="CM22" s="59"/>
      <c r="CN22" s="59"/>
      <c r="CO22" s="59"/>
      <c r="CP22" s="59"/>
      <c r="CQ22" s="59"/>
      <c r="CR22" s="59"/>
      <c r="CS22" s="59"/>
      <c r="CT22" s="59"/>
      <c r="CU22" s="59"/>
      <c r="CV22" s="59"/>
      <c r="CW22" s="59"/>
      <c r="CX22" s="59"/>
      <c r="CY22" s="59"/>
      <c r="CZ22" s="59"/>
      <c r="DA22" s="59"/>
      <c r="DB22" s="59"/>
      <c r="DC22" s="59"/>
      <c r="DD22" s="59"/>
      <c r="DE22" s="59"/>
      <c r="DF22" s="59"/>
      <c r="DG22" s="59"/>
      <c r="DH22" s="59"/>
      <c r="DI22" s="59"/>
      <c r="DJ22" s="59"/>
      <c r="DK22" s="59"/>
      <c r="DL22" s="59"/>
      <c r="DM22" s="59"/>
      <c r="DN22" s="59"/>
      <c r="DO22" s="59"/>
      <c r="DP22" s="59"/>
      <c r="DQ22" s="59"/>
      <c r="DR22" s="59"/>
      <c r="DS22" s="59"/>
      <c r="DT22" s="59"/>
      <c r="DU22" s="59"/>
      <c r="DV22" s="59"/>
      <c r="DW22" s="59"/>
      <c r="DX22" s="59"/>
      <c r="DY22" s="59"/>
      <c r="DZ22" s="59"/>
      <c r="EA22" s="59"/>
      <c r="EB22" s="59"/>
      <c r="EC22" s="59"/>
      <c r="ED22" s="59"/>
      <c r="EE22" s="59"/>
      <c r="EF22" s="59"/>
      <c r="EG22" s="59"/>
      <c r="EH22" s="59"/>
      <c r="EI22" s="59"/>
      <c r="EJ22" s="59"/>
      <c r="EK22" s="59"/>
      <c r="EL22" s="59"/>
      <c r="EM22" s="59"/>
      <c r="EN22" s="59"/>
      <c r="EO22" s="59"/>
      <c r="EP22" s="59"/>
      <c r="EQ22" s="59"/>
      <c r="ER22" s="59"/>
      <c r="ES22" s="59"/>
      <c r="ET22" s="59"/>
      <c r="EU22" s="59"/>
      <c r="EV22" s="59"/>
      <c r="EW22" s="59"/>
      <c r="EX22" s="59"/>
      <c r="EY22" s="59"/>
      <c r="EZ22" s="59"/>
      <c r="FA22" s="59"/>
      <c r="FB22" s="59"/>
      <c r="FC22" s="59"/>
      <c r="FD22" s="59"/>
      <c r="FE22" s="59"/>
      <c r="FF22" s="59"/>
      <c r="FG22" s="59"/>
      <c r="FH22" s="59"/>
      <c r="FI22" s="59"/>
      <c r="FJ22" s="59"/>
      <c r="FK22" s="59"/>
      <c r="FL22" s="59"/>
      <c r="FM22" s="59"/>
      <c r="FN22" s="59"/>
      <c r="FO22" s="59"/>
      <c r="FP22" s="59"/>
      <c r="FQ22" s="59"/>
      <c r="FR22" s="59"/>
      <c r="FS22" s="59"/>
      <c r="FT22" s="59"/>
      <c r="FU22" s="59"/>
      <c r="FV22" s="59"/>
      <c r="FW22" s="59"/>
      <c r="FX22" s="59"/>
      <c r="FY22" s="59"/>
      <c r="FZ22" s="59"/>
      <c r="GA22" s="59"/>
      <c r="GB22" s="59"/>
      <c r="GC22" s="59"/>
      <c r="GD22" s="59"/>
      <c r="GE22" s="59"/>
      <c r="GF22" s="59"/>
      <c r="GG22" s="59"/>
      <c r="GH22" s="59"/>
      <c r="GI22" s="59"/>
      <c r="GJ22" s="59"/>
      <c r="GK22" s="59"/>
      <c r="GL22" s="59"/>
      <c r="GM22" s="59"/>
      <c r="GN22" s="59"/>
      <c r="GO22" s="59"/>
      <c r="GP22" s="59"/>
      <c r="GQ22" s="59"/>
      <c r="GR22" s="59"/>
      <c r="GS22" s="59"/>
      <c r="GT22" s="59"/>
      <c r="GU22" s="59"/>
      <c r="GV22" s="59"/>
      <c r="GW22" s="59"/>
      <c r="GX22" s="59"/>
      <c r="GY22" s="59"/>
      <c r="GZ22" s="59"/>
      <c r="HA22" s="59"/>
      <c r="HB22" s="59"/>
      <c r="HC22" s="59"/>
      <c r="HD22" s="59"/>
      <c r="HE22" s="59"/>
      <c r="HF22" s="59"/>
      <c r="HG22" s="59"/>
      <c r="HH22" s="59"/>
      <c r="HI22" s="59"/>
      <c r="HJ22" s="59"/>
      <c r="HK22" s="59"/>
      <c r="HL22" s="59"/>
      <c r="HM22" s="59"/>
      <c r="HN22" s="59"/>
      <c r="HO22" s="59"/>
      <c r="HP22" s="59"/>
      <c r="HQ22" s="59"/>
      <c r="HR22" s="59"/>
      <c r="HS22" s="59"/>
      <c r="HT22" s="59"/>
      <c r="HU22" s="59"/>
      <c r="HV22" s="59"/>
      <c r="HW22" s="59"/>
      <c r="HX22" s="59"/>
      <c r="HY22" s="59"/>
      <c r="HZ22" s="59"/>
      <c r="IA22" s="59"/>
      <c r="IB22" s="59"/>
      <c r="IC22" s="59"/>
      <c r="ID22" s="59"/>
      <c r="IE22" s="59"/>
      <c r="IF22" s="59"/>
      <c r="IG22" s="59"/>
      <c r="IH22" s="59"/>
      <c r="II22" s="59"/>
      <c r="IJ22" s="59"/>
      <c r="IK22" s="59"/>
      <c r="IL22" s="59"/>
      <c r="IM22" s="59"/>
      <c r="IN22" s="59"/>
      <c r="IO22" s="59"/>
      <c r="IP22" s="59"/>
      <c r="IQ22" s="59"/>
      <c r="IR22" s="59"/>
      <c r="IS22" s="59"/>
      <c r="IT22" s="59"/>
      <c r="IU22" s="59"/>
      <c r="IV22" s="59"/>
      <c r="IW22" s="59"/>
      <c r="IX22" s="59"/>
      <c r="IY22" s="59"/>
      <c r="IZ22" s="59"/>
      <c r="JA22" s="59"/>
      <c r="JB22" s="59"/>
      <c r="JC22" s="59"/>
      <c r="JD22" s="59"/>
      <c r="JE22" s="59"/>
      <c r="JF22" s="59"/>
      <c r="JG22" s="59"/>
      <c r="JH22" s="59"/>
      <c r="JI22" s="59"/>
      <c r="JJ22" s="59"/>
      <c r="JK22" s="59"/>
      <c r="JL22" s="59"/>
      <c r="JM22" s="59"/>
      <c r="JN22" s="59"/>
      <c r="JO22" s="59"/>
      <c r="JP22" s="59"/>
      <c r="JQ22" s="59"/>
      <c r="JR22" s="59"/>
      <c r="JS22" s="59"/>
      <c r="JT22" s="59"/>
      <c r="JU22" s="59"/>
      <c r="JV22" s="59"/>
      <c r="JW22" s="59"/>
      <c r="JX22" s="59"/>
      <c r="JY22" s="59"/>
      <c r="JZ22" s="59"/>
      <c r="KA22" s="59"/>
      <c r="KB22" s="59"/>
      <c r="KC22" s="59"/>
      <c r="KD22" s="59"/>
      <c r="KE22" s="59"/>
      <c r="KF22" s="59"/>
      <c r="KG22" s="59"/>
      <c r="KH22" s="59"/>
      <c r="KI22" s="59"/>
      <c r="KJ22" s="59"/>
      <c r="KK22" s="59"/>
      <c r="KL22" s="59"/>
      <c r="KM22" s="59"/>
      <c r="KN22" s="59"/>
      <c r="KO22" s="59"/>
      <c r="KP22" s="59"/>
      <c r="KQ22" s="59"/>
      <c r="KR22" s="59"/>
      <c r="KS22" s="59"/>
      <c r="KT22" s="59"/>
      <c r="KU22" s="59"/>
      <c r="KV22" s="59"/>
      <c r="KW22" s="59"/>
      <c r="KX22" s="59"/>
      <c r="KY22" s="59"/>
      <c r="KZ22" s="59"/>
      <c r="LA22" s="59"/>
      <c r="LB22" s="59"/>
      <c r="LC22" s="59"/>
      <c r="LD22" s="59"/>
      <c r="LE22" s="59"/>
      <c r="LF22" s="59"/>
      <c r="LG22" s="59"/>
      <c r="LH22" s="59"/>
      <c r="LI22" s="59"/>
      <c r="LJ22" s="59"/>
      <c r="LK22" s="59"/>
      <c r="LL22" s="59"/>
      <c r="LM22" s="59"/>
      <c r="LN22" s="59"/>
      <c r="LO22" s="59"/>
      <c r="LP22" s="59"/>
      <c r="LQ22" s="59"/>
      <c r="LR22" s="59"/>
      <c r="LS22" s="59"/>
      <c r="LT22" s="59"/>
      <c r="LU22" s="59"/>
      <c r="LV22" s="59"/>
      <c r="LW22" s="59"/>
      <c r="LX22" s="59"/>
      <c r="LY22" s="59"/>
      <c r="LZ22" s="59"/>
      <c r="MA22" s="59"/>
      <c r="MB22" s="59"/>
      <c r="MC22" s="59"/>
      <c r="MD22" s="59"/>
      <c r="ME22" s="59"/>
      <c r="MF22" s="59"/>
      <c r="MG22" s="59"/>
      <c r="MH22" s="59"/>
      <c r="MI22" s="59"/>
      <c r="MJ22" s="59"/>
      <c r="MK22" s="59"/>
      <c r="ML22" s="59"/>
      <c r="MM22" s="59"/>
      <c r="MN22" s="59"/>
      <c r="MO22" s="59"/>
      <c r="MP22" s="59"/>
      <c r="MQ22" s="59"/>
      <c r="MR22" s="59"/>
      <c r="MS22" s="59"/>
      <c r="MT22" s="59"/>
      <c r="MU22" s="59"/>
      <c r="MV22" s="59"/>
      <c r="MW22" s="59"/>
      <c r="MX22" s="59"/>
      <c r="MY22" s="59"/>
      <c r="MZ22" s="59"/>
      <c r="NA22" s="59"/>
      <c r="NB22" s="59"/>
      <c r="NC22" s="59"/>
      <c r="ND22" s="59"/>
      <c r="NE22" s="59"/>
      <c r="NF22" s="59"/>
      <c r="NG22" s="59"/>
      <c r="NH22" s="59"/>
      <c r="NI22" s="59"/>
      <c r="NJ22" s="59"/>
      <c r="NK22" s="59"/>
      <c r="NL22" s="60"/>
    </row>
    <row r="23" spans="1:376" x14ac:dyDescent="0.15">
      <c r="A23" s="23">
        <v>6</v>
      </c>
      <c r="B23" s="24" t="s">
        <v>120</v>
      </c>
      <c r="C23" s="45" t="s">
        <v>122</v>
      </c>
      <c r="D23" s="26" t="s">
        <v>164</v>
      </c>
      <c r="E23" s="27" t="s">
        <v>13</v>
      </c>
      <c r="F23" s="28">
        <v>42875</v>
      </c>
      <c r="G23" s="28">
        <v>42875</v>
      </c>
      <c r="H23" s="29">
        <f t="shared" si="229"/>
        <v>4</v>
      </c>
      <c r="I23" s="48"/>
      <c r="J23" s="31"/>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c r="AL23" s="32"/>
      <c r="AM23" s="32"/>
      <c r="AN23" s="32"/>
      <c r="AO23" s="32"/>
      <c r="AP23" s="33"/>
      <c r="AQ23" s="33"/>
      <c r="AR23" s="33"/>
      <c r="AS23" s="33"/>
      <c r="AT23" s="33"/>
      <c r="AU23" s="33"/>
      <c r="AV23" s="33"/>
      <c r="AW23" s="33"/>
      <c r="AX23" s="33"/>
      <c r="AY23" s="33"/>
      <c r="AZ23" s="33"/>
      <c r="BA23" s="33"/>
      <c r="BB23" s="33"/>
      <c r="BC23" s="33"/>
      <c r="BD23" s="33"/>
      <c r="BE23" s="33">
        <v>4</v>
      </c>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c r="CV23" s="33"/>
      <c r="CW23" s="33"/>
      <c r="CX23" s="33"/>
      <c r="CY23" s="33"/>
      <c r="CZ23" s="33"/>
      <c r="DA23" s="33"/>
      <c r="DB23" s="33"/>
      <c r="DC23" s="33"/>
      <c r="DD23" s="33"/>
      <c r="DE23" s="33"/>
      <c r="DF23" s="33"/>
      <c r="DG23" s="33"/>
      <c r="DH23" s="33"/>
      <c r="DI23" s="33"/>
      <c r="DJ23" s="33"/>
      <c r="DK23" s="33"/>
      <c r="DL23" s="33"/>
      <c r="DM23" s="33"/>
      <c r="DN23" s="33"/>
      <c r="DO23" s="33"/>
      <c r="DP23" s="33"/>
      <c r="DQ23" s="33"/>
      <c r="DR23" s="33"/>
      <c r="DS23" s="33"/>
      <c r="DT23" s="33"/>
      <c r="DU23" s="33"/>
      <c r="DV23" s="33"/>
      <c r="DW23" s="33"/>
      <c r="DX23" s="33"/>
      <c r="DY23" s="33"/>
      <c r="DZ23" s="33"/>
      <c r="EA23" s="33"/>
      <c r="EB23" s="33"/>
      <c r="EC23" s="33"/>
      <c r="ED23" s="33"/>
      <c r="EE23" s="33"/>
      <c r="EF23" s="33"/>
      <c r="EG23" s="33"/>
      <c r="EH23" s="33"/>
      <c r="EI23" s="33"/>
      <c r="EJ23" s="33"/>
      <c r="EK23" s="33"/>
      <c r="EL23" s="33"/>
      <c r="EM23" s="33"/>
      <c r="EN23" s="33"/>
      <c r="EO23" s="33"/>
      <c r="EP23" s="33"/>
      <c r="EQ23" s="33"/>
      <c r="ER23" s="33"/>
      <c r="ES23" s="33"/>
      <c r="ET23" s="33"/>
      <c r="EU23" s="33"/>
      <c r="EV23" s="33"/>
      <c r="EW23" s="33"/>
      <c r="EX23" s="33"/>
      <c r="EY23" s="33"/>
      <c r="EZ23" s="33"/>
      <c r="FA23" s="33"/>
      <c r="FB23" s="33"/>
      <c r="FC23" s="33"/>
      <c r="FD23" s="33"/>
      <c r="FE23" s="33"/>
      <c r="FF23" s="33"/>
      <c r="FG23" s="33"/>
      <c r="FH23" s="33"/>
      <c r="FI23" s="33"/>
      <c r="FJ23" s="33"/>
      <c r="FK23" s="33"/>
      <c r="FL23" s="33"/>
      <c r="FM23" s="33"/>
      <c r="FN23" s="33"/>
      <c r="FO23" s="33"/>
      <c r="FP23" s="33"/>
      <c r="FQ23" s="33"/>
      <c r="FR23" s="33"/>
      <c r="FS23" s="33"/>
      <c r="FT23" s="33"/>
      <c r="FU23" s="33"/>
      <c r="FV23" s="33"/>
      <c r="FW23" s="33"/>
      <c r="FX23" s="33"/>
      <c r="FY23" s="33"/>
      <c r="FZ23" s="33"/>
      <c r="GA23" s="33"/>
      <c r="GB23" s="33"/>
      <c r="GC23" s="33"/>
      <c r="GD23" s="33"/>
      <c r="GE23" s="33"/>
      <c r="GF23" s="33"/>
      <c r="GG23" s="33"/>
      <c r="GH23" s="33"/>
      <c r="GI23" s="33"/>
      <c r="GJ23" s="33"/>
      <c r="GK23" s="33"/>
      <c r="GL23" s="33"/>
      <c r="GM23" s="33"/>
      <c r="GN23" s="33"/>
      <c r="GO23" s="33"/>
      <c r="GP23" s="33"/>
      <c r="GQ23" s="33"/>
      <c r="GR23" s="33"/>
      <c r="GS23" s="33"/>
      <c r="GT23" s="33"/>
      <c r="GU23" s="33"/>
      <c r="GV23" s="33"/>
      <c r="GW23" s="33"/>
      <c r="GX23" s="33"/>
      <c r="GY23" s="33"/>
      <c r="GZ23" s="33"/>
      <c r="HA23" s="33"/>
      <c r="HB23" s="33"/>
      <c r="HC23" s="33"/>
      <c r="HD23" s="33"/>
      <c r="HE23" s="33"/>
      <c r="HF23" s="33"/>
      <c r="HG23" s="33"/>
      <c r="HH23" s="33"/>
      <c r="HI23" s="33"/>
      <c r="HJ23" s="33"/>
      <c r="HK23" s="33"/>
      <c r="HL23" s="33"/>
      <c r="HM23" s="33"/>
      <c r="HN23" s="33"/>
      <c r="HO23" s="33"/>
      <c r="HP23" s="33"/>
      <c r="HQ23" s="33"/>
      <c r="HR23" s="33"/>
      <c r="HS23" s="33"/>
      <c r="HT23" s="33"/>
      <c r="HU23" s="33"/>
      <c r="HV23" s="33"/>
      <c r="HW23" s="33"/>
      <c r="HX23" s="33"/>
      <c r="HY23" s="33"/>
      <c r="HZ23" s="33"/>
      <c r="IA23" s="33"/>
      <c r="IB23" s="33"/>
      <c r="IC23" s="33"/>
      <c r="ID23" s="33"/>
      <c r="IE23" s="33"/>
      <c r="IF23" s="33"/>
      <c r="IG23" s="33"/>
      <c r="IH23" s="33"/>
      <c r="II23" s="33"/>
      <c r="IJ23" s="33"/>
      <c r="IK23" s="33"/>
      <c r="IL23" s="33"/>
      <c r="IM23" s="33"/>
      <c r="IN23" s="33"/>
      <c r="IO23" s="33"/>
      <c r="IP23" s="33"/>
      <c r="IQ23" s="33"/>
      <c r="IR23" s="33"/>
      <c r="IS23" s="33"/>
      <c r="IT23" s="33"/>
      <c r="IU23" s="33"/>
      <c r="IV23" s="33"/>
      <c r="IW23" s="33"/>
      <c r="IX23" s="33"/>
      <c r="IY23" s="33"/>
      <c r="IZ23" s="33"/>
      <c r="JA23" s="33"/>
      <c r="JB23" s="33"/>
      <c r="JC23" s="33"/>
      <c r="JD23" s="33"/>
      <c r="JE23" s="33"/>
      <c r="JF23" s="33"/>
      <c r="JG23" s="33"/>
      <c r="JH23" s="33"/>
      <c r="JI23" s="33"/>
      <c r="JJ23" s="33"/>
      <c r="JK23" s="33"/>
      <c r="JL23" s="33"/>
      <c r="JM23" s="33"/>
      <c r="JN23" s="33"/>
      <c r="JO23" s="33"/>
      <c r="JP23" s="33"/>
      <c r="JQ23" s="33"/>
      <c r="JR23" s="33"/>
      <c r="JS23" s="33"/>
      <c r="JT23" s="33"/>
      <c r="JU23" s="33"/>
      <c r="JV23" s="33"/>
      <c r="JW23" s="33"/>
      <c r="JX23" s="33"/>
      <c r="JY23" s="33"/>
      <c r="JZ23" s="33"/>
      <c r="KA23" s="33"/>
      <c r="KB23" s="33"/>
      <c r="KC23" s="33"/>
      <c r="KD23" s="33"/>
      <c r="KE23" s="33"/>
      <c r="KF23" s="33"/>
      <c r="KG23" s="33"/>
      <c r="KH23" s="33"/>
      <c r="KI23" s="33"/>
      <c r="KJ23" s="33"/>
      <c r="KK23" s="33"/>
      <c r="KL23" s="33"/>
      <c r="KM23" s="33"/>
      <c r="KN23" s="33"/>
      <c r="KO23" s="33"/>
      <c r="KP23" s="33"/>
      <c r="KQ23" s="33"/>
      <c r="KR23" s="33"/>
      <c r="KS23" s="33"/>
      <c r="KT23" s="33"/>
      <c r="KU23" s="33"/>
      <c r="KV23" s="33"/>
      <c r="KW23" s="33"/>
      <c r="KX23" s="33"/>
      <c r="KY23" s="33"/>
      <c r="KZ23" s="33"/>
      <c r="LA23" s="33"/>
      <c r="LB23" s="33"/>
      <c r="LC23" s="33"/>
      <c r="LD23" s="33"/>
      <c r="LE23" s="33"/>
      <c r="LF23" s="33"/>
      <c r="LG23" s="33"/>
      <c r="LH23" s="33"/>
      <c r="LI23" s="33"/>
      <c r="LJ23" s="33"/>
      <c r="LK23" s="33"/>
      <c r="LL23" s="33"/>
      <c r="LM23" s="33"/>
      <c r="LN23" s="33"/>
      <c r="LO23" s="33"/>
      <c r="LP23" s="33"/>
      <c r="LQ23" s="33"/>
      <c r="LR23" s="33"/>
      <c r="LS23" s="33"/>
      <c r="LT23" s="33"/>
      <c r="LU23" s="33"/>
      <c r="LV23" s="33"/>
      <c r="LW23" s="33"/>
      <c r="LX23" s="33"/>
      <c r="LY23" s="33"/>
      <c r="LZ23" s="33"/>
      <c r="MA23" s="33"/>
      <c r="MB23" s="33"/>
      <c r="MC23" s="33"/>
      <c r="MD23" s="33"/>
      <c r="ME23" s="33"/>
      <c r="MF23" s="33"/>
      <c r="MG23" s="33"/>
      <c r="MH23" s="33"/>
      <c r="MI23" s="33"/>
      <c r="MJ23" s="33"/>
      <c r="MK23" s="33"/>
      <c r="ML23" s="33"/>
      <c r="MM23" s="33"/>
      <c r="MN23" s="33"/>
      <c r="MO23" s="33"/>
      <c r="MP23" s="33"/>
      <c r="MQ23" s="33"/>
      <c r="MR23" s="33"/>
      <c r="MS23" s="33"/>
      <c r="MT23" s="33"/>
      <c r="MU23" s="33"/>
      <c r="MV23" s="33"/>
      <c r="MW23" s="33"/>
      <c r="MX23" s="33"/>
      <c r="MY23" s="33"/>
      <c r="MZ23" s="33"/>
      <c r="NA23" s="33"/>
      <c r="NB23" s="33"/>
      <c r="NC23" s="33"/>
      <c r="ND23" s="33"/>
      <c r="NE23" s="33"/>
      <c r="NF23" s="33"/>
      <c r="NG23" s="33"/>
      <c r="NH23" s="33"/>
      <c r="NI23" s="33"/>
      <c r="NJ23" s="33"/>
      <c r="NK23" s="33"/>
      <c r="NL23" s="34"/>
    </row>
    <row r="24" spans="1:376" x14ac:dyDescent="0.15">
      <c r="A24" s="35">
        <f>A23</f>
        <v>6</v>
      </c>
      <c r="B24" s="36" t="str">
        <f>B23</f>
        <v>FD</v>
      </c>
      <c r="C24" s="36" t="str">
        <f>C23</f>
        <v>Webアプリ機能設計書レビュー</v>
      </c>
      <c r="D24" s="37"/>
      <c r="E24" s="38" t="s">
        <v>0</v>
      </c>
      <c r="F24" s="39"/>
      <c r="G24" s="39"/>
      <c r="H24" s="55">
        <f t="shared" si="229"/>
        <v>0</v>
      </c>
      <c r="I24" s="56">
        <f t="shared" ref="I24" si="233">IF(OR(H23="",H24=""),"",H24-H23)</f>
        <v>-4</v>
      </c>
      <c r="J24" s="41"/>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3"/>
      <c r="GJ24" s="43"/>
      <c r="GK24" s="43"/>
      <c r="GL24" s="43"/>
      <c r="GM24" s="43"/>
      <c r="GN24" s="43"/>
      <c r="GO24" s="43"/>
      <c r="GP24" s="43"/>
      <c r="GQ24" s="43"/>
      <c r="GR24" s="43"/>
      <c r="GS24" s="43"/>
      <c r="GT24" s="43"/>
      <c r="GU24" s="43"/>
      <c r="GV24" s="43"/>
      <c r="GW24" s="43"/>
      <c r="GX24" s="43"/>
      <c r="GY24" s="43"/>
      <c r="GZ24" s="43"/>
      <c r="HA24" s="43"/>
      <c r="HB24" s="43"/>
      <c r="HC24" s="43"/>
      <c r="HD24" s="43"/>
      <c r="HE24" s="43"/>
      <c r="HF24" s="43"/>
      <c r="HG24" s="43"/>
      <c r="HH24" s="43"/>
      <c r="HI24" s="43"/>
      <c r="HJ24" s="43"/>
      <c r="HK24" s="43"/>
      <c r="HL24" s="43"/>
      <c r="HM24" s="43"/>
      <c r="HN24" s="43"/>
      <c r="HO24" s="43"/>
      <c r="HP24" s="43"/>
      <c r="HQ24" s="43"/>
      <c r="HR24" s="43"/>
      <c r="HS24" s="43"/>
      <c r="HT24" s="43"/>
      <c r="HU24" s="43"/>
      <c r="HV24" s="43"/>
      <c r="HW24" s="43"/>
      <c r="HX24" s="43"/>
      <c r="HY24" s="43"/>
      <c r="HZ24" s="43"/>
      <c r="IA24" s="43"/>
      <c r="IB24" s="43"/>
      <c r="IC24" s="43"/>
      <c r="ID24" s="43"/>
      <c r="IE24" s="43"/>
      <c r="IF24" s="43"/>
      <c r="IG24" s="43"/>
      <c r="IH24" s="43"/>
      <c r="II24" s="43"/>
      <c r="IJ24" s="43"/>
      <c r="IK24" s="43"/>
      <c r="IL24" s="43"/>
      <c r="IM24" s="43"/>
      <c r="IN24" s="43"/>
      <c r="IO24" s="43"/>
      <c r="IP24" s="43"/>
      <c r="IQ24" s="43"/>
      <c r="IR24" s="43"/>
      <c r="IS24" s="43"/>
      <c r="IT24" s="43"/>
      <c r="IU24" s="43"/>
      <c r="IV24" s="43"/>
      <c r="IW24" s="43"/>
      <c r="IX24" s="43"/>
      <c r="IY24" s="43"/>
      <c r="IZ24" s="43"/>
      <c r="JA24" s="43"/>
      <c r="JB24" s="43"/>
      <c r="JC24" s="43"/>
      <c r="JD24" s="43"/>
      <c r="JE24" s="43"/>
      <c r="JF24" s="43"/>
      <c r="JG24" s="43"/>
      <c r="JH24" s="43"/>
      <c r="JI24" s="43"/>
      <c r="JJ24" s="43"/>
      <c r="JK24" s="43"/>
      <c r="JL24" s="43"/>
      <c r="JM24" s="43"/>
      <c r="JN24" s="43"/>
      <c r="JO24" s="43"/>
      <c r="JP24" s="43"/>
      <c r="JQ24" s="43"/>
      <c r="JR24" s="43"/>
      <c r="JS24" s="43"/>
      <c r="JT24" s="43"/>
      <c r="JU24" s="43"/>
      <c r="JV24" s="43"/>
      <c r="JW24" s="43"/>
      <c r="JX24" s="43"/>
      <c r="JY24" s="43"/>
      <c r="JZ24" s="43"/>
      <c r="KA24" s="43"/>
      <c r="KB24" s="43"/>
      <c r="KC24" s="43"/>
      <c r="KD24" s="43"/>
      <c r="KE24" s="43"/>
      <c r="KF24" s="43"/>
      <c r="KG24" s="43"/>
      <c r="KH24" s="43"/>
      <c r="KI24" s="43"/>
      <c r="KJ24" s="43"/>
      <c r="KK24" s="43"/>
      <c r="KL24" s="43"/>
      <c r="KM24" s="43"/>
      <c r="KN24" s="43"/>
      <c r="KO24" s="43"/>
      <c r="KP24" s="43"/>
      <c r="KQ24" s="43"/>
      <c r="KR24" s="43"/>
      <c r="KS24" s="43"/>
      <c r="KT24" s="43"/>
      <c r="KU24" s="43"/>
      <c r="KV24" s="43"/>
      <c r="KW24" s="43"/>
      <c r="KX24" s="43"/>
      <c r="KY24" s="43"/>
      <c r="KZ24" s="43"/>
      <c r="LA24" s="43"/>
      <c r="LB24" s="43"/>
      <c r="LC24" s="43"/>
      <c r="LD24" s="43"/>
      <c r="LE24" s="43"/>
      <c r="LF24" s="43"/>
      <c r="LG24" s="43"/>
      <c r="LH24" s="43"/>
      <c r="LI24" s="43"/>
      <c r="LJ24" s="43"/>
      <c r="LK24" s="43"/>
      <c r="LL24" s="43"/>
      <c r="LM24" s="43"/>
      <c r="LN24" s="43"/>
      <c r="LO24" s="43"/>
      <c r="LP24" s="43"/>
      <c r="LQ24" s="43"/>
      <c r="LR24" s="43"/>
      <c r="LS24" s="43"/>
      <c r="LT24" s="43"/>
      <c r="LU24" s="43"/>
      <c r="LV24" s="43"/>
      <c r="LW24" s="43"/>
      <c r="LX24" s="43"/>
      <c r="LY24" s="43"/>
      <c r="LZ24" s="43"/>
      <c r="MA24" s="43"/>
      <c r="MB24" s="43"/>
      <c r="MC24" s="43"/>
      <c r="MD24" s="43"/>
      <c r="ME24" s="43"/>
      <c r="MF24" s="43"/>
      <c r="MG24" s="43"/>
      <c r="MH24" s="43"/>
      <c r="MI24" s="43"/>
      <c r="MJ24" s="43"/>
      <c r="MK24" s="43"/>
      <c r="ML24" s="43"/>
      <c r="MM24" s="43"/>
      <c r="MN24" s="43"/>
      <c r="MO24" s="43"/>
      <c r="MP24" s="43"/>
      <c r="MQ24" s="43"/>
      <c r="MR24" s="43"/>
      <c r="MS24" s="43"/>
      <c r="MT24" s="43"/>
      <c r="MU24" s="43"/>
      <c r="MV24" s="43"/>
      <c r="MW24" s="43"/>
      <c r="MX24" s="43"/>
      <c r="MY24" s="43"/>
      <c r="MZ24" s="43"/>
      <c r="NA24" s="43"/>
      <c r="NB24" s="43"/>
      <c r="NC24" s="43"/>
      <c r="ND24" s="43"/>
      <c r="NE24" s="43"/>
      <c r="NF24" s="43"/>
      <c r="NG24" s="43"/>
      <c r="NH24" s="43"/>
      <c r="NI24" s="43"/>
      <c r="NJ24" s="43"/>
      <c r="NK24" s="43"/>
      <c r="NL24" s="44"/>
    </row>
    <row r="25" spans="1:376" x14ac:dyDescent="0.15">
      <c r="A25" s="23">
        <v>7</v>
      </c>
      <c r="B25" s="24" t="s">
        <v>120</v>
      </c>
      <c r="C25" s="45" t="s">
        <v>123</v>
      </c>
      <c r="D25" s="26" t="s">
        <v>114</v>
      </c>
      <c r="E25" s="46" t="s">
        <v>13</v>
      </c>
      <c r="F25" s="47">
        <v>42876</v>
      </c>
      <c r="G25" s="47">
        <v>42890</v>
      </c>
      <c r="H25" s="29">
        <f t="shared" si="229"/>
        <v>10</v>
      </c>
      <c r="I25" s="48"/>
      <c r="J25" s="49"/>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1"/>
      <c r="AQ25" s="51"/>
      <c r="AR25" s="51"/>
      <c r="AS25" s="51"/>
      <c r="AT25" s="51"/>
      <c r="AU25" s="51"/>
      <c r="AV25" s="51"/>
      <c r="AW25" s="51"/>
      <c r="AX25" s="51"/>
      <c r="AY25" s="51"/>
      <c r="AZ25" s="51"/>
      <c r="BA25" s="51"/>
      <c r="BB25" s="51"/>
      <c r="BC25" s="51"/>
      <c r="BD25" s="51"/>
      <c r="BE25" s="51"/>
      <c r="BF25" s="51">
        <v>2</v>
      </c>
      <c r="BG25" s="51"/>
      <c r="BH25" s="51"/>
      <c r="BI25" s="51"/>
      <c r="BJ25" s="51"/>
      <c r="BK25" s="51"/>
      <c r="BL25" s="51">
        <v>4</v>
      </c>
      <c r="BM25" s="51"/>
      <c r="BN25" s="51"/>
      <c r="BO25" s="51"/>
      <c r="BP25" s="51"/>
      <c r="BQ25" s="51"/>
      <c r="BR25" s="51"/>
      <c r="BS25" s="51">
        <v>4</v>
      </c>
      <c r="BT25" s="51"/>
      <c r="BU25" s="51"/>
      <c r="BV25" s="51"/>
      <c r="BW25" s="51"/>
      <c r="BX25" s="51"/>
      <c r="BY25" s="51"/>
      <c r="BZ25" s="51"/>
      <c r="CA25" s="51"/>
      <c r="CB25" s="51"/>
      <c r="CC25" s="51"/>
      <c r="CD25" s="51"/>
      <c r="CE25" s="51"/>
      <c r="CF25" s="51"/>
      <c r="CG25" s="51"/>
      <c r="CH25" s="51"/>
      <c r="CI25" s="51"/>
      <c r="CJ25" s="51"/>
      <c r="CK25" s="51"/>
      <c r="CL25" s="51"/>
      <c r="CM25" s="51"/>
      <c r="CN25" s="51"/>
      <c r="CO25" s="51"/>
      <c r="CP25" s="51"/>
      <c r="CQ25" s="51"/>
      <c r="CR25" s="51"/>
      <c r="CS25" s="51"/>
      <c r="CT25" s="51"/>
      <c r="CU25" s="51"/>
      <c r="CV25" s="51"/>
      <c r="CW25" s="51"/>
      <c r="CX25" s="51"/>
      <c r="CY25" s="51"/>
      <c r="CZ25" s="51"/>
      <c r="DA25" s="51"/>
      <c r="DB25" s="51"/>
      <c r="DC25" s="51"/>
      <c r="DD25" s="51"/>
      <c r="DE25" s="51"/>
      <c r="DF25" s="51"/>
      <c r="DG25" s="51"/>
      <c r="DH25" s="51"/>
      <c r="DI25" s="51"/>
      <c r="DJ25" s="51"/>
      <c r="DK25" s="51"/>
      <c r="DL25" s="51"/>
      <c r="DM25" s="51"/>
      <c r="DN25" s="51"/>
      <c r="DO25" s="51"/>
      <c r="DP25" s="51"/>
      <c r="DQ25" s="51"/>
      <c r="DR25" s="51"/>
      <c r="DS25" s="51"/>
      <c r="DT25" s="51"/>
      <c r="DU25" s="51"/>
      <c r="DV25" s="51"/>
      <c r="DW25" s="51"/>
      <c r="DX25" s="51"/>
      <c r="DY25" s="51"/>
      <c r="DZ25" s="51"/>
      <c r="EA25" s="51"/>
      <c r="EB25" s="51"/>
      <c r="EC25" s="51"/>
      <c r="ED25" s="51"/>
      <c r="EE25" s="51"/>
      <c r="EF25" s="51"/>
      <c r="EG25" s="51"/>
      <c r="EH25" s="51"/>
      <c r="EI25" s="51"/>
      <c r="EJ25" s="51"/>
      <c r="EK25" s="51"/>
      <c r="EL25" s="51"/>
      <c r="EM25" s="51"/>
      <c r="EN25" s="51"/>
      <c r="EO25" s="51"/>
      <c r="EP25" s="51"/>
      <c r="EQ25" s="51"/>
      <c r="ER25" s="51"/>
      <c r="ES25" s="51"/>
      <c r="ET25" s="51"/>
      <c r="EU25" s="51"/>
      <c r="EV25" s="51"/>
      <c r="EW25" s="51"/>
      <c r="EX25" s="51"/>
      <c r="EY25" s="51"/>
      <c r="EZ25" s="51"/>
      <c r="FA25" s="51"/>
      <c r="FB25" s="51"/>
      <c r="FC25" s="51"/>
      <c r="FD25" s="51"/>
      <c r="FE25" s="51"/>
      <c r="FF25" s="51"/>
      <c r="FG25" s="51"/>
      <c r="FH25" s="51"/>
      <c r="FI25" s="51"/>
      <c r="FJ25" s="51"/>
      <c r="FK25" s="51"/>
      <c r="FL25" s="51"/>
      <c r="FM25" s="51"/>
      <c r="FN25" s="51"/>
      <c r="FO25" s="51"/>
      <c r="FP25" s="51"/>
      <c r="FQ25" s="51"/>
      <c r="FR25" s="51"/>
      <c r="FS25" s="51"/>
      <c r="FT25" s="51"/>
      <c r="FU25" s="51"/>
      <c r="FV25" s="51"/>
      <c r="FW25" s="51"/>
      <c r="FX25" s="51"/>
      <c r="FY25" s="51"/>
      <c r="FZ25" s="51"/>
      <c r="GA25" s="51"/>
      <c r="GB25" s="51"/>
      <c r="GC25" s="51"/>
      <c r="GD25" s="51"/>
      <c r="GE25" s="51"/>
      <c r="GF25" s="51"/>
      <c r="GG25" s="51"/>
      <c r="GH25" s="51"/>
      <c r="GI25" s="51"/>
      <c r="GJ25" s="51"/>
      <c r="GK25" s="51"/>
      <c r="GL25" s="51"/>
      <c r="GM25" s="51"/>
      <c r="GN25" s="51"/>
      <c r="GO25" s="51"/>
      <c r="GP25" s="51"/>
      <c r="GQ25" s="51"/>
      <c r="GR25" s="51"/>
      <c r="GS25" s="51"/>
      <c r="GT25" s="51"/>
      <c r="GU25" s="51"/>
      <c r="GV25" s="51"/>
      <c r="GW25" s="51"/>
      <c r="GX25" s="51"/>
      <c r="GY25" s="51"/>
      <c r="GZ25" s="51"/>
      <c r="HA25" s="51"/>
      <c r="HB25" s="51"/>
      <c r="HC25" s="51"/>
      <c r="HD25" s="51"/>
      <c r="HE25" s="51"/>
      <c r="HF25" s="51"/>
      <c r="HG25" s="51"/>
      <c r="HH25" s="51"/>
      <c r="HI25" s="51"/>
      <c r="HJ25" s="51"/>
      <c r="HK25" s="51"/>
      <c r="HL25" s="51"/>
      <c r="HM25" s="51"/>
      <c r="HN25" s="51"/>
      <c r="HO25" s="51"/>
      <c r="HP25" s="51"/>
      <c r="HQ25" s="51"/>
      <c r="HR25" s="51"/>
      <c r="HS25" s="51"/>
      <c r="HT25" s="51"/>
      <c r="HU25" s="51"/>
      <c r="HV25" s="51"/>
      <c r="HW25" s="51"/>
      <c r="HX25" s="51"/>
      <c r="HY25" s="51"/>
      <c r="HZ25" s="51"/>
      <c r="IA25" s="51"/>
      <c r="IB25" s="51"/>
      <c r="IC25" s="51"/>
      <c r="ID25" s="51"/>
      <c r="IE25" s="51"/>
      <c r="IF25" s="51"/>
      <c r="IG25" s="51"/>
      <c r="IH25" s="51"/>
      <c r="II25" s="51"/>
      <c r="IJ25" s="51"/>
      <c r="IK25" s="51"/>
      <c r="IL25" s="51"/>
      <c r="IM25" s="51"/>
      <c r="IN25" s="51"/>
      <c r="IO25" s="51"/>
      <c r="IP25" s="51"/>
      <c r="IQ25" s="51"/>
      <c r="IR25" s="51"/>
      <c r="IS25" s="51"/>
      <c r="IT25" s="51"/>
      <c r="IU25" s="51"/>
      <c r="IV25" s="51"/>
      <c r="IW25" s="51"/>
      <c r="IX25" s="51"/>
      <c r="IY25" s="51"/>
      <c r="IZ25" s="51"/>
      <c r="JA25" s="51"/>
      <c r="JB25" s="51"/>
      <c r="JC25" s="51"/>
      <c r="JD25" s="51"/>
      <c r="JE25" s="51"/>
      <c r="JF25" s="51"/>
      <c r="JG25" s="51"/>
      <c r="JH25" s="51"/>
      <c r="JI25" s="51"/>
      <c r="JJ25" s="51"/>
      <c r="JK25" s="51"/>
      <c r="JL25" s="51"/>
      <c r="JM25" s="51"/>
      <c r="JN25" s="51"/>
      <c r="JO25" s="51"/>
      <c r="JP25" s="51"/>
      <c r="JQ25" s="51"/>
      <c r="JR25" s="51"/>
      <c r="JS25" s="51"/>
      <c r="JT25" s="51"/>
      <c r="JU25" s="51"/>
      <c r="JV25" s="51"/>
      <c r="JW25" s="51"/>
      <c r="JX25" s="51"/>
      <c r="JY25" s="51"/>
      <c r="JZ25" s="51"/>
      <c r="KA25" s="51"/>
      <c r="KB25" s="51"/>
      <c r="KC25" s="51"/>
      <c r="KD25" s="51"/>
      <c r="KE25" s="51"/>
      <c r="KF25" s="51"/>
      <c r="KG25" s="51"/>
      <c r="KH25" s="51"/>
      <c r="KI25" s="51"/>
      <c r="KJ25" s="51"/>
      <c r="KK25" s="51"/>
      <c r="KL25" s="51"/>
      <c r="KM25" s="51"/>
      <c r="KN25" s="51"/>
      <c r="KO25" s="51"/>
      <c r="KP25" s="51"/>
      <c r="KQ25" s="51"/>
      <c r="KR25" s="51"/>
      <c r="KS25" s="51"/>
      <c r="KT25" s="51"/>
      <c r="KU25" s="51"/>
      <c r="KV25" s="51"/>
      <c r="KW25" s="51"/>
      <c r="KX25" s="51"/>
      <c r="KY25" s="51"/>
      <c r="KZ25" s="51"/>
      <c r="LA25" s="51"/>
      <c r="LB25" s="51"/>
      <c r="LC25" s="51"/>
      <c r="LD25" s="51"/>
      <c r="LE25" s="51"/>
      <c r="LF25" s="51"/>
      <c r="LG25" s="51"/>
      <c r="LH25" s="51"/>
      <c r="LI25" s="51"/>
      <c r="LJ25" s="51"/>
      <c r="LK25" s="51"/>
      <c r="LL25" s="51"/>
      <c r="LM25" s="51"/>
      <c r="LN25" s="51"/>
      <c r="LO25" s="51"/>
      <c r="LP25" s="51"/>
      <c r="LQ25" s="51"/>
      <c r="LR25" s="51"/>
      <c r="LS25" s="51"/>
      <c r="LT25" s="51"/>
      <c r="LU25" s="51"/>
      <c r="LV25" s="51"/>
      <c r="LW25" s="51"/>
      <c r="LX25" s="51"/>
      <c r="LY25" s="51"/>
      <c r="LZ25" s="51"/>
      <c r="MA25" s="51"/>
      <c r="MB25" s="51"/>
      <c r="MC25" s="51"/>
      <c r="MD25" s="51"/>
      <c r="ME25" s="51"/>
      <c r="MF25" s="51"/>
      <c r="MG25" s="51"/>
      <c r="MH25" s="51"/>
      <c r="MI25" s="51"/>
      <c r="MJ25" s="51"/>
      <c r="MK25" s="51"/>
      <c r="ML25" s="51"/>
      <c r="MM25" s="51"/>
      <c r="MN25" s="51"/>
      <c r="MO25" s="51"/>
      <c r="MP25" s="51"/>
      <c r="MQ25" s="51"/>
      <c r="MR25" s="51"/>
      <c r="MS25" s="51"/>
      <c r="MT25" s="51"/>
      <c r="MU25" s="51"/>
      <c r="MV25" s="51"/>
      <c r="MW25" s="51"/>
      <c r="MX25" s="51"/>
      <c r="MY25" s="51"/>
      <c r="MZ25" s="51"/>
      <c r="NA25" s="51"/>
      <c r="NB25" s="51"/>
      <c r="NC25" s="51"/>
      <c r="ND25" s="51"/>
      <c r="NE25" s="51"/>
      <c r="NF25" s="51"/>
      <c r="NG25" s="51"/>
      <c r="NH25" s="51"/>
      <c r="NI25" s="51"/>
      <c r="NJ25" s="51"/>
      <c r="NK25" s="51"/>
      <c r="NL25" s="52"/>
    </row>
    <row r="26" spans="1:376" x14ac:dyDescent="0.15">
      <c r="A26" s="35">
        <f>A25</f>
        <v>7</v>
      </c>
      <c r="B26" s="36" t="str">
        <f>B25</f>
        <v>FD</v>
      </c>
      <c r="C26" s="36" t="str">
        <f>C25</f>
        <v>Webアプリ機能設計書レビュー指摘対応</v>
      </c>
      <c r="D26" s="37" t="str">
        <f>D25</f>
        <v>那須</v>
      </c>
      <c r="E26" s="53" t="s">
        <v>0</v>
      </c>
      <c r="F26" s="54"/>
      <c r="G26" s="54"/>
      <c r="H26" s="55">
        <f t="shared" si="229"/>
        <v>0</v>
      </c>
      <c r="I26" s="56">
        <f>IF(OR(H25="",H26=""),"",H26-H25)</f>
        <v>-10</v>
      </c>
      <c r="J26" s="57"/>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59"/>
      <c r="CA26" s="59"/>
      <c r="CB26" s="59"/>
      <c r="CC26" s="59"/>
      <c r="CD26" s="59"/>
      <c r="CE26" s="59"/>
      <c r="CF26" s="59"/>
      <c r="CG26" s="59"/>
      <c r="CH26" s="59"/>
      <c r="CI26" s="59"/>
      <c r="CJ26" s="59"/>
      <c r="CK26" s="59"/>
      <c r="CL26" s="59"/>
      <c r="CM26" s="59"/>
      <c r="CN26" s="59"/>
      <c r="CO26" s="59"/>
      <c r="CP26" s="59"/>
      <c r="CQ26" s="59"/>
      <c r="CR26" s="59"/>
      <c r="CS26" s="59"/>
      <c r="CT26" s="59"/>
      <c r="CU26" s="59"/>
      <c r="CV26" s="59"/>
      <c r="CW26" s="59"/>
      <c r="CX26" s="59"/>
      <c r="CY26" s="59"/>
      <c r="CZ26" s="59"/>
      <c r="DA26" s="59"/>
      <c r="DB26" s="59"/>
      <c r="DC26" s="59"/>
      <c r="DD26" s="59"/>
      <c r="DE26" s="59"/>
      <c r="DF26" s="59"/>
      <c r="DG26" s="59"/>
      <c r="DH26" s="59"/>
      <c r="DI26" s="59"/>
      <c r="DJ26" s="59"/>
      <c r="DK26" s="59"/>
      <c r="DL26" s="59"/>
      <c r="DM26" s="59"/>
      <c r="DN26" s="59"/>
      <c r="DO26" s="59"/>
      <c r="DP26" s="59"/>
      <c r="DQ26" s="59"/>
      <c r="DR26" s="59"/>
      <c r="DS26" s="59"/>
      <c r="DT26" s="59"/>
      <c r="DU26" s="59"/>
      <c r="DV26" s="59"/>
      <c r="DW26" s="59"/>
      <c r="DX26" s="59"/>
      <c r="DY26" s="59"/>
      <c r="DZ26" s="59"/>
      <c r="EA26" s="59"/>
      <c r="EB26" s="59"/>
      <c r="EC26" s="59"/>
      <c r="ED26" s="59"/>
      <c r="EE26" s="59"/>
      <c r="EF26" s="59"/>
      <c r="EG26" s="59"/>
      <c r="EH26" s="59"/>
      <c r="EI26" s="59"/>
      <c r="EJ26" s="59"/>
      <c r="EK26" s="59"/>
      <c r="EL26" s="59"/>
      <c r="EM26" s="59"/>
      <c r="EN26" s="59"/>
      <c r="EO26" s="59"/>
      <c r="EP26" s="59"/>
      <c r="EQ26" s="59"/>
      <c r="ER26" s="59"/>
      <c r="ES26" s="59"/>
      <c r="ET26" s="59"/>
      <c r="EU26" s="59"/>
      <c r="EV26" s="59"/>
      <c r="EW26" s="59"/>
      <c r="EX26" s="59"/>
      <c r="EY26" s="59"/>
      <c r="EZ26" s="59"/>
      <c r="FA26" s="59"/>
      <c r="FB26" s="59"/>
      <c r="FC26" s="59"/>
      <c r="FD26" s="59"/>
      <c r="FE26" s="59"/>
      <c r="FF26" s="59"/>
      <c r="FG26" s="59"/>
      <c r="FH26" s="59"/>
      <c r="FI26" s="59"/>
      <c r="FJ26" s="59"/>
      <c r="FK26" s="59"/>
      <c r="FL26" s="59"/>
      <c r="FM26" s="59"/>
      <c r="FN26" s="59"/>
      <c r="FO26" s="59"/>
      <c r="FP26" s="59"/>
      <c r="FQ26" s="59"/>
      <c r="FR26" s="59"/>
      <c r="FS26" s="59"/>
      <c r="FT26" s="59"/>
      <c r="FU26" s="59"/>
      <c r="FV26" s="59"/>
      <c r="FW26" s="59"/>
      <c r="FX26" s="59"/>
      <c r="FY26" s="59"/>
      <c r="FZ26" s="59"/>
      <c r="GA26" s="59"/>
      <c r="GB26" s="59"/>
      <c r="GC26" s="59"/>
      <c r="GD26" s="59"/>
      <c r="GE26" s="59"/>
      <c r="GF26" s="59"/>
      <c r="GG26" s="59"/>
      <c r="GH26" s="59"/>
      <c r="GI26" s="59"/>
      <c r="GJ26" s="59"/>
      <c r="GK26" s="59"/>
      <c r="GL26" s="59"/>
      <c r="GM26" s="59"/>
      <c r="GN26" s="59"/>
      <c r="GO26" s="59"/>
      <c r="GP26" s="59"/>
      <c r="GQ26" s="59"/>
      <c r="GR26" s="59"/>
      <c r="GS26" s="59"/>
      <c r="GT26" s="59"/>
      <c r="GU26" s="59"/>
      <c r="GV26" s="59"/>
      <c r="GW26" s="59"/>
      <c r="GX26" s="59"/>
      <c r="GY26" s="59"/>
      <c r="GZ26" s="59"/>
      <c r="HA26" s="59"/>
      <c r="HB26" s="59"/>
      <c r="HC26" s="59"/>
      <c r="HD26" s="59"/>
      <c r="HE26" s="59"/>
      <c r="HF26" s="59"/>
      <c r="HG26" s="59"/>
      <c r="HH26" s="59"/>
      <c r="HI26" s="59"/>
      <c r="HJ26" s="59"/>
      <c r="HK26" s="59"/>
      <c r="HL26" s="59"/>
      <c r="HM26" s="59"/>
      <c r="HN26" s="59"/>
      <c r="HO26" s="59"/>
      <c r="HP26" s="59"/>
      <c r="HQ26" s="59"/>
      <c r="HR26" s="59"/>
      <c r="HS26" s="59"/>
      <c r="HT26" s="59"/>
      <c r="HU26" s="59"/>
      <c r="HV26" s="59"/>
      <c r="HW26" s="59"/>
      <c r="HX26" s="59"/>
      <c r="HY26" s="59"/>
      <c r="HZ26" s="59"/>
      <c r="IA26" s="59"/>
      <c r="IB26" s="59"/>
      <c r="IC26" s="59"/>
      <c r="ID26" s="59"/>
      <c r="IE26" s="59"/>
      <c r="IF26" s="59"/>
      <c r="IG26" s="59"/>
      <c r="IH26" s="59"/>
      <c r="II26" s="59"/>
      <c r="IJ26" s="59"/>
      <c r="IK26" s="59"/>
      <c r="IL26" s="59"/>
      <c r="IM26" s="59"/>
      <c r="IN26" s="59"/>
      <c r="IO26" s="59"/>
      <c r="IP26" s="59"/>
      <c r="IQ26" s="59"/>
      <c r="IR26" s="59"/>
      <c r="IS26" s="59"/>
      <c r="IT26" s="59"/>
      <c r="IU26" s="59"/>
      <c r="IV26" s="59"/>
      <c r="IW26" s="59"/>
      <c r="IX26" s="59"/>
      <c r="IY26" s="59"/>
      <c r="IZ26" s="59"/>
      <c r="JA26" s="59"/>
      <c r="JB26" s="59"/>
      <c r="JC26" s="59"/>
      <c r="JD26" s="59"/>
      <c r="JE26" s="59"/>
      <c r="JF26" s="59"/>
      <c r="JG26" s="59"/>
      <c r="JH26" s="59"/>
      <c r="JI26" s="59"/>
      <c r="JJ26" s="59"/>
      <c r="JK26" s="59"/>
      <c r="JL26" s="59"/>
      <c r="JM26" s="59"/>
      <c r="JN26" s="59"/>
      <c r="JO26" s="59"/>
      <c r="JP26" s="59"/>
      <c r="JQ26" s="59"/>
      <c r="JR26" s="59"/>
      <c r="JS26" s="59"/>
      <c r="JT26" s="59"/>
      <c r="JU26" s="59"/>
      <c r="JV26" s="59"/>
      <c r="JW26" s="59"/>
      <c r="JX26" s="59"/>
      <c r="JY26" s="59"/>
      <c r="JZ26" s="59"/>
      <c r="KA26" s="59"/>
      <c r="KB26" s="59"/>
      <c r="KC26" s="59"/>
      <c r="KD26" s="59"/>
      <c r="KE26" s="59"/>
      <c r="KF26" s="59"/>
      <c r="KG26" s="59"/>
      <c r="KH26" s="59"/>
      <c r="KI26" s="59"/>
      <c r="KJ26" s="59"/>
      <c r="KK26" s="59"/>
      <c r="KL26" s="59"/>
      <c r="KM26" s="59"/>
      <c r="KN26" s="59"/>
      <c r="KO26" s="59"/>
      <c r="KP26" s="59"/>
      <c r="KQ26" s="59"/>
      <c r="KR26" s="59"/>
      <c r="KS26" s="59"/>
      <c r="KT26" s="59"/>
      <c r="KU26" s="59"/>
      <c r="KV26" s="59"/>
      <c r="KW26" s="59"/>
      <c r="KX26" s="59"/>
      <c r="KY26" s="59"/>
      <c r="KZ26" s="59"/>
      <c r="LA26" s="59"/>
      <c r="LB26" s="59"/>
      <c r="LC26" s="59"/>
      <c r="LD26" s="59"/>
      <c r="LE26" s="59"/>
      <c r="LF26" s="59"/>
      <c r="LG26" s="59"/>
      <c r="LH26" s="59"/>
      <c r="LI26" s="59"/>
      <c r="LJ26" s="59"/>
      <c r="LK26" s="59"/>
      <c r="LL26" s="59"/>
      <c r="LM26" s="59"/>
      <c r="LN26" s="59"/>
      <c r="LO26" s="59"/>
      <c r="LP26" s="59"/>
      <c r="LQ26" s="59"/>
      <c r="LR26" s="59"/>
      <c r="LS26" s="59"/>
      <c r="LT26" s="59"/>
      <c r="LU26" s="59"/>
      <c r="LV26" s="59"/>
      <c r="LW26" s="59"/>
      <c r="LX26" s="59"/>
      <c r="LY26" s="59"/>
      <c r="LZ26" s="59"/>
      <c r="MA26" s="59"/>
      <c r="MB26" s="59"/>
      <c r="MC26" s="59"/>
      <c r="MD26" s="59"/>
      <c r="ME26" s="59"/>
      <c r="MF26" s="59"/>
      <c r="MG26" s="59"/>
      <c r="MH26" s="59"/>
      <c r="MI26" s="59"/>
      <c r="MJ26" s="59"/>
      <c r="MK26" s="59"/>
      <c r="ML26" s="59"/>
      <c r="MM26" s="59"/>
      <c r="MN26" s="59"/>
      <c r="MO26" s="59"/>
      <c r="MP26" s="59"/>
      <c r="MQ26" s="59"/>
      <c r="MR26" s="59"/>
      <c r="MS26" s="59"/>
      <c r="MT26" s="59"/>
      <c r="MU26" s="59"/>
      <c r="MV26" s="59"/>
      <c r="MW26" s="59"/>
      <c r="MX26" s="59"/>
      <c r="MY26" s="59"/>
      <c r="MZ26" s="59"/>
      <c r="NA26" s="59"/>
      <c r="NB26" s="59"/>
      <c r="NC26" s="59"/>
      <c r="ND26" s="59"/>
      <c r="NE26" s="59"/>
      <c r="NF26" s="59"/>
      <c r="NG26" s="59"/>
      <c r="NH26" s="59"/>
      <c r="NI26" s="59"/>
      <c r="NJ26" s="59"/>
      <c r="NK26" s="59"/>
      <c r="NL26" s="60"/>
    </row>
    <row r="27" spans="1:376" x14ac:dyDescent="0.15">
      <c r="A27" s="23">
        <v>8</v>
      </c>
      <c r="B27" s="24" t="s">
        <v>120</v>
      </c>
      <c r="C27" s="45" t="s">
        <v>124</v>
      </c>
      <c r="D27" s="26" t="s">
        <v>115</v>
      </c>
      <c r="E27" s="27" t="s">
        <v>13</v>
      </c>
      <c r="F27" s="47">
        <v>42858</v>
      </c>
      <c r="G27" s="47">
        <v>42875</v>
      </c>
      <c r="H27" s="29">
        <f t="shared" si="229"/>
        <v>12</v>
      </c>
      <c r="I27" s="30"/>
      <c r="J27" s="31"/>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3"/>
      <c r="AQ27" s="33">
        <v>4</v>
      </c>
      <c r="AR27" s="33"/>
      <c r="AS27" s="33"/>
      <c r="AT27" s="33"/>
      <c r="AU27" s="33"/>
      <c r="AV27" s="33"/>
      <c r="AW27" s="33"/>
      <c r="AX27" s="33">
        <v>4</v>
      </c>
      <c r="AY27" s="33"/>
      <c r="AZ27" s="33"/>
      <c r="BA27" s="33"/>
      <c r="BB27" s="33"/>
      <c r="BC27" s="33"/>
      <c r="BD27" s="33"/>
      <c r="BE27" s="33">
        <v>4</v>
      </c>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33"/>
      <c r="CG27" s="33"/>
      <c r="CH27" s="33"/>
      <c r="CI27" s="33"/>
      <c r="CJ27" s="33"/>
      <c r="CK27" s="33"/>
      <c r="CL27" s="33"/>
      <c r="CM27" s="33"/>
      <c r="CN27" s="33"/>
      <c r="CO27" s="33"/>
      <c r="CP27" s="33"/>
      <c r="CQ27" s="33"/>
      <c r="CR27" s="33"/>
      <c r="CS27" s="33"/>
      <c r="CT27" s="33"/>
      <c r="CU27" s="33"/>
      <c r="CV27" s="33"/>
      <c r="CW27" s="33"/>
      <c r="CX27" s="33"/>
      <c r="CY27" s="33"/>
      <c r="CZ27" s="33"/>
      <c r="DA27" s="33"/>
      <c r="DB27" s="33"/>
      <c r="DC27" s="33"/>
      <c r="DD27" s="33"/>
      <c r="DE27" s="33"/>
      <c r="DF27" s="33"/>
      <c r="DG27" s="33"/>
      <c r="DH27" s="33"/>
      <c r="DI27" s="33"/>
      <c r="DJ27" s="33"/>
      <c r="DK27" s="33"/>
      <c r="DL27" s="33"/>
      <c r="DM27" s="33"/>
      <c r="DN27" s="33"/>
      <c r="DO27" s="33"/>
      <c r="DP27" s="33"/>
      <c r="DQ27" s="33"/>
      <c r="DR27" s="33"/>
      <c r="DS27" s="33"/>
      <c r="DT27" s="33"/>
      <c r="DU27" s="33"/>
      <c r="DV27" s="33"/>
      <c r="DW27" s="33"/>
      <c r="DX27" s="33"/>
      <c r="DY27" s="33"/>
      <c r="DZ27" s="33"/>
      <c r="EA27" s="33"/>
      <c r="EB27" s="33"/>
      <c r="EC27" s="33"/>
      <c r="ED27" s="33"/>
      <c r="EE27" s="33"/>
      <c r="EF27" s="33"/>
      <c r="EG27" s="33"/>
      <c r="EH27" s="33"/>
      <c r="EI27" s="33"/>
      <c r="EJ27" s="33"/>
      <c r="EK27" s="33"/>
      <c r="EL27" s="33"/>
      <c r="EM27" s="33"/>
      <c r="EN27" s="33"/>
      <c r="EO27" s="33"/>
      <c r="EP27" s="33"/>
      <c r="EQ27" s="33"/>
      <c r="ER27" s="33"/>
      <c r="ES27" s="33"/>
      <c r="ET27" s="33"/>
      <c r="EU27" s="33"/>
      <c r="EV27" s="33"/>
      <c r="EW27" s="33"/>
      <c r="EX27" s="33"/>
      <c r="EY27" s="33"/>
      <c r="EZ27" s="33"/>
      <c r="FA27" s="33"/>
      <c r="FB27" s="33"/>
      <c r="FC27" s="33"/>
      <c r="FD27" s="33"/>
      <c r="FE27" s="33"/>
      <c r="FF27" s="33"/>
      <c r="FG27" s="33"/>
      <c r="FH27" s="33"/>
      <c r="FI27" s="33"/>
      <c r="FJ27" s="33"/>
      <c r="FK27" s="33"/>
      <c r="FL27" s="33"/>
      <c r="FM27" s="33"/>
      <c r="FN27" s="33"/>
      <c r="FO27" s="33"/>
      <c r="FP27" s="33"/>
      <c r="FQ27" s="33"/>
      <c r="FR27" s="33"/>
      <c r="FS27" s="33"/>
      <c r="FT27" s="33"/>
      <c r="FU27" s="33"/>
      <c r="FV27" s="33"/>
      <c r="FW27" s="33"/>
      <c r="FX27" s="33"/>
      <c r="FY27" s="33"/>
      <c r="FZ27" s="33"/>
      <c r="GA27" s="33"/>
      <c r="GB27" s="33"/>
      <c r="GC27" s="33"/>
      <c r="GD27" s="33"/>
      <c r="GE27" s="33"/>
      <c r="GF27" s="33"/>
      <c r="GG27" s="33"/>
      <c r="GH27" s="33"/>
      <c r="GI27" s="33"/>
      <c r="GJ27" s="33"/>
      <c r="GK27" s="33"/>
      <c r="GL27" s="33"/>
      <c r="GM27" s="33"/>
      <c r="GN27" s="33"/>
      <c r="GO27" s="33"/>
      <c r="GP27" s="33"/>
      <c r="GQ27" s="33"/>
      <c r="GR27" s="33"/>
      <c r="GS27" s="33"/>
      <c r="GT27" s="33"/>
      <c r="GU27" s="33"/>
      <c r="GV27" s="33"/>
      <c r="GW27" s="33"/>
      <c r="GX27" s="33"/>
      <c r="GY27" s="33"/>
      <c r="GZ27" s="33"/>
      <c r="HA27" s="33"/>
      <c r="HB27" s="33"/>
      <c r="HC27" s="33"/>
      <c r="HD27" s="33"/>
      <c r="HE27" s="33"/>
      <c r="HF27" s="33"/>
      <c r="HG27" s="33"/>
      <c r="HH27" s="33"/>
      <c r="HI27" s="33"/>
      <c r="HJ27" s="33"/>
      <c r="HK27" s="33"/>
      <c r="HL27" s="33"/>
      <c r="HM27" s="33"/>
      <c r="HN27" s="33"/>
      <c r="HO27" s="33"/>
      <c r="HP27" s="33"/>
      <c r="HQ27" s="33"/>
      <c r="HR27" s="33"/>
      <c r="HS27" s="33"/>
      <c r="HT27" s="33"/>
      <c r="HU27" s="33"/>
      <c r="HV27" s="33"/>
      <c r="HW27" s="33"/>
      <c r="HX27" s="33"/>
      <c r="HY27" s="33"/>
      <c r="HZ27" s="33"/>
      <c r="IA27" s="33"/>
      <c r="IB27" s="33"/>
      <c r="IC27" s="33"/>
      <c r="ID27" s="33"/>
      <c r="IE27" s="33"/>
      <c r="IF27" s="33"/>
      <c r="IG27" s="33"/>
      <c r="IH27" s="33"/>
      <c r="II27" s="33"/>
      <c r="IJ27" s="33"/>
      <c r="IK27" s="33"/>
      <c r="IL27" s="33"/>
      <c r="IM27" s="33"/>
      <c r="IN27" s="33"/>
      <c r="IO27" s="33"/>
      <c r="IP27" s="33"/>
      <c r="IQ27" s="33"/>
      <c r="IR27" s="33"/>
      <c r="IS27" s="33"/>
      <c r="IT27" s="33"/>
      <c r="IU27" s="33"/>
      <c r="IV27" s="33"/>
      <c r="IW27" s="33"/>
      <c r="IX27" s="33"/>
      <c r="IY27" s="33"/>
      <c r="IZ27" s="33"/>
      <c r="JA27" s="33"/>
      <c r="JB27" s="33"/>
      <c r="JC27" s="33"/>
      <c r="JD27" s="33"/>
      <c r="JE27" s="33"/>
      <c r="JF27" s="33"/>
      <c r="JG27" s="33"/>
      <c r="JH27" s="33"/>
      <c r="JI27" s="33"/>
      <c r="JJ27" s="33"/>
      <c r="JK27" s="33"/>
      <c r="JL27" s="33"/>
      <c r="JM27" s="33"/>
      <c r="JN27" s="33"/>
      <c r="JO27" s="33"/>
      <c r="JP27" s="33"/>
      <c r="JQ27" s="33"/>
      <c r="JR27" s="33"/>
      <c r="JS27" s="33"/>
      <c r="JT27" s="33"/>
      <c r="JU27" s="33"/>
      <c r="JV27" s="33"/>
      <c r="JW27" s="33"/>
      <c r="JX27" s="33"/>
      <c r="JY27" s="33"/>
      <c r="JZ27" s="33"/>
      <c r="KA27" s="33"/>
      <c r="KB27" s="33"/>
      <c r="KC27" s="33"/>
      <c r="KD27" s="33"/>
      <c r="KE27" s="33"/>
      <c r="KF27" s="33"/>
      <c r="KG27" s="33"/>
      <c r="KH27" s="33"/>
      <c r="KI27" s="33"/>
      <c r="KJ27" s="33"/>
      <c r="KK27" s="33"/>
      <c r="KL27" s="33"/>
      <c r="KM27" s="33"/>
      <c r="KN27" s="33"/>
      <c r="KO27" s="33"/>
      <c r="KP27" s="33"/>
      <c r="KQ27" s="33"/>
      <c r="KR27" s="33"/>
      <c r="KS27" s="33"/>
      <c r="KT27" s="33"/>
      <c r="KU27" s="33"/>
      <c r="KV27" s="33"/>
      <c r="KW27" s="33"/>
      <c r="KX27" s="33"/>
      <c r="KY27" s="33"/>
      <c r="KZ27" s="33"/>
      <c r="LA27" s="33"/>
      <c r="LB27" s="33"/>
      <c r="LC27" s="33"/>
      <c r="LD27" s="33"/>
      <c r="LE27" s="33"/>
      <c r="LF27" s="33"/>
      <c r="LG27" s="33"/>
      <c r="LH27" s="33"/>
      <c r="LI27" s="33"/>
      <c r="LJ27" s="33"/>
      <c r="LK27" s="33"/>
      <c r="LL27" s="33"/>
      <c r="LM27" s="33"/>
      <c r="LN27" s="33"/>
      <c r="LO27" s="33"/>
      <c r="LP27" s="33"/>
      <c r="LQ27" s="33"/>
      <c r="LR27" s="33"/>
      <c r="LS27" s="33"/>
      <c r="LT27" s="33"/>
      <c r="LU27" s="33"/>
      <c r="LV27" s="33"/>
      <c r="LW27" s="33"/>
      <c r="LX27" s="33"/>
      <c r="LY27" s="33"/>
      <c r="LZ27" s="33"/>
      <c r="MA27" s="33"/>
      <c r="MB27" s="33"/>
      <c r="MC27" s="33"/>
      <c r="MD27" s="33"/>
      <c r="ME27" s="33"/>
      <c r="MF27" s="33"/>
      <c r="MG27" s="33"/>
      <c r="MH27" s="33"/>
      <c r="MI27" s="33"/>
      <c r="MJ27" s="33"/>
      <c r="MK27" s="33"/>
      <c r="ML27" s="33"/>
      <c r="MM27" s="33"/>
      <c r="MN27" s="33"/>
      <c r="MO27" s="33"/>
      <c r="MP27" s="33"/>
      <c r="MQ27" s="33"/>
      <c r="MR27" s="33"/>
      <c r="MS27" s="33"/>
      <c r="MT27" s="33"/>
      <c r="MU27" s="33"/>
      <c r="MV27" s="33"/>
      <c r="MW27" s="33"/>
      <c r="MX27" s="33"/>
      <c r="MY27" s="33"/>
      <c r="MZ27" s="33"/>
      <c r="NA27" s="33"/>
      <c r="NB27" s="33"/>
      <c r="NC27" s="33"/>
      <c r="ND27" s="33"/>
      <c r="NE27" s="33"/>
      <c r="NF27" s="33"/>
      <c r="NG27" s="33"/>
      <c r="NH27" s="33"/>
      <c r="NI27" s="33"/>
      <c r="NJ27" s="33"/>
      <c r="NK27" s="33"/>
      <c r="NL27" s="34"/>
    </row>
    <row r="28" spans="1:376" x14ac:dyDescent="0.15">
      <c r="A28" s="35">
        <f>A27</f>
        <v>8</v>
      </c>
      <c r="B28" s="36" t="str">
        <f>B27</f>
        <v>FD</v>
      </c>
      <c r="C28" s="36" t="str">
        <f>C27</f>
        <v>監視端末機能設計書作成</v>
      </c>
      <c r="D28" s="37" t="str">
        <f>D27</f>
        <v>若山</v>
      </c>
      <c r="E28" s="38" t="s">
        <v>0</v>
      </c>
      <c r="F28" s="54"/>
      <c r="G28" s="54"/>
      <c r="H28" s="55">
        <f t="shared" si="229"/>
        <v>0</v>
      </c>
      <c r="I28" s="40">
        <f>IF(OR(H27="",H28=""),"",H28-H27)</f>
        <v>-12</v>
      </c>
      <c r="J28" s="41"/>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c r="ER28" s="43"/>
      <c r="ES28" s="43"/>
      <c r="ET28" s="43"/>
      <c r="EU28" s="43"/>
      <c r="EV28" s="43"/>
      <c r="EW28" s="43"/>
      <c r="EX28" s="43"/>
      <c r="EY28" s="43"/>
      <c r="EZ28" s="43"/>
      <c r="FA28" s="43"/>
      <c r="FB28" s="43"/>
      <c r="FC28" s="43"/>
      <c r="FD28" s="43"/>
      <c r="FE28" s="43"/>
      <c r="FF28" s="43"/>
      <c r="FG28" s="43"/>
      <c r="FH28" s="43"/>
      <c r="FI28" s="43"/>
      <c r="FJ28" s="43"/>
      <c r="FK28" s="43"/>
      <c r="FL28" s="43"/>
      <c r="FM28" s="43"/>
      <c r="FN28" s="43"/>
      <c r="FO28" s="43"/>
      <c r="FP28" s="43"/>
      <c r="FQ28" s="43"/>
      <c r="FR28" s="43"/>
      <c r="FS28" s="43"/>
      <c r="FT28" s="43"/>
      <c r="FU28" s="43"/>
      <c r="FV28" s="43"/>
      <c r="FW28" s="43"/>
      <c r="FX28" s="43"/>
      <c r="FY28" s="43"/>
      <c r="FZ28" s="43"/>
      <c r="GA28" s="43"/>
      <c r="GB28" s="43"/>
      <c r="GC28" s="43"/>
      <c r="GD28" s="43"/>
      <c r="GE28" s="43"/>
      <c r="GF28" s="43"/>
      <c r="GG28" s="43"/>
      <c r="GH28" s="43"/>
      <c r="GI28" s="43"/>
      <c r="GJ28" s="43"/>
      <c r="GK28" s="43"/>
      <c r="GL28" s="43"/>
      <c r="GM28" s="43"/>
      <c r="GN28" s="43"/>
      <c r="GO28" s="43"/>
      <c r="GP28" s="43"/>
      <c r="GQ28" s="43"/>
      <c r="GR28" s="43"/>
      <c r="GS28" s="43"/>
      <c r="GT28" s="43"/>
      <c r="GU28" s="43"/>
      <c r="GV28" s="43"/>
      <c r="GW28" s="43"/>
      <c r="GX28" s="43"/>
      <c r="GY28" s="43"/>
      <c r="GZ28" s="43"/>
      <c r="HA28" s="43"/>
      <c r="HB28" s="43"/>
      <c r="HC28" s="43"/>
      <c r="HD28" s="43"/>
      <c r="HE28" s="43"/>
      <c r="HF28" s="43"/>
      <c r="HG28" s="43"/>
      <c r="HH28" s="43"/>
      <c r="HI28" s="43"/>
      <c r="HJ28" s="43"/>
      <c r="HK28" s="43"/>
      <c r="HL28" s="43"/>
      <c r="HM28" s="43"/>
      <c r="HN28" s="43"/>
      <c r="HO28" s="43"/>
      <c r="HP28" s="43"/>
      <c r="HQ28" s="43"/>
      <c r="HR28" s="43"/>
      <c r="HS28" s="43"/>
      <c r="HT28" s="43"/>
      <c r="HU28" s="43"/>
      <c r="HV28" s="43"/>
      <c r="HW28" s="43"/>
      <c r="HX28" s="43"/>
      <c r="HY28" s="43"/>
      <c r="HZ28" s="43"/>
      <c r="IA28" s="43"/>
      <c r="IB28" s="43"/>
      <c r="IC28" s="43"/>
      <c r="ID28" s="43"/>
      <c r="IE28" s="43"/>
      <c r="IF28" s="43"/>
      <c r="IG28" s="43"/>
      <c r="IH28" s="43"/>
      <c r="II28" s="43"/>
      <c r="IJ28" s="43"/>
      <c r="IK28" s="43"/>
      <c r="IL28" s="43"/>
      <c r="IM28" s="43"/>
      <c r="IN28" s="43"/>
      <c r="IO28" s="43"/>
      <c r="IP28" s="43"/>
      <c r="IQ28" s="43"/>
      <c r="IR28" s="43"/>
      <c r="IS28" s="43"/>
      <c r="IT28" s="43"/>
      <c r="IU28" s="43"/>
      <c r="IV28" s="43"/>
      <c r="IW28" s="43"/>
      <c r="IX28" s="43"/>
      <c r="IY28" s="43"/>
      <c r="IZ28" s="43"/>
      <c r="JA28" s="43"/>
      <c r="JB28" s="43"/>
      <c r="JC28" s="43"/>
      <c r="JD28" s="43"/>
      <c r="JE28" s="43"/>
      <c r="JF28" s="43"/>
      <c r="JG28" s="43"/>
      <c r="JH28" s="43"/>
      <c r="JI28" s="43"/>
      <c r="JJ28" s="43"/>
      <c r="JK28" s="43"/>
      <c r="JL28" s="43"/>
      <c r="JM28" s="43"/>
      <c r="JN28" s="43"/>
      <c r="JO28" s="43"/>
      <c r="JP28" s="43"/>
      <c r="JQ28" s="43"/>
      <c r="JR28" s="43"/>
      <c r="JS28" s="43"/>
      <c r="JT28" s="43"/>
      <c r="JU28" s="43"/>
      <c r="JV28" s="43"/>
      <c r="JW28" s="43"/>
      <c r="JX28" s="43"/>
      <c r="JY28" s="43"/>
      <c r="JZ28" s="43"/>
      <c r="KA28" s="43"/>
      <c r="KB28" s="43"/>
      <c r="KC28" s="43"/>
      <c r="KD28" s="43"/>
      <c r="KE28" s="43"/>
      <c r="KF28" s="43"/>
      <c r="KG28" s="43"/>
      <c r="KH28" s="43"/>
      <c r="KI28" s="43"/>
      <c r="KJ28" s="43"/>
      <c r="KK28" s="43"/>
      <c r="KL28" s="43"/>
      <c r="KM28" s="43"/>
      <c r="KN28" s="43"/>
      <c r="KO28" s="43"/>
      <c r="KP28" s="43"/>
      <c r="KQ28" s="43"/>
      <c r="KR28" s="43"/>
      <c r="KS28" s="43"/>
      <c r="KT28" s="43"/>
      <c r="KU28" s="43"/>
      <c r="KV28" s="43"/>
      <c r="KW28" s="43"/>
      <c r="KX28" s="43"/>
      <c r="KY28" s="43"/>
      <c r="KZ28" s="43"/>
      <c r="LA28" s="43"/>
      <c r="LB28" s="43"/>
      <c r="LC28" s="43"/>
      <c r="LD28" s="43"/>
      <c r="LE28" s="43"/>
      <c r="LF28" s="43"/>
      <c r="LG28" s="43"/>
      <c r="LH28" s="43"/>
      <c r="LI28" s="43"/>
      <c r="LJ28" s="43"/>
      <c r="LK28" s="43"/>
      <c r="LL28" s="43"/>
      <c r="LM28" s="43"/>
      <c r="LN28" s="43"/>
      <c r="LO28" s="43"/>
      <c r="LP28" s="43"/>
      <c r="LQ28" s="43"/>
      <c r="LR28" s="43"/>
      <c r="LS28" s="43"/>
      <c r="LT28" s="43"/>
      <c r="LU28" s="43"/>
      <c r="LV28" s="43"/>
      <c r="LW28" s="43"/>
      <c r="LX28" s="43"/>
      <c r="LY28" s="43"/>
      <c r="LZ28" s="43"/>
      <c r="MA28" s="43"/>
      <c r="MB28" s="43"/>
      <c r="MC28" s="43"/>
      <c r="MD28" s="43"/>
      <c r="ME28" s="43"/>
      <c r="MF28" s="43"/>
      <c r="MG28" s="43"/>
      <c r="MH28" s="43"/>
      <c r="MI28" s="43"/>
      <c r="MJ28" s="43"/>
      <c r="MK28" s="43"/>
      <c r="ML28" s="43"/>
      <c r="MM28" s="43"/>
      <c r="MN28" s="43"/>
      <c r="MO28" s="43"/>
      <c r="MP28" s="43"/>
      <c r="MQ28" s="43"/>
      <c r="MR28" s="43"/>
      <c r="MS28" s="43"/>
      <c r="MT28" s="43"/>
      <c r="MU28" s="43"/>
      <c r="MV28" s="43"/>
      <c r="MW28" s="43"/>
      <c r="MX28" s="43"/>
      <c r="MY28" s="43"/>
      <c r="MZ28" s="43"/>
      <c r="NA28" s="43"/>
      <c r="NB28" s="43"/>
      <c r="NC28" s="43"/>
      <c r="ND28" s="43"/>
      <c r="NE28" s="43"/>
      <c r="NF28" s="43"/>
      <c r="NG28" s="43"/>
      <c r="NH28" s="43"/>
      <c r="NI28" s="43"/>
      <c r="NJ28" s="43"/>
      <c r="NK28" s="43"/>
      <c r="NL28" s="44"/>
    </row>
    <row r="29" spans="1:376" x14ac:dyDescent="0.15">
      <c r="A29" s="23">
        <v>9</v>
      </c>
      <c r="B29" s="24" t="s">
        <v>120</v>
      </c>
      <c r="C29" s="45" t="s">
        <v>125</v>
      </c>
      <c r="D29" s="26" t="s">
        <v>164</v>
      </c>
      <c r="E29" s="46" t="s">
        <v>13</v>
      </c>
      <c r="F29" s="28">
        <v>42875</v>
      </c>
      <c r="G29" s="28">
        <v>42875</v>
      </c>
      <c r="H29" s="29">
        <f t="shared" si="229"/>
        <v>4</v>
      </c>
      <c r="I29" s="48"/>
      <c r="J29" s="49"/>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1"/>
      <c r="AQ29" s="51"/>
      <c r="AR29" s="51"/>
      <c r="AS29" s="51"/>
      <c r="AT29" s="51"/>
      <c r="AU29" s="51"/>
      <c r="AV29" s="51"/>
      <c r="AW29" s="51"/>
      <c r="AX29" s="51"/>
      <c r="AY29" s="51"/>
      <c r="AZ29" s="51"/>
      <c r="BA29" s="51"/>
      <c r="BB29" s="51"/>
      <c r="BC29" s="51"/>
      <c r="BD29" s="51"/>
      <c r="BE29" s="51">
        <v>4</v>
      </c>
      <c r="BF29" s="51"/>
      <c r="BG29" s="51"/>
      <c r="BH29" s="51"/>
      <c r="BI29" s="51"/>
      <c r="BJ29" s="51"/>
      <c r="BK29" s="51"/>
      <c r="BL29" s="51"/>
      <c r="BM29" s="51"/>
      <c r="BN29" s="51"/>
      <c r="BO29" s="51"/>
      <c r="BP29" s="51"/>
      <c r="BQ29" s="51"/>
      <c r="BR29" s="51"/>
      <c r="BS29" s="51"/>
      <c r="BT29" s="51"/>
      <c r="BU29" s="51"/>
      <c r="BV29" s="51"/>
      <c r="BW29" s="51"/>
      <c r="BX29" s="51"/>
      <c r="BY29" s="51"/>
      <c r="BZ29" s="51"/>
      <c r="CA29" s="51"/>
      <c r="CB29" s="51"/>
      <c r="CC29" s="51"/>
      <c r="CD29" s="51"/>
      <c r="CE29" s="51"/>
      <c r="CF29" s="51"/>
      <c r="CG29" s="51"/>
      <c r="CH29" s="51"/>
      <c r="CI29" s="51"/>
      <c r="CJ29" s="51"/>
      <c r="CK29" s="51"/>
      <c r="CL29" s="51"/>
      <c r="CM29" s="51"/>
      <c r="CN29" s="51"/>
      <c r="CO29" s="51"/>
      <c r="CP29" s="51"/>
      <c r="CQ29" s="51"/>
      <c r="CR29" s="51"/>
      <c r="CS29" s="51"/>
      <c r="CT29" s="51"/>
      <c r="CU29" s="51"/>
      <c r="CV29" s="51"/>
      <c r="CW29" s="51"/>
      <c r="CX29" s="51"/>
      <c r="CY29" s="51"/>
      <c r="CZ29" s="51"/>
      <c r="DA29" s="51"/>
      <c r="DB29" s="51"/>
      <c r="DC29" s="51"/>
      <c r="DD29" s="51"/>
      <c r="DE29" s="51"/>
      <c r="DF29" s="51"/>
      <c r="DG29" s="51"/>
      <c r="DH29" s="51"/>
      <c r="DI29" s="51"/>
      <c r="DJ29" s="51"/>
      <c r="DK29" s="51"/>
      <c r="DL29" s="51"/>
      <c r="DM29" s="51"/>
      <c r="DN29" s="51"/>
      <c r="DO29" s="51"/>
      <c r="DP29" s="51"/>
      <c r="DQ29" s="51"/>
      <c r="DR29" s="51"/>
      <c r="DS29" s="51"/>
      <c r="DT29" s="51"/>
      <c r="DU29" s="51"/>
      <c r="DV29" s="51"/>
      <c r="DW29" s="51"/>
      <c r="DX29" s="51"/>
      <c r="DY29" s="51"/>
      <c r="DZ29" s="51"/>
      <c r="EA29" s="51"/>
      <c r="EB29" s="51"/>
      <c r="EC29" s="51"/>
      <c r="ED29" s="51"/>
      <c r="EE29" s="51"/>
      <c r="EF29" s="51"/>
      <c r="EG29" s="51"/>
      <c r="EH29" s="51"/>
      <c r="EI29" s="51"/>
      <c r="EJ29" s="51"/>
      <c r="EK29" s="51"/>
      <c r="EL29" s="51"/>
      <c r="EM29" s="51"/>
      <c r="EN29" s="51"/>
      <c r="EO29" s="51"/>
      <c r="EP29" s="51"/>
      <c r="EQ29" s="51"/>
      <c r="ER29" s="51"/>
      <c r="ES29" s="51"/>
      <c r="ET29" s="51"/>
      <c r="EU29" s="51"/>
      <c r="EV29" s="51"/>
      <c r="EW29" s="51"/>
      <c r="EX29" s="51"/>
      <c r="EY29" s="51"/>
      <c r="EZ29" s="51"/>
      <c r="FA29" s="51"/>
      <c r="FB29" s="51"/>
      <c r="FC29" s="51"/>
      <c r="FD29" s="51"/>
      <c r="FE29" s="51"/>
      <c r="FF29" s="51"/>
      <c r="FG29" s="51"/>
      <c r="FH29" s="51"/>
      <c r="FI29" s="51"/>
      <c r="FJ29" s="51"/>
      <c r="FK29" s="51"/>
      <c r="FL29" s="51"/>
      <c r="FM29" s="51"/>
      <c r="FN29" s="51"/>
      <c r="FO29" s="51"/>
      <c r="FP29" s="51"/>
      <c r="FQ29" s="51"/>
      <c r="FR29" s="51"/>
      <c r="FS29" s="51"/>
      <c r="FT29" s="51"/>
      <c r="FU29" s="51"/>
      <c r="FV29" s="51"/>
      <c r="FW29" s="51"/>
      <c r="FX29" s="51"/>
      <c r="FY29" s="51"/>
      <c r="FZ29" s="51"/>
      <c r="GA29" s="51"/>
      <c r="GB29" s="51"/>
      <c r="GC29" s="51"/>
      <c r="GD29" s="51"/>
      <c r="GE29" s="51"/>
      <c r="GF29" s="51"/>
      <c r="GG29" s="51"/>
      <c r="GH29" s="51"/>
      <c r="GI29" s="51"/>
      <c r="GJ29" s="51"/>
      <c r="GK29" s="51"/>
      <c r="GL29" s="51"/>
      <c r="GM29" s="51"/>
      <c r="GN29" s="51"/>
      <c r="GO29" s="51"/>
      <c r="GP29" s="51"/>
      <c r="GQ29" s="51"/>
      <c r="GR29" s="51"/>
      <c r="GS29" s="51"/>
      <c r="GT29" s="51"/>
      <c r="GU29" s="51"/>
      <c r="GV29" s="51"/>
      <c r="GW29" s="51"/>
      <c r="GX29" s="51"/>
      <c r="GY29" s="51"/>
      <c r="GZ29" s="51"/>
      <c r="HA29" s="51"/>
      <c r="HB29" s="51"/>
      <c r="HC29" s="51"/>
      <c r="HD29" s="51"/>
      <c r="HE29" s="51"/>
      <c r="HF29" s="51"/>
      <c r="HG29" s="51"/>
      <c r="HH29" s="51"/>
      <c r="HI29" s="51"/>
      <c r="HJ29" s="51"/>
      <c r="HK29" s="51"/>
      <c r="HL29" s="51"/>
      <c r="HM29" s="51"/>
      <c r="HN29" s="51"/>
      <c r="HO29" s="51"/>
      <c r="HP29" s="51"/>
      <c r="HQ29" s="51"/>
      <c r="HR29" s="51"/>
      <c r="HS29" s="51"/>
      <c r="HT29" s="51"/>
      <c r="HU29" s="51"/>
      <c r="HV29" s="51"/>
      <c r="HW29" s="51"/>
      <c r="HX29" s="51"/>
      <c r="HY29" s="51"/>
      <c r="HZ29" s="51"/>
      <c r="IA29" s="51"/>
      <c r="IB29" s="51"/>
      <c r="IC29" s="51"/>
      <c r="ID29" s="51"/>
      <c r="IE29" s="51"/>
      <c r="IF29" s="51"/>
      <c r="IG29" s="51"/>
      <c r="IH29" s="51"/>
      <c r="II29" s="51"/>
      <c r="IJ29" s="51"/>
      <c r="IK29" s="51"/>
      <c r="IL29" s="51"/>
      <c r="IM29" s="51"/>
      <c r="IN29" s="51"/>
      <c r="IO29" s="51"/>
      <c r="IP29" s="51"/>
      <c r="IQ29" s="51"/>
      <c r="IR29" s="51"/>
      <c r="IS29" s="51"/>
      <c r="IT29" s="51"/>
      <c r="IU29" s="51"/>
      <c r="IV29" s="51"/>
      <c r="IW29" s="51"/>
      <c r="IX29" s="51"/>
      <c r="IY29" s="51"/>
      <c r="IZ29" s="51"/>
      <c r="JA29" s="51"/>
      <c r="JB29" s="51"/>
      <c r="JC29" s="51"/>
      <c r="JD29" s="51"/>
      <c r="JE29" s="51"/>
      <c r="JF29" s="51"/>
      <c r="JG29" s="51"/>
      <c r="JH29" s="51"/>
      <c r="JI29" s="51"/>
      <c r="JJ29" s="51"/>
      <c r="JK29" s="51"/>
      <c r="JL29" s="51"/>
      <c r="JM29" s="51"/>
      <c r="JN29" s="51"/>
      <c r="JO29" s="51"/>
      <c r="JP29" s="51"/>
      <c r="JQ29" s="51"/>
      <c r="JR29" s="51"/>
      <c r="JS29" s="51"/>
      <c r="JT29" s="51"/>
      <c r="JU29" s="51"/>
      <c r="JV29" s="51"/>
      <c r="JW29" s="51"/>
      <c r="JX29" s="51"/>
      <c r="JY29" s="51"/>
      <c r="JZ29" s="51"/>
      <c r="KA29" s="51"/>
      <c r="KB29" s="51"/>
      <c r="KC29" s="51"/>
      <c r="KD29" s="51"/>
      <c r="KE29" s="51"/>
      <c r="KF29" s="51"/>
      <c r="KG29" s="51"/>
      <c r="KH29" s="51"/>
      <c r="KI29" s="51"/>
      <c r="KJ29" s="51"/>
      <c r="KK29" s="51"/>
      <c r="KL29" s="51"/>
      <c r="KM29" s="51"/>
      <c r="KN29" s="51"/>
      <c r="KO29" s="51"/>
      <c r="KP29" s="51"/>
      <c r="KQ29" s="51"/>
      <c r="KR29" s="51"/>
      <c r="KS29" s="51"/>
      <c r="KT29" s="51"/>
      <c r="KU29" s="51"/>
      <c r="KV29" s="51"/>
      <c r="KW29" s="51"/>
      <c r="KX29" s="51"/>
      <c r="KY29" s="51"/>
      <c r="KZ29" s="51"/>
      <c r="LA29" s="51"/>
      <c r="LB29" s="51"/>
      <c r="LC29" s="51"/>
      <c r="LD29" s="51"/>
      <c r="LE29" s="51"/>
      <c r="LF29" s="51"/>
      <c r="LG29" s="51"/>
      <c r="LH29" s="51"/>
      <c r="LI29" s="51"/>
      <c r="LJ29" s="51"/>
      <c r="LK29" s="51"/>
      <c r="LL29" s="51"/>
      <c r="LM29" s="51"/>
      <c r="LN29" s="51"/>
      <c r="LO29" s="51"/>
      <c r="LP29" s="51"/>
      <c r="LQ29" s="51"/>
      <c r="LR29" s="51"/>
      <c r="LS29" s="51"/>
      <c r="LT29" s="51"/>
      <c r="LU29" s="51"/>
      <c r="LV29" s="51"/>
      <c r="LW29" s="51"/>
      <c r="LX29" s="51"/>
      <c r="LY29" s="51"/>
      <c r="LZ29" s="51"/>
      <c r="MA29" s="51"/>
      <c r="MB29" s="51"/>
      <c r="MC29" s="51"/>
      <c r="MD29" s="51"/>
      <c r="ME29" s="51"/>
      <c r="MF29" s="51"/>
      <c r="MG29" s="51"/>
      <c r="MH29" s="51"/>
      <c r="MI29" s="51"/>
      <c r="MJ29" s="51"/>
      <c r="MK29" s="51"/>
      <c r="ML29" s="51"/>
      <c r="MM29" s="51"/>
      <c r="MN29" s="51"/>
      <c r="MO29" s="51"/>
      <c r="MP29" s="51"/>
      <c r="MQ29" s="51"/>
      <c r="MR29" s="51"/>
      <c r="MS29" s="51"/>
      <c r="MT29" s="51"/>
      <c r="MU29" s="51"/>
      <c r="MV29" s="51"/>
      <c r="MW29" s="51"/>
      <c r="MX29" s="51"/>
      <c r="MY29" s="51"/>
      <c r="MZ29" s="51"/>
      <c r="NA29" s="51"/>
      <c r="NB29" s="51"/>
      <c r="NC29" s="51"/>
      <c r="ND29" s="51"/>
      <c r="NE29" s="51"/>
      <c r="NF29" s="51"/>
      <c r="NG29" s="51"/>
      <c r="NH29" s="51"/>
      <c r="NI29" s="51"/>
      <c r="NJ29" s="51"/>
      <c r="NK29" s="51"/>
      <c r="NL29" s="52"/>
    </row>
    <row r="30" spans="1:376" x14ac:dyDescent="0.15">
      <c r="A30" s="35">
        <f>A29</f>
        <v>9</v>
      </c>
      <c r="B30" s="36" t="str">
        <f>B29</f>
        <v>FD</v>
      </c>
      <c r="C30" s="36" t="str">
        <f>C29</f>
        <v>監視端末機能設計書レビュー</v>
      </c>
      <c r="D30" s="37" t="str">
        <f>D29</f>
        <v>伊藤</v>
      </c>
      <c r="E30" s="53" t="s">
        <v>0</v>
      </c>
      <c r="F30" s="39"/>
      <c r="G30" s="39"/>
      <c r="H30" s="55">
        <f t="shared" si="229"/>
        <v>0</v>
      </c>
      <c r="I30" s="56">
        <f>IF(OR(H29="",H30=""),"",H30-H29)</f>
        <v>-4</v>
      </c>
      <c r="J30" s="57"/>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59"/>
      <c r="BT30" s="59"/>
      <c r="BU30" s="59"/>
      <c r="BV30" s="59"/>
      <c r="BW30" s="59"/>
      <c r="BX30" s="59"/>
      <c r="BY30" s="59"/>
      <c r="BZ30" s="59"/>
      <c r="CA30" s="59"/>
      <c r="CB30" s="59"/>
      <c r="CC30" s="59"/>
      <c r="CD30" s="59"/>
      <c r="CE30" s="59"/>
      <c r="CF30" s="59"/>
      <c r="CG30" s="59"/>
      <c r="CH30" s="59"/>
      <c r="CI30" s="59"/>
      <c r="CJ30" s="59"/>
      <c r="CK30" s="59"/>
      <c r="CL30" s="59"/>
      <c r="CM30" s="59"/>
      <c r="CN30" s="59"/>
      <c r="CO30" s="59"/>
      <c r="CP30" s="59"/>
      <c r="CQ30" s="59"/>
      <c r="CR30" s="59"/>
      <c r="CS30" s="59"/>
      <c r="CT30" s="59"/>
      <c r="CU30" s="59"/>
      <c r="CV30" s="59"/>
      <c r="CW30" s="59"/>
      <c r="CX30" s="59"/>
      <c r="CY30" s="59"/>
      <c r="CZ30" s="59"/>
      <c r="DA30" s="59"/>
      <c r="DB30" s="59"/>
      <c r="DC30" s="59"/>
      <c r="DD30" s="59"/>
      <c r="DE30" s="59"/>
      <c r="DF30" s="59"/>
      <c r="DG30" s="59"/>
      <c r="DH30" s="59"/>
      <c r="DI30" s="59"/>
      <c r="DJ30" s="59"/>
      <c r="DK30" s="59"/>
      <c r="DL30" s="59"/>
      <c r="DM30" s="59"/>
      <c r="DN30" s="59"/>
      <c r="DO30" s="59"/>
      <c r="DP30" s="59"/>
      <c r="DQ30" s="59"/>
      <c r="DR30" s="59"/>
      <c r="DS30" s="59"/>
      <c r="DT30" s="59"/>
      <c r="DU30" s="59"/>
      <c r="DV30" s="59"/>
      <c r="DW30" s="59"/>
      <c r="DX30" s="59"/>
      <c r="DY30" s="59"/>
      <c r="DZ30" s="59"/>
      <c r="EA30" s="59"/>
      <c r="EB30" s="59"/>
      <c r="EC30" s="59"/>
      <c r="ED30" s="59"/>
      <c r="EE30" s="59"/>
      <c r="EF30" s="59"/>
      <c r="EG30" s="59"/>
      <c r="EH30" s="59"/>
      <c r="EI30" s="59"/>
      <c r="EJ30" s="59"/>
      <c r="EK30" s="59"/>
      <c r="EL30" s="59"/>
      <c r="EM30" s="59"/>
      <c r="EN30" s="59"/>
      <c r="EO30" s="59"/>
      <c r="EP30" s="59"/>
      <c r="EQ30" s="59"/>
      <c r="ER30" s="59"/>
      <c r="ES30" s="59"/>
      <c r="ET30" s="59"/>
      <c r="EU30" s="59"/>
      <c r="EV30" s="59"/>
      <c r="EW30" s="59"/>
      <c r="EX30" s="59"/>
      <c r="EY30" s="59"/>
      <c r="EZ30" s="59"/>
      <c r="FA30" s="59"/>
      <c r="FB30" s="59"/>
      <c r="FC30" s="59"/>
      <c r="FD30" s="59"/>
      <c r="FE30" s="59"/>
      <c r="FF30" s="59"/>
      <c r="FG30" s="59"/>
      <c r="FH30" s="59"/>
      <c r="FI30" s="59"/>
      <c r="FJ30" s="59"/>
      <c r="FK30" s="59"/>
      <c r="FL30" s="59"/>
      <c r="FM30" s="59"/>
      <c r="FN30" s="59"/>
      <c r="FO30" s="59"/>
      <c r="FP30" s="59"/>
      <c r="FQ30" s="59"/>
      <c r="FR30" s="59"/>
      <c r="FS30" s="59"/>
      <c r="FT30" s="59"/>
      <c r="FU30" s="59"/>
      <c r="FV30" s="59"/>
      <c r="FW30" s="59"/>
      <c r="FX30" s="59"/>
      <c r="FY30" s="59"/>
      <c r="FZ30" s="59"/>
      <c r="GA30" s="59"/>
      <c r="GB30" s="59"/>
      <c r="GC30" s="59"/>
      <c r="GD30" s="59"/>
      <c r="GE30" s="59"/>
      <c r="GF30" s="59"/>
      <c r="GG30" s="59"/>
      <c r="GH30" s="59"/>
      <c r="GI30" s="59"/>
      <c r="GJ30" s="59"/>
      <c r="GK30" s="59"/>
      <c r="GL30" s="59"/>
      <c r="GM30" s="59"/>
      <c r="GN30" s="59"/>
      <c r="GO30" s="59"/>
      <c r="GP30" s="59"/>
      <c r="GQ30" s="59"/>
      <c r="GR30" s="59"/>
      <c r="GS30" s="59"/>
      <c r="GT30" s="59"/>
      <c r="GU30" s="59"/>
      <c r="GV30" s="59"/>
      <c r="GW30" s="59"/>
      <c r="GX30" s="59"/>
      <c r="GY30" s="59"/>
      <c r="GZ30" s="59"/>
      <c r="HA30" s="59"/>
      <c r="HB30" s="59"/>
      <c r="HC30" s="59"/>
      <c r="HD30" s="59"/>
      <c r="HE30" s="59"/>
      <c r="HF30" s="59"/>
      <c r="HG30" s="59"/>
      <c r="HH30" s="59"/>
      <c r="HI30" s="59"/>
      <c r="HJ30" s="59"/>
      <c r="HK30" s="59"/>
      <c r="HL30" s="59"/>
      <c r="HM30" s="59"/>
      <c r="HN30" s="59"/>
      <c r="HO30" s="59"/>
      <c r="HP30" s="59"/>
      <c r="HQ30" s="59"/>
      <c r="HR30" s="59"/>
      <c r="HS30" s="59"/>
      <c r="HT30" s="59"/>
      <c r="HU30" s="59"/>
      <c r="HV30" s="59"/>
      <c r="HW30" s="59"/>
      <c r="HX30" s="59"/>
      <c r="HY30" s="59"/>
      <c r="HZ30" s="59"/>
      <c r="IA30" s="59"/>
      <c r="IB30" s="59"/>
      <c r="IC30" s="59"/>
      <c r="ID30" s="59"/>
      <c r="IE30" s="59"/>
      <c r="IF30" s="59"/>
      <c r="IG30" s="59"/>
      <c r="IH30" s="59"/>
      <c r="II30" s="59"/>
      <c r="IJ30" s="59"/>
      <c r="IK30" s="59"/>
      <c r="IL30" s="59"/>
      <c r="IM30" s="59"/>
      <c r="IN30" s="59"/>
      <c r="IO30" s="59"/>
      <c r="IP30" s="59"/>
      <c r="IQ30" s="59"/>
      <c r="IR30" s="59"/>
      <c r="IS30" s="59"/>
      <c r="IT30" s="59"/>
      <c r="IU30" s="59"/>
      <c r="IV30" s="59"/>
      <c r="IW30" s="59"/>
      <c r="IX30" s="59"/>
      <c r="IY30" s="59"/>
      <c r="IZ30" s="59"/>
      <c r="JA30" s="59"/>
      <c r="JB30" s="59"/>
      <c r="JC30" s="59"/>
      <c r="JD30" s="59"/>
      <c r="JE30" s="59"/>
      <c r="JF30" s="59"/>
      <c r="JG30" s="59"/>
      <c r="JH30" s="59"/>
      <c r="JI30" s="59"/>
      <c r="JJ30" s="59"/>
      <c r="JK30" s="59"/>
      <c r="JL30" s="59"/>
      <c r="JM30" s="59"/>
      <c r="JN30" s="59"/>
      <c r="JO30" s="59"/>
      <c r="JP30" s="59"/>
      <c r="JQ30" s="59"/>
      <c r="JR30" s="59"/>
      <c r="JS30" s="59"/>
      <c r="JT30" s="59"/>
      <c r="JU30" s="59"/>
      <c r="JV30" s="59"/>
      <c r="JW30" s="59"/>
      <c r="JX30" s="59"/>
      <c r="JY30" s="59"/>
      <c r="JZ30" s="59"/>
      <c r="KA30" s="59"/>
      <c r="KB30" s="59"/>
      <c r="KC30" s="59"/>
      <c r="KD30" s="59"/>
      <c r="KE30" s="59"/>
      <c r="KF30" s="59"/>
      <c r="KG30" s="59"/>
      <c r="KH30" s="59"/>
      <c r="KI30" s="59"/>
      <c r="KJ30" s="59"/>
      <c r="KK30" s="59"/>
      <c r="KL30" s="59"/>
      <c r="KM30" s="59"/>
      <c r="KN30" s="59"/>
      <c r="KO30" s="59"/>
      <c r="KP30" s="59"/>
      <c r="KQ30" s="59"/>
      <c r="KR30" s="59"/>
      <c r="KS30" s="59"/>
      <c r="KT30" s="59"/>
      <c r="KU30" s="59"/>
      <c r="KV30" s="59"/>
      <c r="KW30" s="59"/>
      <c r="KX30" s="59"/>
      <c r="KY30" s="59"/>
      <c r="KZ30" s="59"/>
      <c r="LA30" s="59"/>
      <c r="LB30" s="59"/>
      <c r="LC30" s="59"/>
      <c r="LD30" s="59"/>
      <c r="LE30" s="59"/>
      <c r="LF30" s="59"/>
      <c r="LG30" s="59"/>
      <c r="LH30" s="59"/>
      <c r="LI30" s="59"/>
      <c r="LJ30" s="59"/>
      <c r="LK30" s="59"/>
      <c r="LL30" s="59"/>
      <c r="LM30" s="59"/>
      <c r="LN30" s="59"/>
      <c r="LO30" s="59"/>
      <c r="LP30" s="59"/>
      <c r="LQ30" s="59"/>
      <c r="LR30" s="59"/>
      <c r="LS30" s="59"/>
      <c r="LT30" s="59"/>
      <c r="LU30" s="59"/>
      <c r="LV30" s="59"/>
      <c r="LW30" s="59"/>
      <c r="LX30" s="59"/>
      <c r="LY30" s="59"/>
      <c r="LZ30" s="59"/>
      <c r="MA30" s="59"/>
      <c r="MB30" s="59"/>
      <c r="MC30" s="59"/>
      <c r="MD30" s="59"/>
      <c r="ME30" s="59"/>
      <c r="MF30" s="59"/>
      <c r="MG30" s="59"/>
      <c r="MH30" s="59"/>
      <c r="MI30" s="59"/>
      <c r="MJ30" s="59"/>
      <c r="MK30" s="59"/>
      <c r="ML30" s="59"/>
      <c r="MM30" s="59"/>
      <c r="MN30" s="59"/>
      <c r="MO30" s="59"/>
      <c r="MP30" s="59"/>
      <c r="MQ30" s="59"/>
      <c r="MR30" s="59"/>
      <c r="MS30" s="59"/>
      <c r="MT30" s="59"/>
      <c r="MU30" s="59"/>
      <c r="MV30" s="59"/>
      <c r="MW30" s="59"/>
      <c r="MX30" s="59"/>
      <c r="MY30" s="59"/>
      <c r="MZ30" s="59"/>
      <c r="NA30" s="59"/>
      <c r="NB30" s="59"/>
      <c r="NC30" s="59"/>
      <c r="ND30" s="59"/>
      <c r="NE30" s="59"/>
      <c r="NF30" s="59"/>
      <c r="NG30" s="59"/>
      <c r="NH30" s="59"/>
      <c r="NI30" s="59"/>
      <c r="NJ30" s="59"/>
      <c r="NK30" s="59"/>
      <c r="NL30" s="60"/>
    </row>
    <row r="31" spans="1:376" x14ac:dyDescent="0.15">
      <c r="A31" s="23">
        <v>10</v>
      </c>
      <c r="B31" s="24" t="s">
        <v>120</v>
      </c>
      <c r="C31" s="45" t="s">
        <v>126</v>
      </c>
      <c r="D31" s="26" t="s">
        <v>115</v>
      </c>
      <c r="E31" s="27" t="s">
        <v>13</v>
      </c>
      <c r="F31" s="47">
        <v>42876</v>
      </c>
      <c r="G31" s="47">
        <v>42890</v>
      </c>
      <c r="H31" s="29">
        <f t="shared" si="229"/>
        <v>10</v>
      </c>
      <c r="I31" s="30"/>
      <c r="J31" s="31"/>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3"/>
      <c r="AQ31" s="33"/>
      <c r="AR31" s="33"/>
      <c r="AS31" s="33"/>
      <c r="AT31" s="33"/>
      <c r="AU31" s="33"/>
      <c r="AV31" s="33"/>
      <c r="AW31" s="33"/>
      <c r="AX31" s="33"/>
      <c r="AY31" s="33"/>
      <c r="AZ31" s="33"/>
      <c r="BA31" s="33"/>
      <c r="BB31" s="33"/>
      <c r="BC31" s="33"/>
      <c r="BD31" s="33"/>
      <c r="BE31" s="33"/>
      <c r="BF31" s="33">
        <v>2</v>
      </c>
      <c r="BG31" s="33"/>
      <c r="BH31" s="33"/>
      <c r="BI31" s="33"/>
      <c r="BJ31" s="33"/>
      <c r="BK31" s="33"/>
      <c r="BL31" s="33">
        <v>4</v>
      </c>
      <c r="BM31" s="33"/>
      <c r="BN31" s="33"/>
      <c r="BO31" s="33"/>
      <c r="BP31" s="33"/>
      <c r="BQ31" s="33"/>
      <c r="BR31" s="33"/>
      <c r="BS31" s="33">
        <v>4</v>
      </c>
      <c r="BT31" s="33"/>
      <c r="BU31" s="33"/>
      <c r="BV31" s="33"/>
      <c r="BW31" s="33"/>
      <c r="BX31" s="33"/>
      <c r="BY31" s="33"/>
      <c r="BZ31" s="33"/>
      <c r="CA31" s="33"/>
      <c r="CB31" s="33"/>
      <c r="CC31" s="33"/>
      <c r="CD31" s="33"/>
      <c r="CE31" s="33"/>
      <c r="CF31" s="33"/>
      <c r="CG31" s="33"/>
      <c r="CH31" s="33"/>
      <c r="CI31" s="33"/>
      <c r="CJ31" s="33"/>
      <c r="CK31" s="33"/>
      <c r="CL31" s="33"/>
      <c r="CM31" s="33"/>
      <c r="CN31" s="33"/>
      <c r="CO31" s="33"/>
      <c r="CP31" s="33"/>
      <c r="CQ31" s="33"/>
      <c r="CR31" s="33"/>
      <c r="CS31" s="33"/>
      <c r="CT31" s="33"/>
      <c r="CU31" s="33"/>
      <c r="CV31" s="33"/>
      <c r="CW31" s="33"/>
      <c r="CX31" s="33"/>
      <c r="CY31" s="33"/>
      <c r="CZ31" s="33"/>
      <c r="DA31" s="33"/>
      <c r="DB31" s="33"/>
      <c r="DC31" s="33"/>
      <c r="DD31" s="33"/>
      <c r="DE31" s="33"/>
      <c r="DF31" s="33"/>
      <c r="DG31" s="33"/>
      <c r="DH31" s="33"/>
      <c r="DI31" s="33"/>
      <c r="DJ31" s="33"/>
      <c r="DK31" s="33"/>
      <c r="DL31" s="33"/>
      <c r="DM31" s="33"/>
      <c r="DN31" s="33"/>
      <c r="DO31" s="33"/>
      <c r="DP31" s="33"/>
      <c r="DQ31" s="33"/>
      <c r="DR31" s="33"/>
      <c r="DS31" s="33"/>
      <c r="DT31" s="33"/>
      <c r="DU31" s="33"/>
      <c r="DV31" s="33"/>
      <c r="DW31" s="33"/>
      <c r="DX31" s="33"/>
      <c r="DY31" s="33"/>
      <c r="DZ31" s="33"/>
      <c r="EA31" s="33"/>
      <c r="EB31" s="33"/>
      <c r="EC31" s="33"/>
      <c r="ED31" s="33"/>
      <c r="EE31" s="33"/>
      <c r="EF31" s="33"/>
      <c r="EG31" s="33"/>
      <c r="EH31" s="33"/>
      <c r="EI31" s="33"/>
      <c r="EJ31" s="33"/>
      <c r="EK31" s="33"/>
      <c r="EL31" s="33"/>
      <c r="EM31" s="33"/>
      <c r="EN31" s="33"/>
      <c r="EO31" s="33"/>
      <c r="EP31" s="33"/>
      <c r="EQ31" s="33"/>
      <c r="ER31" s="33"/>
      <c r="ES31" s="33"/>
      <c r="ET31" s="33"/>
      <c r="EU31" s="33"/>
      <c r="EV31" s="33"/>
      <c r="EW31" s="33"/>
      <c r="EX31" s="33"/>
      <c r="EY31" s="33"/>
      <c r="EZ31" s="33"/>
      <c r="FA31" s="33"/>
      <c r="FB31" s="33"/>
      <c r="FC31" s="33"/>
      <c r="FD31" s="33"/>
      <c r="FE31" s="33"/>
      <c r="FF31" s="33"/>
      <c r="FG31" s="33"/>
      <c r="FH31" s="33"/>
      <c r="FI31" s="33"/>
      <c r="FJ31" s="33"/>
      <c r="FK31" s="33"/>
      <c r="FL31" s="33"/>
      <c r="FM31" s="33"/>
      <c r="FN31" s="33"/>
      <c r="FO31" s="33"/>
      <c r="FP31" s="33"/>
      <c r="FQ31" s="33"/>
      <c r="FR31" s="33"/>
      <c r="FS31" s="33"/>
      <c r="FT31" s="33"/>
      <c r="FU31" s="33"/>
      <c r="FV31" s="33"/>
      <c r="FW31" s="33"/>
      <c r="FX31" s="33"/>
      <c r="FY31" s="33"/>
      <c r="FZ31" s="33"/>
      <c r="GA31" s="33"/>
      <c r="GB31" s="33"/>
      <c r="GC31" s="33"/>
      <c r="GD31" s="33"/>
      <c r="GE31" s="33"/>
      <c r="GF31" s="33"/>
      <c r="GG31" s="33"/>
      <c r="GH31" s="33"/>
      <c r="GI31" s="33"/>
      <c r="GJ31" s="33"/>
      <c r="GK31" s="33"/>
      <c r="GL31" s="33"/>
      <c r="GM31" s="33"/>
      <c r="GN31" s="33"/>
      <c r="GO31" s="33"/>
      <c r="GP31" s="33"/>
      <c r="GQ31" s="33"/>
      <c r="GR31" s="33"/>
      <c r="GS31" s="33"/>
      <c r="GT31" s="33"/>
      <c r="GU31" s="33"/>
      <c r="GV31" s="33"/>
      <c r="GW31" s="33"/>
      <c r="GX31" s="33"/>
      <c r="GY31" s="33"/>
      <c r="GZ31" s="33"/>
      <c r="HA31" s="33"/>
      <c r="HB31" s="33"/>
      <c r="HC31" s="33"/>
      <c r="HD31" s="33"/>
      <c r="HE31" s="33"/>
      <c r="HF31" s="33"/>
      <c r="HG31" s="33"/>
      <c r="HH31" s="33"/>
      <c r="HI31" s="33"/>
      <c r="HJ31" s="33"/>
      <c r="HK31" s="33"/>
      <c r="HL31" s="33"/>
      <c r="HM31" s="33"/>
      <c r="HN31" s="33"/>
      <c r="HO31" s="33"/>
      <c r="HP31" s="33"/>
      <c r="HQ31" s="33"/>
      <c r="HR31" s="33"/>
      <c r="HS31" s="33"/>
      <c r="HT31" s="33"/>
      <c r="HU31" s="33"/>
      <c r="HV31" s="33"/>
      <c r="HW31" s="33"/>
      <c r="HX31" s="33"/>
      <c r="HY31" s="33"/>
      <c r="HZ31" s="33"/>
      <c r="IA31" s="33"/>
      <c r="IB31" s="33"/>
      <c r="IC31" s="33"/>
      <c r="ID31" s="33"/>
      <c r="IE31" s="33"/>
      <c r="IF31" s="33"/>
      <c r="IG31" s="33"/>
      <c r="IH31" s="33"/>
      <c r="II31" s="33"/>
      <c r="IJ31" s="33"/>
      <c r="IK31" s="33"/>
      <c r="IL31" s="33"/>
      <c r="IM31" s="33"/>
      <c r="IN31" s="33"/>
      <c r="IO31" s="33"/>
      <c r="IP31" s="33"/>
      <c r="IQ31" s="33"/>
      <c r="IR31" s="33"/>
      <c r="IS31" s="33"/>
      <c r="IT31" s="33"/>
      <c r="IU31" s="33"/>
      <c r="IV31" s="33"/>
      <c r="IW31" s="33"/>
      <c r="IX31" s="33"/>
      <c r="IY31" s="33"/>
      <c r="IZ31" s="33"/>
      <c r="JA31" s="33"/>
      <c r="JB31" s="33"/>
      <c r="JC31" s="33"/>
      <c r="JD31" s="33"/>
      <c r="JE31" s="33"/>
      <c r="JF31" s="33"/>
      <c r="JG31" s="33"/>
      <c r="JH31" s="33"/>
      <c r="JI31" s="33"/>
      <c r="JJ31" s="33"/>
      <c r="JK31" s="33"/>
      <c r="JL31" s="33"/>
      <c r="JM31" s="33"/>
      <c r="JN31" s="33"/>
      <c r="JO31" s="33"/>
      <c r="JP31" s="33"/>
      <c r="JQ31" s="33"/>
      <c r="JR31" s="33"/>
      <c r="JS31" s="33"/>
      <c r="JT31" s="33"/>
      <c r="JU31" s="33"/>
      <c r="JV31" s="33"/>
      <c r="JW31" s="33"/>
      <c r="JX31" s="33"/>
      <c r="JY31" s="33"/>
      <c r="JZ31" s="33"/>
      <c r="KA31" s="33"/>
      <c r="KB31" s="33"/>
      <c r="KC31" s="33"/>
      <c r="KD31" s="33"/>
      <c r="KE31" s="33"/>
      <c r="KF31" s="33"/>
      <c r="KG31" s="33"/>
      <c r="KH31" s="33"/>
      <c r="KI31" s="33"/>
      <c r="KJ31" s="33"/>
      <c r="KK31" s="33"/>
      <c r="KL31" s="33"/>
      <c r="KM31" s="33"/>
      <c r="KN31" s="33"/>
      <c r="KO31" s="33"/>
      <c r="KP31" s="33"/>
      <c r="KQ31" s="33"/>
      <c r="KR31" s="33"/>
      <c r="KS31" s="33"/>
      <c r="KT31" s="33"/>
      <c r="KU31" s="33"/>
      <c r="KV31" s="33"/>
      <c r="KW31" s="33"/>
      <c r="KX31" s="33"/>
      <c r="KY31" s="33"/>
      <c r="KZ31" s="33"/>
      <c r="LA31" s="33"/>
      <c r="LB31" s="33"/>
      <c r="LC31" s="33"/>
      <c r="LD31" s="33"/>
      <c r="LE31" s="33"/>
      <c r="LF31" s="33"/>
      <c r="LG31" s="33"/>
      <c r="LH31" s="33"/>
      <c r="LI31" s="33"/>
      <c r="LJ31" s="33"/>
      <c r="LK31" s="33"/>
      <c r="LL31" s="33"/>
      <c r="LM31" s="33"/>
      <c r="LN31" s="33"/>
      <c r="LO31" s="33"/>
      <c r="LP31" s="33"/>
      <c r="LQ31" s="33"/>
      <c r="LR31" s="33"/>
      <c r="LS31" s="33"/>
      <c r="LT31" s="33"/>
      <c r="LU31" s="33"/>
      <c r="LV31" s="33"/>
      <c r="LW31" s="33"/>
      <c r="LX31" s="33"/>
      <c r="LY31" s="33"/>
      <c r="LZ31" s="33"/>
      <c r="MA31" s="33"/>
      <c r="MB31" s="33"/>
      <c r="MC31" s="33"/>
      <c r="MD31" s="33"/>
      <c r="ME31" s="33"/>
      <c r="MF31" s="33"/>
      <c r="MG31" s="33"/>
      <c r="MH31" s="33"/>
      <c r="MI31" s="33"/>
      <c r="MJ31" s="33"/>
      <c r="MK31" s="33"/>
      <c r="ML31" s="33"/>
      <c r="MM31" s="33"/>
      <c r="MN31" s="33"/>
      <c r="MO31" s="33"/>
      <c r="MP31" s="33"/>
      <c r="MQ31" s="33"/>
      <c r="MR31" s="33"/>
      <c r="MS31" s="33"/>
      <c r="MT31" s="33"/>
      <c r="MU31" s="33"/>
      <c r="MV31" s="33"/>
      <c r="MW31" s="33"/>
      <c r="MX31" s="33"/>
      <c r="MY31" s="33"/>
      <c r="MZ31" s="33"/>
      <c r="NA31" s="33"/>
      <c r="NB31" s="33"/>
      <c r="NC31" s="33"/>
      <c r="ND31" s="33"/>
      <c r="NE31" s="33"/>
      <c r="NF31" s="33"/>
      <c r="NG31" s="33"/>
      <c r="NH31" s="33"/>
      <c r="NI31" s="33"/>
      <c r="NJ31" s="33"/>
      <c r="NK31" s="33"/>
      <c r="NL31" s="34"/>
    </row>
    <row r="32" spans="1:376" x14ac:dyDescent="0.15">
      <c r="A32" s="35">
        <f>A31</f>
        <v>10</v>
      </c>
      <c r="B32" s="36" t="str">
        <f>B31</f>
        <v>FD</v>
      </c>
      <c r="C32" s="36" t="str">
        <f>C31</f>
        <v>監視端末機能設計書レビュー指摘対応</v>
      </c>
      <c r="D32" s="37" t="str">
        <f>D31</f>
        <v>若山</v>
      </c>
      <c r="E32" s="38" t="s">
        <v>0</v>
      </c>
      <c r="F32" s="54"/>
      <c r="G32" s="54"/>
      <c r="H32" s="55">
        <f t="shared" si="229"/>
        <v>0</v>
      </c>
      <c r="I32" s="40">
        <f>IF(OR(H31="",H32=""),"",H32-H31)</f>
        <v>-10</v>
      </c>
      <c r="J32" s="41"/>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3"/>
      <c r="EF32" s="43"/>
      <c r="EG32" s="43"/>
      <c r="EH32" s="43"/>
      <c r="EI32" s="43"/>
      <c r="EJ32" s="43"/>
      <c r="EK32" s="43"/>
      <c r="EL32" s="43"/>
      <c r="EM32" s="43"/>
      <c r="EN32" s="43"/>
      <c r="EO32" s="43"/>
      <c r="EP32" s="43"/>
      <c r="EQ32" s="43"/>
      <c r="ER32" s="43"/>
      <c r="ES32" s="43"/>
      <c r="ET32" s="43"/>
      <c r="EU32" s="43"/>
      <c r="EV32" s="43"/>
      <c r="EW32" s="43"/>
      <c r="EX32" s="43"/>
      <c r="EY32" s="43"/>
      <c r="EZ32" s="43"/>
      <c r="FA32" s="43"/>
      <c r="FB32" s="43"/>
      <c r="FC32" s="43"/>
      <c r="FD32" s="43"/>
      <c r="FE32" s="43"/>
      <c r="FF32" s="43"/>
      <c r="FG32" s="43"/>
      <c r="FH32" s="43"/>
      <c r="FI32" s="43"/>
      <c r="FJ32" s="43"/>
      <c r="FK32" s="43"/>
      <c r="FL32" s="43"/>
      <c r="FM32" s="43"/>
      <c r="FN32" s="43"/>
      <c r="FO32" s="43"/>
      <c r="FP32" s="43"/>
      <c r="FQ32" s="43"/>
      <c r="FR32" s="43"/>
      <c r="FS32" s="43"/>
      <c r="FT32" s="43"/>
      <c r="FU32" s="43"/>
      <c r="FV32" s="43"/>
      <c r="FW32" s="43"/>
      <c r="FX32" s="43"/>
      <c r="FY32" s="43"/>
      <c r="FZ32" s="43"/>
      <c r="GA32" s="43"/>
      <c r="GB32" s="43"/>
      <c r="GC32" s="43"/>
      <c r="GD32" s="43"/>
      <c r="GE32" s="43"/>
      <c r="GF32" s="43"/>
      <c r="GG32" s="43"/>
      <c r="GH32" s="43"/>
      <c r="GI32" s="43"/>
      <c r="GJ32" s="43"/>
      <c r="GK32" s="43"/>
      <c r="GL32" s="43"/>
      <c r="GM32" s="43"/>
      <c r="GN32" s="43"/>
      <c r="GO32" s="43"/>
      <c r="GP32" s="43"/>
      <c r="GQ32" s="43"/>
      <c r="GR32" s="43"/>
      <c r="GS32" s="43"/>
      <c r="GT32" s="43"/>
      <c r="GU32" s="43"/>
      <c r="GV32" s="43"/>
      <c r="GW32" s="43"/>
      <c r="GX32" s="43"/>
      <c r="GY32" s="43"/>
      <c r="GZ32" s="43"/>
      <c r="HA32" s="43"/>
      <c r="HB32" s="43"/>
      <c r="HC32" s="43"/>
      <c r="HD32" s="43"/>
      <c r="HE32" s="43"/>
      <c r="HF32" s="43"/>
      <c r="HG32" s="43"/>
      <c r="HH32" s="43"/>
      <c r="HI32" s="43"/>
      <c r="HJ32" s="43"/>
      <c r="HK32" s="43"/>
      <c r="HL32" s="43"/>
      <c r="HM32" s="43"/>
      <c r="HN32" s="43"/>
      <c r="HO32" s="43"/>
      <c r="HP32" s="43"/>
      <c r="HQ32" s="43"/>
      <c r="HR32" s="43"/>
      <c r="HS32" s="43"/>
      <c r="HT32" s="43"/>
      <c r="HU32" s="43"/>
      <c r="HV32" s="43"/>
      <c r="HW32" s="43"/>
      <c r="HX32" s="43"/>
      <c r="HY32" s="43"/>
      <c r="HZ32" s="43"/>
      <c r="IA32" s="43"/>
      <c r="IB32" s="43"/>
      <c r="IC32" s="43"/>
      <c r="ID32" s="43"/>
      <c r="IE32" s="43"/>
      <c r="IF32" s="43"/>
      <c r="IG32" s="43"/>
      <c r="IH32" s="43"/>
      <c r="II32" s="43"/>
      <c r="IJ32" s="43"/>
      <c r="IK32" s="43"/>
      <c r="IL32" s="43"/>
      <c r="IM32" s="43"/>
      <c r="IN32" s="43"/>
      <c r="IO32" s="43"/>
      <c r="IP32" s="43"/>
      <c r="IQ32" s="43"/>
      <c r="IR32" s="43"/>
      <c r="IS32" s="43"/>
      <c r="IT32" s="43"/>
      <c r="IU32" s="43"/>
      <c r="IV32" s="43"/>
      <c r="IW32" s="43"/>
      <c r="IX32" s="43"/>
      <c r="IY32" s="43"/>
      <c r="IZ32" s="43"/>
      <c r="JA32" s="43"/>
      <c r="JB32" s="43"/>
      <c r="JC32" s="43"/>
      <c r="JD32" s="43"/>
      <c r="JE32" s="43"/>
      <c r="JF32" s="43"/>
      <c r="JG32" s="43"/>
      <c r="JH32" s="43"/>
      <c r="JI32" s="43"/>
      <c r="JJ32" s="43"/>
      <c r="JK32" s="43"/>
      <c r="JL32" s="43"/>
      <c r="JM32" s="43"/>
      <c r="JN32" s="43"/>
      <c r="JO32" s="43"/>
      <c r="JP32" s="43"/>
      <c r="JQ32" s="43"/>
      <c r="JR32" s="43"/>
      <c r="JS32" s="43"/>
      <c r="JT32" s="43"/>
      <c r="JU32" s="43"/>
      <c r="JV32" s="43"/>
      <c r="JW32" s="43"/>
      <c r="JX32" s="43"/>
      <c r="JY32" s="43"/>
      <c r="JZ32" s="43"/>
      <c r="KA32" s="43"/>
      <c r="KB32" s="43"/>
      <c r="KC32" s="43"/>
      <c r="KD32" s="43"/>
      <c r="KE32" s="43"/>
      <c r="KF32" s="43"/>
      <c r="KG32" s="43"/>
      <c r="KH32" s="43"/>
      <c r="KI32" s="43"/>
      <c r="KJ32" s="43"/>
      <c r="KK32" s="43"/>
      <c r="KL32" s="43"/>
      <c r="KM32" s="43"/>
      <c r="KN32" s="43"/>
      <c r="KO32" s="43"/>
      <c r="KP32" s="43"/>
      <c r="KQ32" s="43"/>
      <c r="KR32" s="43"/>
      <c r="KS32" s="43"/>
      <c r="KT32" s="43"/>
      <c r="KU32" s="43"/>
      <c r="KV32" s="43"/>
      <c r="KW32" s="43"/>
      <c r="KX32" s="43"/>
      <c r="KY32" s="43"/>
      <c r="KZ32" s="43"/>
      <c r="LA32" s="43"/>
      <c r="LB32" s="43"/>
      <c r="LC32" s="43"/>
      <c r="LD32" s="43"/>
      <c r="LE32" s="43"/>
      <c r="LF32" s="43"/>
      <c r="LG32" s="43"/>
      <c r="LH32" s="43"/>
      <c r="LI32" s="43"/>
      <c r="LJ32" s="43"/>
      <c r="LK32" s="43"/>
      <c r="LL32" s="43"/>
      <c r="LM32" s="43"/>
      <c r="LN32" s="43"/>
      <c r="LO32" s="43"/>
      <c r="LP32" s="43"/>
      <c r="LQ32" s="43"/>
      <c r="LR32" s="43"/>
      <c r="LS32" s="43"/>
      <c r="LT32" s="43"/>
      <c r="LU32" s="43"/>
      <c r="LV32" s="43"/>
      <c r="LW32" s="43"/>
      <c r="LX32" s="43"/>
      <c r="LY32" s="43"/>
      <c r="LZ32" s="43"/>
      <c r="MA32" s="43"/>
      <c r="MB32" s="43"/>
      <c r="MC32" s="43"/>
      <c r="MD32" s="43"/>
      <c r="ME32" s="43"/>
      <c r="MF32" s="43"/>
      <c r="MG32" s="43"/>
      <c r="MH32" s="43"/>
      <c r="MI32" s="43"/>
      <c r="MJ32" s="43"/>
      <c r="MK32" s="43"/>
      <c r="ML32" s="43"/>
      <c r="MM32" s="43"/>
      <c r="MN32" s="43"/>
      <c r="MO32" s="43"/>
      <c r="MP32" s="43"/>
      <c r="MQ32" s="43"/>
      <c r="MR32" s="43"/>
      <c r="MS32" s="43"/>
      <c r="MT32" s="43"/>
      <c r="MU32" s="43"/>
      <c r="MV32" s="43"/>
      <c r="MW32" s="43"/>
      <c r="MX32" s="43"/>
      <c r="MY32" s="43"/>
      <c r="MZ32" s="43"/>
      <c r="NA32" s="43"/>
      <c r="NB32" s="43"/>
      <c r="NC32" s="43"/>
      <c r="ND32" s="43"/>
      <c r="NE32" s="43"/>
      <c r="NF32" s="43"/>
      <c r="NG32" s="43"/>
      <c r="NH32" s="43"/>
      <c r="NI32" s="43"/>
      <c r="NJ32" s="43"/>
      <c r="NK32" s="43"/>
      <c r="NL32" s="44"/>
    </row>
    <row r="33" spans="1:376" x14ac:dyDescent="0.15">
      <c r="A33" s="23">
        <v>11</v>
      </c>
      <c r="B33" s="24" t="s">
        <v>120</v>
      </c>
      <c r="C33" s="45" t="s">
        <v>127</v>
      </c>
      <c r="D33" s="26" t="s">
        <v>165</v>
      </c>
      <c r="E33" s="46" t="s">
        <v>13</v>
      </c>
      <c r="F33" s="47">
        <v>42891</v>
      </c>
      <c r="G33" s="47">
        <v>42924</v>
      </c>
      <c r="H33" s="29">
        <f t="shared" si="229"/>
        <v>20</v>
      </c>
      <c r="I33" s="48"/>
      <c r="J33" s="49"/>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1"/>
      <c r="AQ33" s="51"/>
      <c r="AR33" s="51"/>
      <c r="AS33" s="51"/>
      <c r="AT33" s="51"/>
      <c r="AU33" s="51"/>
      <c r="AV33" s="51"/>
      <c r="AW33" s="51"/>
      <c r="AX33" s="51"/>
      <c r="AY33" s="51"/>
      <c r="AZ33" s="51"/>
      <c r="BA33" s="51"/>
      <c r="BB33" s="51"/>
      <c r="BC33" s="51"/>
      <c r="BD33" s="51"/>
      <c r="BE33" s="51"/>
      <c r="BF33" s="51"/>
      <c r="BG33" s="51"/>
      <c r="BH33" s="51"/>
      <c r="BI33" s="51"/>
      <c r="BJ33" s="51"/>
      <c r="BK33" s="51"/>
      <c r="BL33" s="51"/>
      <c r="BM33" s="51"/>
      <c r="BN33" s="51"/>
      <c r="BO33" s="51"/>
      <c r="BP33" s="51"/>
      <c r="BQ33" s="51"/>
      <c r="BR33" s="51"/>
      <c r="BS33" s="51"/>
      <c r="BT33" s="51"/>
      <c r="BU33" s="51"/>
      <c r="BV33" s="51"/>
      <c r="BW33" s="51"/>
      <c r="BX33" s="51"/>
      <c r="BY33" s="51"/>
      <c r="BZ33" s="51">
        <v>4</v>
      </c>
      <c r="CA33" s="51"/>
      <c r="CB33" s="51"/>
      <c r="CC33" s="51"/>
      <c r="CD33" s="51"/>
      <c r="CE33" s="51"/>
      <c r="CF33" s="51"/>
      <c r="CG33" s="51">
        <v>4</v>
      </c>
      <c r="CH33" s="51"/>
      <c r="CI33" s="51"/>
      <c r="CJ33" s="51"/>
      <c r="CK33" s="51"/>
      <c r="CL33" s="51"/>
      <c r="CM33" s="51"/>
      <c r="CN33" s="51">
        <v>4</v>
      </c>
      <c r="CO33" s="51"/>
      <c r="CP33" s="51"/>
      <c r="CQ33" s="51"/>
      <c r="CR33" s="51"/>
      <c r="CS33" s="51"/>
      <c r="CT33" s="51"/>
      <c r="CU33" s="51">
        <v>4</v>
      </c>
      <c r="CV33" s="51"/>
      <c r="CW33" s="51"/>
      <c r="CX33" s="51"/>
      <c r="CY33" s="51"/>
      <c r="CZ33" s="51"/>
      <c r="DA33" s="51"/>
      <c r="DB33" s="51">
        <v>4</v>
      </c>
      <c r="DC33" s="51"/>
      <c r="DD33" s="51"/>
      <c r="DE33" s="51"/>
      <c r="DF33" s="51"/>
      <c r="DG33" s="51"/>
      <c r="DH33" s="51"/>
      <c r="DI33" s="51"/>
      <c r="DJ33" s="51"/>
      <c r="DK33" s="51"/>
      <c r="DL33" s="51"/>
      <c r="DM33" s="51"/>
      <c r="DN33" s="51"/>
      <c r="DO33" s="51"/>
      <c r="DP33" s="51"/>
      <c r="DQ33" s="51"/>
      <c r="DR33" s="51"/>
      <c r="DS33" s="51"/>
      <c r="DT33" s="51"/>
      <c r="DU33" s="51"/>
      <c r="DV33" s="51"/>
      <c r="DW33" s="51"/>
      <c r="DX33" s="51"/>
      <c r="DY33" s="51"/>
      <c r="DZ33" s="51"/>
      <c r="EA33" s="51"/>
      <c r="EB33" s="51"/>
      <c r="EC33" s="51"/>
      <c r="ED33" s="51"/>
      <c r="EE33" s="51"/>
      <c r="EF33" s="51"/>
      <c r="EG33" s="51"/>
      <c r="EH33" s="51"/>
      <c r="EI33" s="51"/>
      <c r="EJ33" s="51"/>
      <c r="EK33" s="51"/>
      <c r="EL33" s="51"/>
      <c r="EM33" s="51"/>
      <c r="EN33" s="51"/>
      <c r="EO33" s="51"/>
      <c r="EP33" s="51"/>
      <c r="EQ33" s="51"/>
      <c r="ER33" s="51"/>
      <c r="ES33" s="51"/>
      <c r="ET33" s="51"/>
      <c r="EU33" s="51"/>
      <c r="EV33" s="51"/>
      <c r="EW33" s="51"/>
      <c r="EX33" s="51"/>
      <c r="EY33" s="51"/>
      <c r="EZ33" s="51"/>
      <c r="FA33" s="51"/>
      <c r="FB33" s="51"/>
      <c r="FC33" s="51"/>
      <c r="FD33" s="51"/>
      <c r="FE33" s="51"/>
      <c r="FF33" s="51"/>
      <c r="FG33" s="51"/>
      <c r="FH33" s="51"/>
      <c r="FI33" s="51"/>
      <c r="FJ33" s="51"/>
      <c r="FK33" s="51"/>
      <c r="FL33" s="51"/>
      <c r="FM33" s="51"/>
      <c r="FN33" s="51"/>
      <c r="FO33" s="51"/>
      <c r="FP33" s="51"/>
      <c r="FQ33" s="51"/>
      <c r="FR33" s="51"/>
      <c r="FS33" s="51"/>
      <c r="FT33" s="51"/>
      <c r="FU33" s="51"/>
      <c r="FV33" s="51"/>
      <c r="FW33" s="51"/>
      <c r="FX33" s="51"/>
      <c r="FY33" s="51"/>
      <c r="FZ33" s="51"/>
      <c r="GA33" s="51"/>
      <c r="GB33" s="51"/>
      <c r="GC33" s="51"/>
      <c r="GD33" s="51"/>
      <c r="GE33" s="51"/>
      <c r="GF33" s="51"/>
      <c r="GG33" s="51"/>
      <c r="GH33" s="51"/>
      <c r="GI33" s="51"/>
      <c r="GJ33" s="51"/>
      <c r="GK33" s="51"/>
      <c r="GL33" s="51"/>
      <c r="GM33" s="51"/>
      <c r="GN33" s="51"/>
      <c r="GO33" s="51"/>
      <c r="GP33" s="51"/>
      <c r="GQ33" s="51"/>
      <c r="GR33" s="51"/>
      <c r="GS33" s="51"/>
      <c r="GT33" s="51"/>
      <c r="GU33" s="51"/>
      <c r="GV33" s="51"/>
      <c r="GW33" s="51"/>
      <c r="GX33" s="51"/>
      <c r="GY33" s="51"/>
      <c r="GZ33" s="51"/>
      <c r="HA33" s="51"/>
      <c r="HB33" s="51"/>
      <c r="HC33" s="51"/>
      <c r="HD33" s="51"/>
      <c r="HE33" s="51"/>
      <c r="HF33" s="51"/>
      <c r="HG33" s="51"/>
      <c r="HH33" s="51"/>
      <c r="HI33" s="51"/>
      <c r="HJ33" s="51"/>
      <c r="HK33" s="51"/>
      <c r="HL33" s="51"/>
      <c r="HM33" s="51"/>
      <c r="HN33" s="51"/>
      <c r="HO33" s="51"/>
      <c r="HP33" s="51"/>
      <c r="HQ33" s="51"/>
      <c r="HR33" s="51"/>
      <c r="HS33" s="51"/>
      <c r="HT33" s="51"/>
      <c r="HU33" s="51"/>
      <c r="HV33" s="51"/>
      <c r="HW33" s="51"/>
      <c r="HX33" s="51"/>
      <c r="HY33" s="51"/>
      <c r="HZ33" s="51"/>
      <c r="IA33" s="51"/>
      <c r="IB33" s="51"/>
      <c r="IC33" s="51"/>
      <c r="ID33" s="51"/>
      <c r="IE33" s="51"/>
      <c r="IF33" s="51"/>
      <c r="IG33" s="51"/>
      <c r="IH33" s="51"/>
      <c r="II33" s="51"/>
      <c r="IJ33" s="51"/>
      <c r="IK33" s="51"/>
      <c r="IL33" s="51"/>
      <c r="IM33" s="51"/>
      <c r="IN33" s="51"/>
      <c r="IO33" s="51"/>
      <c r="IP33" s="51"/>
      <c r="IQ33" s="51"/>
      <c r="IR33" s="51"/>
      <c r="IS33" s="51"/>
      <c r="IT33" s="51"/>
      <c r="IU33" s="51"/>
      <c r="IV33" s="51"/>
      <c r="IW33" s="51"/>
      <c r="IX33" s="51"/>
      <c r="IY33" s="51"/>
      <c r="IZ33" s="51"/>
      <c r="JA33" s="51"/>
      <c r="JB33" s="51"/>
      <c r="JC33" s="51"/>
      <c r="JD33" s="51"/>
      <c r="JE33" s="51"/>
      <c r="JF33" s="51"/>
      <c r="JG33" s="51"/>
      <c r="JH33" s="51"/>
      <c r="JI33" s="51"/>
      <c r="JJ33" s="51"/>
      <c r="JK33" s="51"/>
      <c r="JL33" s="51"/>
      <c r="JM33" s="51"/>
      <c r="JN33" s="51"/>
      <c r="JO33" s="51"/>
      <c r="JP33" s="51"/>
      <c r="JQ33" s="51"/>
      <c r="JR33" s="51"/>
      <c r="JS33" s="51"/>
      <c r="JT33" s="51"/>
      <c r="JU33" s="51"/>
      <c r="JV33" s="51"/>
      <c r="JW33" s="51"/>
      <c r="JX33" s="51"/>
      <c r="JY33" s="51"/>
      <c r="JZ33" s="51"/>
      <c r="KA33" s="51"/>
      <c r="KB33" s="51"/>
      <c r="KC33" s="51"/>
      <c r="KD33" s="51"/>
      <c r="KE33" s="51"/>
      <c r="KF33" s="51"/>
      <c r="KG33" s="51"/>
      <c r="KH33" s="51"/>
      <c r="KI33" s="51"/>
      <c r="KJ33" s="51"/>
      <c r="KK33" s="51"/>
      <c r="KL33" s="51"/>
      <c r="KM33" s="51"/>
      <c r="KN33" s="51"/>
      <c r="KO33" s="51"/>
      <c r="KP33" s="51"/>
      <c r="KQ33" s="51"/>
      <c r="KR33" s="51"/>
      <c r="KS33" s="51"/>
      <c r="KT33" s="51"/>
      <c r="KU33" s="51"/>
      <c r="KV33" s="51"/>
      <c r="KW33" s="51"/>
      <c r="KX33" s="51"/>
      <c r="KY33" s="51"/>
      <c r="KZ33" s="51"/>
      <c r="LA33" s="51"/>
      <c r="LB33" s="51"/>
      <c r="LC33" s="51"/>
      <c r="LD33" s="51"/>
      <c r="LE33" s="51"/>
      <c r="LF33" s="51"/>
      <c r="LG33" s="51"/>
      <c r="LH33" s="51"/>
      <c r="LI33" s="51"/>
      <c r="LJ33" s="51"/>
      <c r="LK33" s="51"/>
      <c r="LL33" s="51"/>
      <c r="LM33" s="51"/>
      <c r="LN33" s="51"/>
      <c r="LO33" s="51"/>
      <c r="LP33" s="51"/>
      <c r="LQ33" s="51"/>
      <c r="LR33" s="51"/>
      <c r="LS33" s="51"/>
      <c r="LT33" s="51"/>
      <c r="LU33" s="51"/>
      <c r="LV33" s="51"/>
      <c r="LW33" s="51"/>
      <c r="LX33" s="51"/>
      <c r="LY33" s="51"/>
      <c r="LZ33" s="51"/>
      <c r="MA33" s="51"/>
      <c r="MB33" s="51"/>
      <c r="MC33" s="51"/>
      <c r="MD33" s="51"/>
      <c r="ME33" s="51"/>
      <c r="MF33" s="51"/>
      <c r="MG33" s="51"/>
      <c r="MH33" s="51"/>
      <c r="MI33" s="51"/>
      <c r="MJ33" s="51"/>
      <c r="MK33" s="51"/>
      <c r="ML33" s="51"/>
      <c r="MM33" s="51"/>
      <c r="MN33" s="51"/>
      <c r="MO33" s="51"/>
      <c r="MP33" s="51"/>
      <c r="MQ33" s="51"/>
      <c r="MR33" s="51"/>
      <c r="MS33" s="51"/>
      <c r="MT33" s="51"/>
      <c r="MU33" s="51"/>
      <c r="MV33" s="51"/>
      <c r="MW33" s="51"/>
      <c r="MX33" s="51"/>
      <c r="MY33" s="51"/>
      <c r="MZ33" s="51"/>
      <c r="NA33" s="51"/>
      <c r="NB33" s="51"/>
      <c r="NC33" s="51"/>
      <c r="ND33" s="51"/>
      <c r="NE33" s="51"/>
      <c r="NF33" s="51"/>
      <c r="NG33" s="51"/>
      <c r="NH33" s="51"/>
      <c r="NI33" s="51"/>
      <c r="NJ33" s="51"/>
      <c r="NK33" s="51"/>
      <c r="NL33" s="52"/>
    </row>
    <row r="34" spans="1:376" x14ac:dyDescent="0.15">
      <c r="A34" s="35">
        <f>A33</f>
        <v>11</v>
      </c>
      <c r="B34" s="36" t="str">
        <f>B33</f>
        <v>FD</v>
      </c>
      <c r="C34" s="36" t="str">
        <f>C33</f>
        <v>Webアプリ機能評価仕様書作成</v>
      </c>
      <c r="D34" s="37" t="str">
        <f>D33</f>
        <v>高澤</v>
      </c>
      <c r="E34" s="53" t="s">
        <v>0</v>
      </c>
      <c r="F34" s="54"/>
      <c r="G34" s="54"/>
      <c r="H34" s="55">
        <f t="shared" si="229"/>
        <v>0</v>
      </c>
      <c r="I34" s="56">
        <f>IF(OR(H33="",H34=""),"",H34-H33)</f>
        <v>-20</v>
      </c>
      <c r="J34" s="57"/>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59"/>
      <c r="CA34" s="59"/>
      <c r="CB34" s="59"/>
      <c r="CC34" s="59"/>
      <c r="CD34" s="59"/>
      <c r="CE34" s="59"/>
      <c r="CF34" s="59"/>
      <c r="CG34" s="59"/>
      <c r="CH34" s="59"/>
      <c r="CI34" s="59"/>
      <c r="CJ34" s="59"/>
      <c r="CK34" s="59"/>
      <c r="CL34" s="59"/>
      <c r="CM34" s="59"/>
      <c r="CN34" s="59"/>
      <c r="CO34" s="59"/>
      <c r="CP34" s="59"/>
      <c r="CQ34" s="59"/>
      <c r="CR34" s="59"/>
      <c r="CS34" s="59"/>
      <c r="CT34" s="59"/>
      <c r="CU34" s="59"/>
      <c r="CV34" s="59"/>
      <c r="CW34" s="59"/>
      <c r="CX34" s="59"/>
      <c r="CY34" s="59"/>
      <c r="CZ34" s="59"/>
      <c r="DA34" s="59"/>
      <c r="DB34" s="59"/>
      <c r="DC34" s="59"/>
      <c r="DD34" s="59"/>
      <c r="DE34" s="59"/>
      <c r="DF34" s="59"/>
      <c r="DG34" s="59"/>
      <c r="DH34" s="59"/>
      <c r="DI34" s="59"/>
      <c r="DJ34" s="59"/>
      <c r="DK34" s="59"/>
      <c r="DL34" s="59"/>
      <c r="DM34" s="59"/>
      <c r="DN34" s="59"/>
      <c r="DO34" s="59"/>
      <c r="DP34" s="59"/>
      <c r="DQ34" s="59"/>
      <c r="DR34" s="59"/>
      <c r="DS34" s="59"/>
      <c r="DT34" s="59"/>
      <c r="DU34" s="59"/>
      <c r="DV34" s="59"/>
      <c r="DW34" s="59"/>
      <c r="DX34" s="59"/>
      <c r="DY34" s="59"/>
      <c r="DZ34" s="59"/>
      <c r="EA34" s="59"/>
      <c r="EB34" s="59"/>
      <c r="EC34" s="59"/>
      <c r="ED34" s="59"/>
      <c r="EE34" s="59"/>
      <c r="EF34" s="59"/>
      <c r="EG34" s="59"/>
      <c r="EH34" s="59"/>
      <c r="EI34" s="59"/>
      <c r="EJ34" s="59"/>
      <c r="EK34" s="59"/>
      <c r="EL34" s="59"/>
      <c r="EM34" s="59"/>
      <c r="EN34" s="59"/>
      <c r="EO34" s="59"/>
      <c r="EP34" s="59"/>
      <c r="EQ34" s="59"/>
      <c r="ER34" s="59"/>
      <c r="ES34" s="59"/>
      <c r="ET34" s="59"/>
      <c r="EU34" s="59"/>
      <c r="EV34" s="59"/>
      <c r="EW34" s="59"/>
      <c r="EX34" s="59"/>
      <c r="EY34" s="59"/>
      <c r="EZ34" s="59"/>
      <c r="FA34" s="59"/>
      <c r="FB34" s="59"/>
      <c r="FC34" s="59"/>
      <c r="FD34" s="59"/>
      <c r="FE34" s="59"/>
      <c r="FF34" s="59"/>
      <c r="FG34" s="59"/>
      <c r="FH34" s="59"/>
      <c r="FI34" s="59"/>
      <c r="FJ34" s="59"/>
      <c r="FK34" s="59"/>
      <c r="FL34" s="59"/>
      <c r="FM34" s="59"/>
      <c r="FN34" s="59"/>
      <c r="FO34" s="59"/>
      <c r="FP34" s="59"/>
      <c r="FQ34" s="59"/>
      <c r="FR34" s="59"/>
      <c r="FS34" s="59"/>
      <c r="FT34" s="59"/>
      <c r="FU34" s="59"/>
      <c r="FV34" s="59"/>
      <c r="FW34" s="59"/>
      <c r="FX34" s="59"/>
      <c r="FY34" s="59"/>
      <c r="FZ34" s="59"/>
      <c r="GA34" s="59"/>
      <c r="GB34" s="59"/>
      <c r="GC34" s="59"/>
      <c r="GD34" s="59"/>
      <c r="GE34" s="59"/>
      <c r="GF34" s="59"/>
      <c r="GG34" s="59"/>
      <c r="GH34" s="59"/>
      <c r="GI34" s="59"/>
      <c r="GJ34" s="59"/>
      <c r="GK34" s="59"/>
      <c r="GL34" s="59"/>
      <c r="GM34" s="59"/>
      <c r="GN34" s="59"/>
      <c r="GO34" s="59"/>
      <c r="GP34" s="59"/>
      <c r="GQ34" s="59"/>
      <c r="GR34" s="59"/>
      <c r="GS34" s="59"/>
      <c r="GT34" s="59"/>
      <c r="GU34" s="59"/>
      <c r="GV34" s="59"/>
      <c r="GW34" s="59"/>
      <c r="GX34" s="59"/>
      <c r="GY34" s="59"/>
      <c r="GZ34" s="59"/>
      <c r="HA34" s="59"/>
      <c r="HB34" s="59"/>
      <c r="HC34" s="59"/>
      <c r="HD34" s="59"/>
      <c r="HE34" s="59"/>
      <c r="HF34" s="59"/>
      <c r="HG34" s="59"/>
      <c r="HH34" s="59"/>
      <c r="HI34" s="59"/>
      <c r="HJ34" s="59"/>
      <c r="HK34" s="59"/>
      <c r="HL34" s="59"/>
      <c r="HM34" s="59"/>
      <c r="HN34" s="59"/>
      <c r="HO34" s="59"/>
      <c r="HP34" s="59"/>
      <c r="HQ34" s="59"/>
      <c r="HR34" s="59"/>
      <c r="HS34" s="59"/>
      <c r="HT34" s="59"/>
      <c r="HU34" s="59"/>
      <c r="HV34" s="59"/>
      <c r="HW34" s="59"/>
      <c r="HX34" s="59"/>
      <c r="HY34" s="59"/>
      <c r="HZ34" s="59"/>
      <c r="IA34" s="59"/>
      <c r="IB34" s="59"/>
      <c r="IC34" s="59"/>
      <c r="ID34" s="59"/>
      <c r="IE34" s="59"/>
      <c r="IF34" s="59"/>
      <c r="IG34" s="59"/>
      <c r="IH34" s="59"/>
      <c r="II34" s="59"/>
      <c r="IJ34" s="59"/>
      <c r="IK34" s="59"/>
      <c r="IL34" s="59"/>
      <c r="IM34" s="59"/>
      <c r="IN34" s="59"/>
      <c r="IO34" s="59"/>
      <c r="IP34" s="59"/>
      <c r="IQ34" s="59"/>
      <c r="IR34" s="59"/>
      <c r="IS34" s="59"/>
      <c r="IT34" s="59"/>
      <c r="IU34" s="59"/>
      <c r="IV34" s="59"/>
      <c r="IW34" s="59"/>
      <c r="IX34" s="59"/>
      <c r="IY34" s="59"/>
      <c r="IZ34" s="59"/>
      <c r="JA34" s="59"/>
      <c r="JB34" s="59"/>
      <c r="JC34" s="59"/>
      <c r="JD34" s="59"/>
      <c r="JE34" s="59"/>
      <c r="JF34" s="59"/>
      <c r="JG34" s="59"/>
      <c r="JH34" s="59"/>
      <c r="JI34" s="59"/>
      <c r="JJ34" s="59"/>
      <c r="JK34" s="59"/>
      <c r="JL34" s="59"/>
      <c r="JM34" s="59"/>
      <c r="JN34" s="59"/>
      <c r="JO34" s="59"/>
      <c r="JP34" s="59"/>
      <c r="JQ34" s="59"/>
      <c r="JR34" s="59"/>
      <c r="JS34" s="59"/>
      <c r="JT34" s="59"/>
      <c r="JU34" s="59"/>
      <c r="JV34" s="59"/>
      <c r="JW34" s="59"/>
      <c r="JX34" s="59"/>
      <c r="JY34" s="59"/>
      <c r="JZ34" s="59"/>
      <c r="KA34" s="59"/>
      <c r="KB34" s="59"/>
      <c r="KC34" s="59"/>
      <c r="KD34" s="59"/>
      <c r="KE34" s="59"/>
      <c r="KF34" s="59"/>
      <c r="KG34" s="59"/>
      <c r="KH34" s="59"/>
      <c r="KI34" s="59"/>
      <c r="KJ34" s="59"/>
      <c r="KK34" s="59"/>
      <c r="KL34" s="59"/>
      <c r="KM34" s="59"/>
      <c r="KN34" s="59"/>
      <c r="KO34" s="59"/>
      <c r="KP34" s="59"/>
      <c r="KQ34" s="59"/>
      <c r="KR34" s="59"/>
      <c r="KS34" s="59"/>
      <c r="KT34" s="59"/>
      <c r="KU34" s="59"/>
      <c r="KV34" s="59"/>
      <c r="KW34" s="59"/>
      <c r="KX34" s="59"/>
      <c r="KY34" s="59"/>
      <c r="KZ34" s="59"/>
      <c r="LA34" s="59"/>
      <c r="LB34" s="59"/>
      <c r="LC34" s="59"/>
      <c r="LD34" s="59"/>
      <c r="LE34" s="59"/>
      <c r="LF34" s="59"/>
      <c r="LG34" s="59"/>
      <c r="LH34" s="59"/>
      <c r="LI34" s="59"/>
      <c r="LJ34" s="59"/>
      <c r="LK34" s="59"/>
      <c r="LL34" s="59"/>
      <c r="LM34" s="59"/>
      <c r="LN34" s="59"/>
      <c r="LO34" s="59"/>
      <c r="LP34" s="59"/>
      <c r="LQ34" s="59"/>
      <c r="LR34" s="59"/>
      <c r="LS34" s="59"/>
      <c r="LT34" s="59"/>
      <c r="LU34" s="59"/>
      <c r="LV34" s="59"/>
      <c r="LW34" s="59"/>
      <c r="LX34" s="59"/>
      <c r="LY34" s="59"/>
      <c r="LZ34" s="59"/>
      <c r="MA34" s="59"/>
      <c r="MB34" s="59"/>
      <c r="MC34" s="59"/>
      <c r="MD34" s="59"/>
      <c r="ME34" s="59"/>
      <c r="MF34" s="59"/>
      <c r="MG34" s="59"/>
      <c r="MH34" s="59"/>
      <c r="MI34" s="59"/>
      <c r="MJ34" s="59"/>
      <c r="MK34" s="59"/>
      <c r="ML34" s="59"/>
      <c r="MM34" s="59"/>
      <c r="MN34" s="59"/>
      <c r="MO34" s="59"/>
      <c r="MP34" s="59"/>
      <c r="MQ34" s="59"/>
      <c r="MR34" s="59"/>
      <c r="MS34" s="59"/>
      <c r="MT34" s="59"/>
      <c r="MU34" s="59"/>
      <c r="MV34" s="59"/>
      <c r="MW34" s="59"/>
      <c r="MX34" s="59"/>
      <c r="MY34" s="59"/>
      <c r="MZ34" s="59"/>
      <c r="NA34" s="59"/>
      <c r="NB34" s="59"/>
      <c r="NC34" s="59"/>
      <c r="ND34" s="59"/>
      <c r="NE34" s="59"/>
      <c r="NF34" s="59"/>
      <c r="NG34" s="59"/>
      <c r="NH34" s="59"/>
      <c r="NI34" s="59"/>
      <c r="NJ34" s="59"/>
      <c r="NK34" s="59"/>
      <c r="NL34" s="60"/>
    </row>
    <row r="35" spans="1:376" x14ac:dyDescent="0.15">
      <c r="A35" s="23">
        <v>12</v>
      </c>
      <c r="B35" s="24" t="s">
        <v>120</v>
      </c>
      <c r="C35" s="45" t="s">
        <v>128</v>
      </c>
      <c r="D35" s="26" t="s">
        <v>164</v>
      </c>
      <c r="E35" s="27" t="s">
        <v>13</v>
      </c>
      <c r="F35" s="28">
        <v>42924</v>
      </c>
      <c r="G35" s="28">
        <v>42924</v>
      </c>
      <c r="H35" s="29">
        <f t="shared" si="229"/>
        <v>4</v>
      </c>
      <c r="I35" s="30"/>
      <c r="J35" s="31"/>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3"/>
      <c r="AQ35" s="33"/>
      <c r="AR35" s="33"/>
      <c r="AS35" s="33"/>
      <c r="AT35" s="33"/>
      <c r="AU35" s="33"/>
      <c r="AV35" s="33"/>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33"/>
      <c r="CG35" s="33"/>
      <c r="CH35" s="33"/>
      <c r="CI35" s="33"/>
      <c r="CJ35" s="33"/>
      <c r="CK35" s="33"/>
      <c r="CL35" s="33"/>
      <c r="CM35" s="33"/>
      <c r="CN35" s="33"/>
      <c r="CO35" s="33"/>
      <c r="CP35" s="33"/>
      <c r="CQ35" s="33"/>
      <c r="CR35" s="33"/>
      <c r="CS35" s="33"/>
      <c r="CT35" s="33"/>
      <c r="CU35" s="33"/>
      <c r="CV35" s="33"/>
      <c r="CW35" s="33"/>
      <c r="CX35" s="33"/>
      <c r="CY35" s="33"/>
      <c r="CZ35" s="33"/>
      <c r="DA35" s="33"/>
      <c r="DB35" s="33">
        <v>4</v>
      </c>
      <c r="DC35" s="33"/>
      <c r="DD35" s="33"/>
      <c r="DE35" s="33"/>
      <c r="DF35" s="33"/>
      <c r="DG35" s="33"/>
      <c r="DH35" s="33"/>
      <c r="DI35" s="33"/>
      <c r="DJ35" s="33"/>
      <c r="DK35" s="33"/>
      <c r="DL35" s="33"/>
      <c r="DM35" s="33"/>
      <c r="DN35" s="33"/>
      <c r="DO35" s="33"/>
      <c r="DP35" s="33"/>
      <c r="DQ35" s="33"/>
      <c r="DR35" s="33"/>
      <c r="DS35" s="33"/>
      <c r="DT35" s="33"/>
      <c r="DU35" s="33"/>
      <c r="DV35" s="33"/>
      <c r="DW35" s="33"/>
      <c r="DX35" s="33"/>
      <c r="DY35" s="33"/>
      <c r="DZ35" s="33"/>
      <c r="EA35" s="33"/>
      <c r="EB35" s="33"/>
      <c r="EC35" s="33"/>
      <c r="ED35" s="33"/>
      <c r="EE35" s="33"/>
      <c r="EF35" s="33"/>
      <c r="EG35" s="33"/>
      <c r="EH35" s="33"/>
      <c r="EI35" s="33"/>
      <c r="EJ35" s="33"/>
      <c r="EK35" s="33"/>
      <c r="EL35" s="33"/>
      <c r="EM35" s="33"/>
      <c r="EN35" s="33"/>
      <c r="EO35" s="33"/>
      <c r="EP35" s="33"/>
      <c r="EQ35" s="33"/>
      <c r="ER35" s="33"/>
      <c r="ES35" s="33"/>
      <c r="ET35" s="33"/>
      <c r="EU35" s="33"/>
      <c r="EV35" s="33"/>
      <c r="EW35" s="33"/>
      <c r="EX35" s="33"/>
      <c r="EY35" s="33"/>
      <c r="EZ35" s="33"/>
      <c r="FA35" s="33"/>
      <c r="FB35" s="33"/>
      <c r="FC35" s="33"/>
      <c r="FD35" s="33"/>
      <c r="FE35" s="33"/>
      <c r="FF35" s="33"/>
      <c r="FG35" s="33"/>
      <c r="FH35" s="33"/>
      <c r="FI35" s="33"/>
      <c r="FJ35" s="33"/>
      <c r="FK35" s="33"/>
      <c r="FL35" s="33"/>
      <c r="FM35" s="33"/>
      <c r="FN35" s="33"/>
      <c r="FO35" s="33"/>
      <c r="FP35" s="33"/>
      <c r="FQ35" s="33"/>
      <c r="FR35" s="33"/>
      <c r="FS35" s="33"/>
      <c r="FT35" s="33"/>
      <c r="FU35" s="33"/>
      <c r="FV35" s="33"/>
      <c r="FW35" s="33"/>
      <c r="FX35" s="33"/>
      <c r="FY35" s="33"/>
      <c r="FZ35" s="33"/>
      <c r="GA35" s="33"/>
      <c r="GB35" s="33"/>
      <c r="GC35" s="33"/>
      <c r="GD35" s="33"/>
      <c r="GE35" s="33"/>
      <c r="GF35" s="33"/>
      <c r="GG35" s="33"/>
      <c r="GH35" s="33"/>
      <c r="GI35" s="33"/>
      <c r="GJ35" s="33"/>
      <c r="GK35" s="33"/>
      <c r="GL35" s="33"/>
      <c r="GM35" s="33"/>
      <c r="GN35" s="33"/>
      <c r="GO35" s="33"/>
      <c r="GP35" s="33"/>
      <c r="GQ35" s="33"/>
      <c r="GR35" s="33"/>
      <c r="GS35" s="33"/>
      <c r="GT35" s="33"/>
      <c r="GU35" s="33"/>
      <c r="GV35" s="33"/>
      <c r="GW35" s="33"/>
      <c r="GX35" s="33"/>
      <c r="GY35" s="33"/>
      <c r="GZ35" s="33"/>
      <c r="HA35" s="33"/>
      <c r="HB35" s="33"/>
      <c r="HC35" s="33"/>
      <c r="HD35" s="33"/>
      <c r="HE35" s="33"/>
      <c r="HF35" s="33"/>
      <c r="HG35" s="33"/>
      <c r="HH35" s="33"/>
      <c r="HI35" s="33"/>
      <c r="HJ35" s="33"/>
      <c r="HK35" s="33"/>
      <c r="HL35" s="33"/>
      <c r="HM35" s="33"/>
      <c r="HN35" s="33"/>
      <c r="HO35" s="33"/>
      <c r="HP35" s="33"/>
      <c r="HQ35" s="33"/>
      <c r="HR35" s="33"/>
      <c r="HS35" s="33"/>
      <c r="HT35" s="33"/>
      <c r="HU35" s="33"/>
      <c r="HV35" s="33"/>
      <c r="HW35" s="33"/>
      <c r="HX35" s="33"/>
      <c r="HY35" s="33"/>
      <c r="HZ35" s="33"/>
      <c r="IA35" s="33"/>
      <c r="IB35" s="33"/>
      <c r="IC35" s="33"/>
      <c r="ID35" s="33"/>
      <c r="IE35" s="33"/>
      <c r="IF35" s="33"/>
      <c r="IG35" s="33"/>
      <c r="IH35" s="33"/>
      <c r="II35" s="33"/>
      <c r="IJ35" s="33"/>
      <c r="IK35" s="33"/>
      <c r="IL35" s="33"/>
      <c r="IM35" s="33"/>
      <c r="IN35" s="33"/>
      <c r="IO35" s="33"/>
      <c r="IP35" s="33"/>
      <c r="IQ35" s="33"/>
      <c r="IR35" s="33"/>
      <c r="IS35" s="33"/>
      <c r="IT35" s="33"/>
      <c r="IU35" s="33"/>
      <c r="IV35" s="33"/>
      <c r="IW35" s="33"/>
      <c r="IX35" s="33"/>
      <c r="IY35" s="33"/>
      <c r="IZ35" s="33"/>
      <c r="JA35" s="33"/>
      <c r="JB35" s="33"/>
      <c r="JC35" s="33"/>
      <c r="JD35" s="33"/>
      <c r="JE35" s="33"/>
      <c r="JF35" s="33"/>
      <c r="JG35" s="33"/>
      <c r="JH35" s="33"/>
      <c r="JI35" s="33"/>
      <c r="JJ35" s="33"/>
      <c r="JK35" s="33"/>
      <c r="JL35" s="33"/>
      <c r="JM35" s="33"/>
      <c r="JN35" s="33"/>
      <c r="JO35" s="33"/>
      <c r="JP35" s="33"/>
      <c r="JQ35" s="33"/>
      <c r="JR35" s="33"/>
      <c r="JS35" s="33"/>
      <c r="JT35" s="33"/>
      <c r="JU35" s="33"/>
      <c r="JV35" s="33"/>
      <c r="JW35" s="33"/>
      <c r="JX35" s="33"/>
      <c r="JY35" s="33"/>
      <c r="JZ35" s="33"/>
      <c r="KA35" s="33"/>
      <c r="KB35" s="33"/>
      <c r="KC35" s="33"/>
      <c r="KD35" s="33"/>
      <c r="KE35" s="33"/>
      <c r="KF35" s="33"/>
      <c r="KG35" s="33"/>
      <c r="KH35" s="33"/>
      <c r="KI35" s="33"/>
      <c r="KJ35" s="33"/>
      <c r="KK35" s="33"/>
      <c r="KL35" s="33"/>
      <c r="KM35" s="33"/>
      <c r="KN35" s="33"/>
      <c r="KO35" s="33"/>
      <c r="KP35" s="33"/>
      <c r="KQ35" s="33"/>
      <c r="KR35" s="33"/>
      <c r="KS35" s="33"/>
      <c r="KT35" s="33"/>
      <c r="KU35" s="33"/>
      <c r="KV35" s="33"/>
      <c r="KW35" s="33"/>
      <c r="KX35" s="33"/>
      <c r="KY35" s="33"/>
      <c r="KZ35" s="33"/>
      <c r="LA35" s="33"/>
      <c r="LB35" s="33"/>
      <c r="LC35" s="33"/>
      <c r="LD35" s="33"/>
      <c r="LE35" s="33"/>
      <c r="LF35" s="33"/>
      <c r="LG35" s="33"/>
      <c r="LH35" s="33"/>
      <c r="LI35" s="33"/>
      <c r="LJ35" s="33"/>
      <c r="LK35" s="33"/>
      <c r="LL35" s="33"/>
      <c r="LM35" s="33"/>
      <c r="LN35" s="33"/>
      <c r="LO35" s="33"/>
      <c r="LP35" s="33"/>
      <c r="LQ35" s="33"/>
      <c r="LR35" s="33"/>
      <c r="LS35" s="33"/>
      <c r="LT35" s="33"/>
      <c r="LU35" s="33"/>
      <c r="LV35" s="33"/>
      <c r="LW35" s="33"/>
      <c r="LX35" s="33"/>
      <c r="LY35" s="33"/>
      <c r="LZ35" s="33"/>
      <c r="MA35" s="33"/>
      <c r="MB35" s="33"/>
      <c r="MC35" s="33"/>
      <c r="MD35" s="33"/>
      <c r="ME35" s="33"/>
      <c r="MF35" s="33"/>
      <c r="MG35" s="33"/>
      <c r="MH35" s="33"/>
      <c r="MI35" s="33"/>
      <c r="MJ35" s="33"/>
      <c r="MK35" s="33"/>
      <c r="ML35" s="33"/>
      <c r="MM35" s="33"/>
      <c r="MN35" s="33"/>
      <c r="MO35" s="33"/>
      <c r="MP35" s="33"/>
      <c r="MQ35" s="33"/>
      <c r="MR35" s="33"/>
      <c r="MS35" s="33"/>
      <c r="MT35" s="33"/>
      <c r="MU35" s="33"/>
      <c r="MV35" s="33"/>
      <c r="MW35" s="33"/>
      <c r="MX35" s="33"/>
      <c r="MY35" s="33"/>
      <c r="MZ35" s="33"/>
      <c r="NA35" s="33"/>
      <c r="NB35" s="33"/>
      <c r="NC35" s="33"/>
      <c r="ND35" s="33"/>
      <c r="NE35" s="33"/>
      <c r="NF35" s="33"/>
      <c r="NG35" s="33"/>
      <c r="NH35" s="33"/>
      <c r="NI35" s="33"/>
      <c r="NJ35" s="33"/>
      <c r="NK35" s="33"/>
      <c r="NL35" s="34"/>
    </row>
    <row r="36" spans="1:376" x14ac:dyDescent="0.15">
      <c r="A36" s="35">
        <f>A35</f>
        <v>12</v>
      </c>
      <c r="B36" s="36" t="str">
        <f>B35</f>
        <v>FD</v>
      </c>
      <c r="C36" s="36" t="str">
        <f>C35</f>
        <v>Webアプリ機能評価仕様書レビュー</v>
      </c>
      <c r="D36" s="37" t="str">
        <f>D35</f>
        <v>伊藤</v>
      </c>
      <c r="E36" s="38" t="s">
        <v>0</v>
      </c>
      <c r="F36" s="39"/>
      <c r="G36" s="39"/>
      <c r="H36" s="55">
        <f t="shared" si="229"/>
        <v>0</v>
      </c>
      <c r="I36" s="40">
        <f>IF(OR(H35="",H36=""),"",H36-H35)</f>
        <v>-4</v>
      </c>
      <c r="J36" s="41"/>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c r="EA36" s="43"/>
      <c r="EB36" s="43"/>
      <c r="EC36" s="43"/>
      <c r="ED36" s="43"/>
      <c r="EE36" s="43"/>
      <c r="EF36" s="43"/>
      <c r="EG36" s="43"/>
      <c r="EH36" s="43"/>
      <c r="EI36" s="43"/>
      <c r="EJ36" s="43"/>
      <c r="EK36" s="43"/>
      <c r="EL36" s="43"/>
      <c r="EM36" s="43"/>
      <c r="EN36" s="43"/>
      <c r="EO36" s="43"/>
      <c r="EP36" s="43"/>
      <c r="EQ36" s="43"/>
      <c r="ER36" s="43"/>
      <c r="ES36" s="43"/>
      <c r="ET36" s="43"/>
      <c r="EU36" s="43"/>
      <c r="EV36" s="43"/>
      <c r="EW36" s="43"/>
      <c r="EX36" s="43"/>
      <c r="EY36" s="43"/>
      <c r="EZ36" s="43"/>
      <c r="FA36" s="43"/>
      <c r="FB36" s="43"/>
      <c r="FC36" s="43"/>
      <c r="FD36" s="43"/>
      <c r="FE36" s="43"/>
      <c r="FF36" s="43"/>
      <c r="FG36" s="43"/>
      <c r="FH36" s="43"/>
      <c r="FI36" s="43"/>
      <c r="FJ36" s="43"/>
      <c r="FK36" s="43"/>
      <c r="FL36" s="43"/>
      <c r="FM36" s="43"/>
      <c r="FN36" s="43"/>
      <c r="FO36" s="43"/>
      <c r="FP36" s="43"/>
      <c r="FQ36" s="43"/>
      <c r="FR36" s="43"/>
      <c r="FS36" s="43"/>
      <c r="FT36" s="43"/>
      <c r="FU36" s="43"/>
      <c r="FV36" s="43"/>
      <c r="FW36" s="43"/>
      <c r="FX36" s="43"/>
      <c r="FY36" s="43"/>
      <c r="FZ36" s="43"/>
      <c r="GA36" s="43"/>
      <c r="GB36" s="43"/>
      <c r="GC36" s="43"/>
      <c r="GD36" s="43"/>
      <c r="GE36" s="43"/>
      <c r="GF36" s="43"/>
      <c r="GG36" s="43"/>
      <c r="GH36" s="43"/>
      <c r="GI36" s="43"/>
      <c r="GJ36" s="43"/>
      <c r="GK36" s="43"/>
      <c r="GL36" s="43"/>
      <c r="GM36" s="43"/>
      <c r="GN36" s="43"/>
      <c r="GO36" s="43"/>
      <c r="GP36" s="43"/>
      <c r="GQ36" s="43"/>
      <c r="GR36" s="43"/>
      <c r="GS36" s="43"/>
      <c r="GT36" s="43"/>
      <c r="GU36" s="43"/>
      <c r="GV36" s="43"/>
      <c r="GW36" s="43"/>
      <c r="GX36" s="43"/>
      <c r="GY36" s="43"/>
      <c r="GZ36" s="43"/>
      <c r="HA36" s="43"/>
      <c r="HB36" s="43"/>
      <c r="HC36" s="43"/>
      <c r="HD36" s="43"/>
      <c r="HE36" s="43"/>
      <c r="HF36" s="43"/>
      <c r="HG36" s="43"/>
      <c r="HH36" s="43"/>
      <c r="HI36" s="43"/>
      <c r="HJ36" s="43"/>
      <c r="HK36" s="43"/>
      <c r="HL36" s="43"/>
      <c r="HM36" s="43"/>
      <c r="HN36" s="43"/>
      <c r="HO36" s="43"/>
      <c r="HP36" s="43"/>
      <c r="HQ36" s="43"/>
      <c r="HR36" s="43"/>
      <c r="HS36" s="43"/>
      <c r="HT36" s="43"/>
      <c r="HU36" s="43"/>
      <c r="HV36" s="43"/>
      <c r="HW36" s="43"/>
      <c r="HX36" s="43"/>
      <c r="HY36" s="43"/>
      <c r="HZ36" s="43"/>
      <c r="IA36" s="43"/>
      <c r="IB36" s="43"/>
      <c r="IC36" s="43"/>
      <c r="ID36" s="43"/>
      <c r="IE36" s="43"/>
      <c r="IF36" s="43"/>
      <c r="IG36" s="43"/>
      <c r="IH36" s="43"/>
      <c r="II36" s="43"/>
      <c r="IJ36" s="43"/>
      <c r="IK36" s="43"/>
      <c r="IL36" s="43"/>
      <c r="IM36" s="43"/>
      <c r="IN36" s="43"/>
      <c r="IO36" s="43"/>
      <c r="IP36" s="43"/>
      <c r="IQ36" s="43"/>
      <c r="IR36" s="43"/>
      <c r="IS36" s="43"/>
      <c r="IT36" s="43"/>
      <c r="IU36" s="43"/>
      <c r="IV36" s="43"/>
      <c r="IW36" s="43"/>
      <c r="IX36" s="43"/>
      <c r="IY36" s="43"/>
      <c r="IZ36" s="43"/>
      <c r="JA36" s="43"/>
      <c r="JB36" s="43"/>
      <c r="JC36" s="43"/>
      <c r="JD36" s="43"/>
      <c r="JE36" s="43"/>
      <c r="JF36" s="43"/>
      <c r="JG36" s="43"/>
      <c r="JH36" s="43"/>
      <c r="JI36" s="43"/>
      <c r="JJ36" s="43"/>
      <c r="JK36" s="43"/>
      <c r="JL36" s="43"/>
      <c r="JM36" s="43"/>
      <c r="JN36" s="43"/>
      <c r="JO36" s="43"/>
      <c r="JP36" s="43"/>
      <c r="JQ36" s="43"/>
      <c r="JR36" s="43"/>
      <c r="JS36" s="43"/>
      <c r="JT36" s="43"/>
      <c r="JU36" s="43"/>
      <c r="JV36" s="43"/>
      <c r="JW36" s="43"/>
      <c r="JX36" s="43"/>
      <c r="JY36" s="43"/>
      <c r="JZ36" s="43"/>
      <c r="KA36" s="43"/>
      <c r="KB36" s="43"/>
      <c r="KC36" s="43"/>
      <c r="KD36" s="43"/>
      <c r="KE36" s="43"/>
      <c r="KF36" s="43"/>
      <c r="KG36" s="43"/>
      <c r="KH36" s="43"/>
      <c r="KI36" s="43"/>
      <c r="KJ36" s="43"/>
      <c r="KK36" s="43"/>
      <c r="KL36" s="43"/>
      <c r="KM36" s="43"/>
      <c r="KN36" s="43"/>
      <c r="KO36" s="43"/>
      <c r="KP36" s="43"/>
      <c r="KQ36" s="43"/>
      <c r="KR36" s="43"/>
      <c r="KS36" s="43"/>
      <c r="KT36" s="43"/>
      <c r="KU36" s="43"/>
      <c r="KV36" s="43"/>
      <c r="KW36" s="43"/>
      <c r="KX36" s="43"/>
      <c r="KY36" s="43"/>
      <c r="KZ36" s="43"/>
      <c r="LA36" s="43"/>
      <c r="LB36" s="43"/>
      <c r="LC36" s="43"/>
      <c r="LD36" s="43"/>
      <c r="LE36" s="43"/>
      <c r="LF36" s="43"/>
      <c r="LG36" s="43"/>
      <c r="LH36" s="43"/>
      <c r="LI36" s="43"/>
      <c r="LJ36" s="43"/>
      <c r="LK36" s="43"/>
      <c r="LL36" s="43"/>
      <c r="LM36" s="43"/>
      <c r="LN36" s="43"/>
      <c r="LO36" s="43"/>
      <c r="LP36" s="43"/>
      <c r="LQ36" s="43"/>
      <c r="LR36" s="43"/>
      <c r="LS36" s="43"/>
      <c r="LT36" s="43"/>
      <c r="LU36" s="43"/>
      <c r="LV36" s="43"/>
      <c r="LW36" s="43"/>
      <c r="LX36" s="43"/>
      <c r="LY36" s="43"/>
      <c r="LZ36" s="43"/>
      <c r="MA36" s="43"/>
      <c r="MB36" s="43"/>
      <c r="MC36" s="43"/>
      <c r="MD36" s="43"/>
      <c r="ME36" s="43"/>
      <c r="MF36" s="43"/>
      <c r="MG36" s="43"/>
      <c r="MH36" s="43"/>
      <c r="MI36" s="43"/>
      <c r="MJ36" s="43"/>
      <c r="MK36" s="43"/>
      <c r="ML36" s="43"/>
      <c r="MM36" s="43"/>
      <c r="MN36" s="43"/>
      <c r="MO36" s="43"/>
      <c r="MP36" s="43"/>
      <c r="MQ36" s="43"/>
      <c r="MR36" s="43"/>
      <c r="MS36" s="43"/>
      <c r="MT36" s="43"/>
      <c r="MU36" s="43"/>
      <c r="MV36" s="43"/>
      <c r="MW36" s="43"/>
      <c r="MX36" s="43"/>
      <c r="MY36" s="43"/>
      <c r="MZ36" s="43"/>
      <c r="NA36" s="43"/>
      <c r="NB36" s="43"/>
      <c r="NC36" s="43"/>
      <c r="ND36" s="43"/>
      <c r="NE36" s="43"/>
      <c r="NF36" s="43"/>
      <c r="NG36" s="43"/>
      <c r="NH36" s="43"/>
      <c r="NI36" s="43"/>
      <c r="NJ36" s="43"/>
      <c r="NK36" s="43"/>
      <c r="NL36" s="44"/>
    </row>
    <row r="37" spans="1:376" x14ac:dyDescent="0.15">
      <c r="A37" s="23">
        <v>13</v>
      </c>
      <c r="B37" s="24" t="s">
        <v>120</v>
      </c>
      <c r="C37" s="45" t="s">
        <v>129</v>
      </c>
      <c r="D37" s="26" t="s">
        <v>165</v>
      </c>
      <c r="E37" s="46" t="s">
        <v>13</v>
      </c>
      <c r="F37" s="47">
        <v>42925</v>
      </c>
      <c r="G37" s="47">
        <v>42932</v>
      </c>
      <c r="H37" s="29">
        <f t="shared" si="229"/>
        <v>6</v>
      </c>
      <c r="I37" s="48"/>
      <c r="J37" s="49"/>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1"/>
      <c r="CA37" s="51"/>
      <c r="CB37" s="51"/>
      <c r="CC37" s="51"/>
      <c r="CD37" s="51"/>
      <c r="CE37" s="51"/>
      <c r="CF37" s="51"/>
      <c r="CG37" s="51"/>
      <c r="CH37" s="51"/>
      <c r="CI37" s="51"/>
      <c r="CJ37" s="51"/>
      <c r="CK37" s="51"/>
      <c r="CL37" s="51"/>
      <c r="CM37" s="51"/>
      <c r="CN37" s="51"/>
      <c r="CO37" s="51"/>
      <c r="CP37" s="51"/>
      <c r="CQ37" s="51"/>
      <c r="CR37" s="51"/>
      <c r="CS37" s="51"/>
      <c r="CT37" s="51"/>
      <c r="CU37" s="51"/>
      <c r="CV37" s="51"/>
      <c r="CW37" s="51"/>
      <c r="CX37" s="51"/>
      <c r="CY37" s="51"/>
      <c r="CZ37" s="51"/>
      <c r="DA37" s="51"/>
      <c r="DB37" s="51"/>
      <c r="DC37" s="51">
        <v>2</v>
      </c>
      <c r="DD37" s="51"/>
      <c r="DE37" s="51"/>
      <c r="DF37" s="51"/>
      <c r="DG37" s="51"/>
      <c r="DH37" s="51"/>
      <c r="DI37" s="51">
        <v>4</v>
      </c>
      <c r="DJ37" s="51"/>
      <c r="DK37" s="51"/>
      <c r="DL37" s="51"/>
      <c r="DM37" s="51"/>
      <c r="DN37" s="51"/>
      <c r="DO37" s="51"/>
      <c r="DP37" s="51"/>
      <c r="DQ37" s="51"/>
      <c r="DR37" s="51"/>
      <c r="DS37" s="51"/>
      <c r="DT37" s="51"/>
      <c r="DU37" s="51"/>
      <c r="DV37" s="51"/>
      <c r="DW37" s="51"/>
      <c r="DX37" s="51"/>
      <c r="DY37" s="51"/>
      <c r="DZ37" s="51"/>
      <c r="EA37" s="51"/>
      <c r="EB37" s="51"/>
      <c r="EC37" s="51"/>
      <c r="ED37" s="51"/>
      <c r="EE37" s="51"/>
      <c r="EF37" s="51"/>
      <c r="EG37" s="51"/>
      <c r="EH37" s="51"/>
      <c r="EI37" s="51"/>
      <c r="EJ37" s="51"/>
      <c r="EK37" s="51"/>
      <c r="EL37" s="51"/>
      <c r="EM37" s="51"/>
      <c r="EN37" s="51"/>
      <c r="EO37" s="51"/>
      <c r="EP37" s="51"/>
      <c r="EQ37" s="51"/>
      <c r="ER37" s="51"/>
      <c r="ES37" s="51"/>
      <c r="ET37" s="51"/>
      <c r="EU37" s="51"/>
      <c r="EV37" s="51"/>
      <c r="EW37" s="51"/>
      <c r="EX37" s="51"/>
      <c r="EY37" s="51"/>
      <c r="EZ37" s="51"/>
      <c r="FA37" s="51"/>
      <c r="FB37" s="51"/>
      <c r="FC37" s="51"/>
      <c r="FD37" s="51"/>
      <c r="FE37" s="51"/>
      <c r="FF37" s="51"/>
      <c r="FG37" s="51"/>
      <c r="FH37" s="51"/>
      <c r="FI37" s="51"/>
      <c r="FJ37" s="51"/>
      <c r="FK37" s="51"/>
      <c r="FL37" s="51"/>
      <c r="FM37" s="51"/>
      <c r="FN37" s="51"/>
      <c r="FO37" s="51"/>
      <c r="FP37" s="51"/>
      <c r="FQ37" s="51"/>
      <c r="FR37" s="51"/>
      <c r="FS37" s="51"/>
      <c r="FT37" s="51"/>
      <c r="FU37" s="51"/>
      <c r="FV37" s="51"/>
      <c r="FW37" s="51"/>
      <c r="FX37" s="51"/>
      <c r="FY37" s="51"/>
      <c r="FZ37" s="51"/>
      <c r="GA37" s="51"/>
      <c r="GB37" s="51"/>
      <c r="GC37" s="51"/>
      <c r="GD37" s="51"/>
      <c r="GE37" s="51"/>
      <c r="GF37" s="51"/>
      <c r="GG37" s="51"/>
      <c r="GH37" s="51"/>
      <c r="GI37" s="51"/>
      <c r="GJ37" s="51"/>
      <c r="GK37" s="51"/>
      <c r="GL37" s="51"/>
      <c r="GM37" s="51"/>
      <c r="GN37" s="51"/>
      <c r="GO37" s="51"/>
      <c r="GP37" s="51"/>
      <c r="GQ37" s="51"/>
      <c r="GR37" s="51"/>
      <c r="GS37" s="51"/>
      <c r="GT37" s="51"/>
      <c r="GU37" s="51"/>
      <c r="GV37" s="51"/>
      <c r="GW37" s="51"/>
      <c r="GX37" s="51"/>
      <c r="GY37" s="51"/>
      <c r="GZ37" s="51"/>
      <c r="HA37" s="51"/>
      <c r="HB37" s="51"/>
      <c r="HC37" s="51"/>
      <c r="HD37" s="51"/>
      <c r="HE37" s="51"/>
      <c r="HF37" s="51"/>
      <c r="HG37" s="51"/>
      <c r="HH37" s="51"/>
      <c r="HI37" s="51"/>
      <c r="HJ37" s="51"/>
      <c r="HK37" s="51"/>
      <c r="HL37" s="51"/>
      <c r="HM37" s="51"/>
      <c r="HN37" s="51"/>
      <c r="HO37" s="51"/>
      <c r="HP37" s="51"/>
      <c r="HQ37" s="51"/>
      <c r="HR37" s="51"/>
      <c r="HS37" s="51"/>
      <c r="HT37" s="51"/>
      <c r="HU37" s="51"/>
      <c r="HV37" s="51"/>
      <c r="HW37" s="51"/>
      <c r="HX37" s="51"/>
      <c r="HY37" s="51"/>
      <c r="HZ37" s="51"/>
      <c r="IA37" s="51"/>
      <c r="IB37" s="51"/>
      <c r="IC37" s="51"/>
      <c r="ID37" s="51"/>
      <c r="IE37" s="51"/>
      <c r="IF37" s="51"/>
      <c r="IG37" s="51"/>
      <c r="IH37" s="51"/>
      <c r="II37" s="51"/>
      <c r="IJ37" s="51"/>
      <c r="IK37" s="51"/>
      <c r="IL37" s="51"/>
      <c r="IM37" s="51"/>
      <c r="IN37" s="51"/>
      <c r="IO37" s="51"/>
      <c r="IP37" s="51"/>
      <c r="IQ37" s="51"/>
      <c r="IR37" s="51"/>
      <c r="IS37" s="51"/>
      <c r="IT37" s="51"/>
      <c r="IU37" s="51"/>
      <c r="IV37" s="51"/>
      <c r="IW37" s="51"/>
      <c r="IX37" s="51"/>
      <c r="IY37" s="51"/>
      <c r="IZ37" s="51"/>
      <c r="JA37" s="51"/>
      <c r="JB37" s="51"/>
      <c r="JC37" s="51"/>
      <c r="JD37" s="51"/>
      <c r="JE37" s="51"/>
      <c r="JF37" s="51"/>
      <c r="JG37" s="51"/>
      <c r="JH37" s="51"/>
      <c r="JI37" s="51"/>
      <c r="JJ37" s="51"/>
      <c r="JK37" s="51"/>
      <c r="JL37" s="51"/>
      <c r="JM37" s="51"/>
      <c r="JN37" s="51"/>
      <c r="JO37" s="51"/>
      <c r="JP37" s="51"/>
      <c r="JQ37" s="51"/>
      <c r="JR37" s="51"/>
      <c r="JS37" s="51"/>
      <c r="JT37" s="51"/>
      <c r="JU37" s="51"/>
      <c r="JV37" s="51"/>
      <c r="JW37" s="51"/>
      <c r="JX37" s="51"/>
      <c r="JY37" s="51"/>
      <c r="JZ37" s="51"/>
      <c r="KA37" s="51"/>
      <c r="KB37" s="51"/>
      <c r="KC37" s="51"/>
      <c r="KD37" s="51"/>
      <c r="KE37" s="51"/>
      <c r="KF37" s="51"/>
      <c r="KG37" s="51"/>
      <c r="KH37" s="51"/>
      <c r="KI37" s="51"/>
      <c r="KJ37" s="51"/>
      <c r="KK37" s="51"/>
      <c r="KL37" s="51"/>
      <c r="KM37" s="51"/>
      <c r="KN37" s="51"/>
      <c r="KO37" s="51"/>
      <c r="KP37" s="51"/>
      <c r="KQ37" s="51"/>
      <c r="KR37" s="51"/>
      <c r="KS37" s="51"/>
      <c r="KT37" s="51"/>
      <c r="KU37" s="51"/>
      <c r="KV37" s="51"/>
      <c r="KW37" s="51"/>
      <c r="KX37" s="51"/>
      <c r="KY37" s="51"/>
      <c r="KZ37" s="51"/>
      <c r="LA37" s="51"/>
      <c r="LB37" s="51"/>
      <c r="LC37" s="51"/>
      <c r="LD37" s="51"/>
      <c r="LE37" s="51"/>
      <c r="LF37" s="51"/>
      <c r="LG37" s="51"/>
      <c r="LH37" s="51"/>
      <c r="LI37" s="51"/>
      <c r="LJ37" s="51"/>
      <c r="LK37" s="51"/>
      <c r="LL37" s="51"/>
      <c r="LM37" s="51"/>
      <c r="LN37" s="51"/>
      <c r="LO37" s="51"/>
      <c r="LP37" s="51"/>
      <c r="LQ37" s="51"/>
      <c r="LR37" s="51"/>
      <c r="LS37" s="51"/>
      <c r="LT37" s="51"/>
      <c r="LU37" s="51"/>
      <c r="LV37" s="51"/>
      <c r="LW37" s="51"/>
      <c r="LX37" s="51"/>
      <c r="LY37" s="51"/>
      <c r="LZ37" s="51"/>
      <c r="MA37" s="51"/>
      <c r="MB37" s="51"/>
      <c r="MC37" s="51"/>
      <c r="MD37" s="51"/>
      <c r="ME37" s="51"/>
      <c r="MF37" s="51"/>
      <c r="MG37" s="51"/>
      <c r="MH37" s="51"/>
      <c r="MI37" s="51"/>
      <c r="MJ37" s="51"/>
      <c r="MK37" s="51"/>
      <c r="ML37" s="51"/>
      <c r="MM37" s="51"/>
      <c r="MN37" s="51"/>
      <c r="MO37" s="51"/>
      <c r="MP37" s="51"/>
      <c r="MQ37" s="51"/>
      <c r="MR37" s="51"/>
      <c r="MS37" s="51"/>
      <c r="MT37" s="51"/>
      <c r="MU37" s="51"/>
      <c r="MV37" s="51"/>
      <c r="MW37" s="51"/>
      <c r="MX37" s="51"/>
      <c r="MY37" s="51"/>
      <c r="MZ37" s="51"/>
      <c r="NA37" s="51"/>
      <c r="NB37" s="51"/>
      <c r="NC37" s="51"/>
      <c r="ND37" s="51"/>
      <c r="NE37" s="51"/>
      <c r="NF37" s="51"/>
      <c r="NG37" s="51"/>
      <c r="NH37" s="51"/>
      <c r="NI37" s="51"/>
      <c r="NJ37" s="51"/>
      <c r="NK37" s="51"/>
      <c r="NL37" s="52"/>
    </row>
    <row r="38" spans="1:376" x14ac:dyDescent="0.15">
      <c r="A38" s="35">
        <f>A37</f>
        <v>13</v>
      </c>
      <c r="B38" s="36" t="str">
        <f>B37</f>
        <v>FD</v>
      </c>
      <c r="C38" s="36" t="str">
        <f>C37</f>
        <v>Webアプリ機能評価仕様書レビュー指摘対応</v>
      </c>
      <c r="D38" s="37" t="str">
        <f>D37</f>
        <v>高澤</v>
      </c>
      <c r="E38" s="53" t="s">
        <v>0</v>
      </c>
      <c r="F38" s="54"/>
      <c r="G38" s="54"/>
      <c r="H38" s="55">
        <f t="shared" si="229"/>
        <v>0</v>
      </c>
      <c r="I38" s="56">
        <f>IF(OR(H37="",H38=""),"",H38-H37)</f>
        <v>-6</v>
      </c>
      <c r="J38" s="57"/>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c r="BS38" s="59"/>
      <c r="BT38" s="59"/>
      <c r="BU38" s="59"/>
      <c r="BV38" s="59"/>
      <c r="BW38" s="59"/>
      <c r="BX38" s="59"/>
      <c r="BY38" s="59"/>
      <c r="BZ38" s="59"/>
      <c r="CA38" s="59"/>
      <c r="CB38" s="59"/>
      <c r="CC38" s="59"/>
      <c r="CD38" s="59"/>
      <c r="CE38" s="59"/>
      <c r="CF38" s="59"/>
      <c r="CG38" s="59"/>
      <c r="CH38" s="59"/>
      <c r="CI38" s="59"/>
      <c r="CJ38" s="59"/>
      <c r="CK38" s="59"/>
      <c r="CL38" s="59"/>
      <c r="CM38" s="59"/>
      <c r="CN38" s="59"/>
      <c r="CO38" s="59"/>
      <c r="CP38" s="59"/>
      <c r="CQ38" s="59"/>
      <c r="CR38" s="59"/>
      <c r="CS38" s="59"/>
      <c r="CT38" s="59"/>
      <c r="CU38" s="59"/>
      <c r="CV38" s="59"/>
      <c r="CW38" s="59"/>
      <c r="CX38" s="59"/>
      <c r="CY38" s="59"/>
      <c r="CZ38" s="59"/>
      <c r="DA38" s="59"/>
      <c r="DB38" s="59"/>
      <c r="DC38" s="59"/>
      <c r="DD38" s="59"/>
      <c r="DE38" s="59"/>
      <c r="DF38" s="59"/>
      <c r="DG38" s="59"/>
      <c r="DH38" s="59"/>
      <c r="DI38" s="59"/>
      <c r="DJ38" s="59"/>
      <c r="DK38" s="59"/>
      <c r="DL38" s="59"/>
      <c r="DM38" s="59"/>
      <c r="DN38" s="59"/>
      <c r="DO38" s="59"/>
      <c r="DP38" s="59"/>
      <c r="DQ38" s="59"/>
      <c r="DR38" s="59"/>
      <c r="DS38" s="59"/>
      <c r="DT38" s="59"/>
      <c r="DU38" s="59"/>
      <c r="DV38" s="59"/>
      <c r="DW38" s="59"/>
      <c r="DX38" s="59"/>
      <c r="DY38" s="59"/>
      <c r="DZ38" s="59"/>
      <c r="EA38" s="59"/>
      <c r="EB38" s="59"/>
      <c r="EC38" s="59"/>
      <c r="ED38" s="59"/>
      <c r="EE38" s="59"/>
      <c r="EF38" s="59"/>
      <c r="EG38" s="59"/>
      <c r="EH38" s="59"/>
      <c r="EI38" s="59"/>
      <c r="EJ38" s="59"/>
      <c r="EK38" s="59"/>
      <c r="EL38" s="59"/>
      <c r="EM38" s="59"/>
      <c r="EN38" s="59"/>
      <c r="EO38" s="59"/>
      <c r="EP38" s="59"/>
      <c r="EQ38" s="59"/>
      <c r="ER38" s="59"/>
      <c r="ES38" s="59"/>
      <c r="ET38" s="59"/>
      <c r="EU38" s="59"/>
      <c r="EV38" s="59"/>
      <c r="EW38" s="59"/>
      <c r="EX38" s="59"/>
      <c r="EY38" s="59"/>
      <c r="EZ38" s="59"/>
      <c r="FA38" s="59"/>
      <c r="FB38" s="59"/>
      <c r="FC38" s="59"/>
      <c r="FD38" s="59"/>
      <c r="FE38" s="59"/>
      <c r="FF38" s="59"/>
      <c r="FG38" s="59"/>
      <c r="FH38" s="59"/>
      <c r="FI38" s="59"/>
      <c r="FJ38" s="59"/>
      <c r="FK38" s="59"/>
      <c r="FL38" s="59"/>
      <c r="FM38" s="59"/>
      <c r="FN38" s="59"/>
      <c r="FO38" s="59"/>
      <c r="FP38" s="59"/>
      <c r="FQ38" s="59"/>
      <c r="FR38" s="59"/>
      <c r="FS38" s="59"/>
      <c r="FT38" s="59"/>
      <c r="FU38" s="59"/>
      <c r="FV38" s="59"/>
      <c r="FW38" s="59"/>
      <c r="FX38" s="59"/>
      <c r="FY38" s="59"/>
      <c r="FZ38" s="59"/>
      <c r="GA38" s="59"/>
      <c r="GB38" s="59"/>
      <c r="GC38" s="59"/>
      <c r="GD38" s="59"/>
      <c r="GE38" s="59"/>
      <c r="GF38" s="59"/>
      <c r="GG38" s="59"/>
      <c r="GH38" s="59"/>
      <c r="GI38" s="59"/>
      <c r="GJ38" s="59"/>
      <c r="GK38" s="59"/>
      <c r="GL38" s="59"/>
      <c r="GM38" s="59"/>
      <c r="GN38" s="59"/>
      <c r="GO38" s="59"/>
      <c r="GP38" s="59"/>
      <c r="GQ38" s="59"/>
      <c r="GR38" s="59"/>
      <c r="GS38" s="59"/>
      <c r="GT38" s="59"/>
      <c r="GU38" s="59"/>
      <c r="GV38" s="59"/>
      <c r="GW38" s="59"/>
      <c r="GX38" s="59"/>
      <c r="GY38" s="59"/>
      <c r="GZ38" s="59"/>
      <c r="HA38" s="59"/>
      <c r="HB38" s="59"/>
      <c r="HC38" s="59"/>
      <c r="HD38" s="59"/>
      <c r="HE38" s="59"/>
      <c r="HF38" s="59"/>
      <c r="HG38" s="59"/>
      <c r="HH38" s="59"/>
      <c r="HI38" s="59"/>
      <c r="HJ38" s="59"/>
      <c r="HK38" s="59"/>
      <c r="HL38" s="59"/>
      <c r="HM38" s="59"/>
      <c r="HN38" s="59"/>
      <c r="HO38" s="59"/>
      <c r="HP38" s="59"/>
      <c r="HQ38" s="59"/>
      <c r="HR38" s="59"/>
      <c r="HS38" s="59"/>
      <c r="HT38" s="59"/>
      <c r="HU38" s="59"/>
      <c r="HV38" s="59"/>
      <c r="HW38" s="59"/>
      <c r="HX38" s="59"/>
      <c r="HY38" s="59"/>
      <c r="HZ38" s="59"/>
      <c r="IA38" s="59"/>
      <c r="IB38" s="59"/>
      <c r="IC38" s="59"/>
      <c r="ID38" s="59"/>
      <c r="IE38" s="59"/>
      <c r="IF38" s="59"/>
      <c r="IG38" s="59"/>
      <c r="IH38" s="59"/>
      <c r="II38" s="59"/>
      <c r="IJ38" s="59"/>
      <c r="IK38" s="59"/>
      <c r="IL38" s="59"/>
      <c r="IM38" s="59"/>
      <c r="IN38" s="59"/>
      <c r="IO38" s="59"/>
      <c r="IP38" s="59"/>
      <c r="IQ38" s="59"/>
      <c r="IR38" s="59"/>
      <c r="IS38" s="59"/>
      <c r="IT38" s="59"/>
      <c r="IU38" s="59"/>
      <c r="IV38" s="59"/>
      <c r="IW38" s="59"/>
      <c r="IX38" s="59"/>
      <c r="IY38" s="59"/>
      <c r="IZ38" s="59"/>
      <c r="JA38" s="59"/>
      <c r="JB38" s="59"/>
      <c r="JC38" s="59"/>
      <c r="JD38" s="59"/>
      <c r="JE38" s="59"/>
      <c r="JF38" s="59"/>
      <c r="JG38" s="59"/>
      <c r="JH38" s="59"/>
      <c r="JI38" s="59"/>
      <c r="JJ38" s="59"/>
      <c r="JK38" s="59"/>
      <c r="JL38" s="59"/>
      <c r="JM38" s="59"/>
      <c r="JN38" s="59"/>
      <c r="JO38" s="59"/>
      <c r="JP38" s="59"/>
      <c r="JQ38" s="59"/>
      <c r="JR38" s="59"/>
      <c r="JS38" s="59"/>
      <c r="JT38" s="59"/>
      <c r="JU38" s="59"/>
      <c r="JV38" s="59"/>
      <c r="JW38" s="59"/>
      <c r="JX38" s="59"/>
      <c r="JY38" s="59"/>
      <c r="JZ38" s="59"/>
      <c r="KA38" s="59"/>
      <c r="KB38" s="59"/>
      <c r="KC38" s="59"/>
      <c r="KD38" s="59"/>
      <c r="KE38" s="59"/>
      <c r="KF38" s="59"/>
      <c r="KG38" s="59"/>
      <c r="KH38" s="59"/>
      <c r="KI38" s="59"/>
      <c r="KJ38" s="59"/>
      <c r="KK38" s="59"/>
      <c r="KL38" s="59"/>
      <c r="KM38" s="59"/>
      <c r="KN38" s="59"/>
      <c r="KO38" s="59"/>
      <c r="KP38" s="59"/>
      <c r="KQ38" s="59"/>
      <c r="KR38" s="59"/>
      <c r="KS38" s="59"/>
      <c r="KT38" s="59"/>
      <c r="KU38" s="59"/>
      <c r="KV38" s="59"/>
      <c r="KW38" s="59"/>
      <c r="KX38" s="59"/>
      <c r="KY38" s="59"/>
      <c r="KZ38" s="59"/>
      <c r="LA38" s="59"/>
      <c r="LB38" s="59"/>
      <c r="LC38" s="59"/>
      <c r="LD38" s="59"/>
      <c r="LE38" s="59"/>
      <c r="LF38" s="59"/>
      <c r="LG38" s="59"/>
      <c r="LH38" s="59"/>
      <c r="LI38" s="59"/>
      <c r="LJ38" s="59"/>
      <c r="LK38" s="59"/>
      <c r="LL38" s="59"/>
      <c r="LM38" s="59"/>
      <c r="LN38" s="59"/>
      <c r="LO38" s="59"/>
      <c r="LP38" s="59"/>
      <c r="LQ38" s="59"/>
      <c r="LR38" s="59"/>
      <c r="LS38" s="59"/>
      <c r="LT38" s="59"/>
      <c r="LU38" s="59"/>
      <c r="LV38" s="59"/>
      <c r="LW38" s="59"/>
      <c r="LX38" s="59"/>
      <c r="LY38" s="59"/>
      <c r="LZ38" s="59"/>
      <c r="MA38" s="59"/>
      <c r="MB38" s="59"/>
      <c r="MC38" s="59"/>
      <c r="MD38" s="59"/>
      <c r="ME38" s="59"/>
      <c r="MF38" s="59"/>
      <c r="MG38" s="59"/>
      <c r="MH38" s="59"/>
      <c r="MI38" s="59"/>
      <c r="MJ38" s="59"/>
      <c r="MK38" s="59"/>
      <c r="ML38" s="59"/>
      <c r="MM38" s="59"/>
      <c r="MN38" s="59"/>
      <c r="MO38" s="59"/>
      <c r="MP38" s="59"/>
      <c r="MQ38" s="59"/>
      <c r="MR38" s="59"/>
      <c r="MS38" s="59"/>
      <c r="MT38" s="59"/>
      <c r="MU38" s="59"/>
      <c r="MV38" s="59"/>
      <c r="MW38" s="59"/>
      <c r="MX38" s="59"/>
      <c r="MY38" s="59"/>
      <c r="MZ38" s="59"/>
      <c r="NA38" s="59"/>
      <c r="NB38" s="59"/>
      <c r="NC38" s="59"/>
      <c r="ND38" s="59"/>
      <c r="NE38" s="59"/>
      <c r="NF38" s="59"/>
      <c r="NG38" s="59"/>
      <c r="NH38" s="59"/>
      <c r="NI38" s="59"/>
      <c r="NJ38" s="59"/>
      <c r="NK38" s="59"/>
      <c r="NL38" s="60"/>
    </row>
    <row r="39" spans="1:376" x14ac:dyDescent="0.15">
      <c r="A39" s="23">
        <v>14</v>
      </c>
      <c r="B39" s="24" t="s">
        <v>120</v>
      </c>
      <c r="C39" s="45" t="s">
        <v>130</v>
      </c>
      <c r="D39" s="26" t="s">
        <v>166</v>
      </c>
      <c r="E39" s="46" t="s">
        <v>13</v>
      </c>
      <c r="F39" s="47">
        <v>42891</v>
      </c>
      <c r="G39" s="47">
        <v>42924</v>
      </c>
      <c r="H39" s="29">
        <f t="shared" si="229"/>
        <v>20</v>
      </c>
      <c r="I39" s="48"/>
      <c r="J39" s="49"/>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1">
        <v>4</v>
      </c>
      <c r="CA39" s="51"/>
      <c r="CB39" s="51"/>
      <c r="CC39" s="51"/>
      <c r="CD39" s="51"/>
      <c r="CE39" s="51"/>
      <c r="CF39" s="51"/>
      <c r="CG39" s="51">
        <v>4</v>
      </c>
      <c r="CH39" s="51"/>
      <c r="CI39" s="51"/>
      <c r="CJ39" s="51"/>
      <c r="CK39" s="51"/>
      <c r="CL39" s="51"/>
      <c r="CM39" s="51"/>
      <c r="CN39" s="51">
        <v>4</v>
      </c>
      <c r="CO39" s="51"/>
      <c r="CP39" s="51"/>
      <c r="CQ39" s="51"/>
      <c r="CR39" s="51"/>
      <c r="CS39" s="51"/>
      <c r="CT39" s="51"/>
      <c r="CU39" s="51">
        <v>4</v>
      </c>
      <c r="CV39" s="51"/>
      <c r="CW39" s="51"/>
      <c r="CX39" s="51"/>
      <c r="CY39" s="51"/>
      <c r="CZ39" s="51"/>
      <c r="DA39" s="51"/>
      <c r="DB39" s="51">
        <v>4</v>
      </c>
      <c r="DC39" s="51"/>
      <c r="DD39" s="51"/>
      <c r="DE39" s="51"/>
      <c r="DF39" s="51"/>
      <c r="DG39" s="51"/>
      <c r="DH39" s="51"/>
      <c r="DI39" s="51"/>
      <c r="DJ39" s="51"/>
      <c r="DK39" s="51"/>
      <c r="DL39" s="51"/>
      <c r="DM39" s="51"/>
      <c r="DN39" s="51"/>
      <c r="DO39" s="51"/>
      <c r="DP39" s="51"/>
      <c r="DQ39" s="51"/>
      <c r="DR39" s="51"/>
      <c r="DS39" s="51"/>
      <c r="DT39" s="51"/>
      <c r="DU39" s="51"/>
      <c r="DV39" s="51"/>
      <c r="DW39" s="51"/>
      <c r="DX39" s="51"/>
      <c r="DY39" s="51"/>
      <c r="DZ39" s="51"/>
      <c r="EA39" s="51"/>
      <c r="EB39" s="51"/>
      <c r="EC39" s="51"/>
      <c r="ED39" s="51"/>
      <c r="EE39" s="51"/>
      <c r="EF39" s="51"/>
      <c r="EG39" s="51"/>
      <c r="EH39" s="51"/>
      <c r="EI39" s="51"/>
      <c r="EJ39" s="51"/>
      <c r="EK39" s="51"/>
      <c r="EL39" s="51"/>
      <c r="EM39" s="51"/>
      <c r="EN39" s="51"/>
      <c r="EO39" s="51"/>
      <c r="EP39" s="51"/>
      <c r="EQ39" s="51"/>
      <c r="ER39" s="51"/>
      <c r="ES39" s="51"/>
      <c r="ET39" s="51"/>
      <c r="EU39" s="51"/>
      <c r="EV39" s="51"/>
      <c r="EW39" s="51"/>
      <c r="EX39" s="51"/>
      <c r="EY39" s="51"/>
      <c r="EZ39" s="51"/>
      <c r="FA39" s="51"/>
      <c r="FB39" s="51"/>
      <c r="FC39" s="51"/>
      <c r="FD39" s="51"/>
      <c r="FE39" s="51"/>
      <c r="FF39" s="51"/>
      <c r="FG39" s="51"/>
      <c r="FH39" s="51"/>
      <c r="FI39" s="51"/>
      <c r="FJ39" s="51"/>
      <c r="FK39" s="51"/>
      <c r="FL39" s="51"/>
      <c r="FM39" s="51"/>
      <c r="FN39" s="51"/>
      <c r="FO39" s="51"/>
      <c r="FP39" s="51"/>
      <c r="FQ39" s="51"/>
      <c r="FR39" s="51"/>
      <c r="FS39" s="51"/>
      <c r="FT39" s="51"/>
      <c r="FU39" s="51"/>
      <c r="FV39" s="51"/>
      <c r="FW39" s="51"/>
      <c r="FX39" s="51"/>
      <c r="FY39" s="51"/>
      <c r="FZ39" s="51"/>
      <c r="GA39" s="51"/>
      <c r="GB39" s="51"/>
      <c r="GC39" s="51"/>
      <c r="GD39" s="51"/>
      <c r="GE39" s="51"/>
      <c r="GF39" s="51"/>
      <c r="GG39" s="51"/>
      <c r="GH39" s="51"/>
      <c r="GI39" s="51"/>
      <c r="GJ39" s="51"/>
      <c r="GK39" s="51"/>
      <c r="GL39" s="51"/>
      <c r="GM39" s="51"/>
      <c r="GN39" s="51"/>
      <c r="GO39" s="51"/>
      <c r="GP39" s="51"/>
      <c r="GQ39" s="51"/>
      <c r="GR39" s="51"/>
      <c r="GS39" s="51"/>
      <c r="GT39" s="51"/>
      <c r="GU39" s="51"/>
      <c r="GV39" s="51"/>
      <c r="GW39" s="51"/>
      <c r="GX39" s="51"/>
      <c r="GY39" s="51"/>
      <c r="GZ39" s="51"/>
      <c r="HA39" s="51"/>
      <c r="HB39" s="51"/>
      <c r="HC39" s="51"/>
      <c r="HD39" s="51"/>
      <c r="HE39" s="51"/>
      <c r="HF39" s="51"/>
      <c r="HG39" s="51"/>
      <c r="HH39" s="51"/>
      <c r="HI39" s="51"/>
      <c r="HJ39" s="51"/>
      <c r="HK39" s="51"/>
      <c r="HL39" s="51"/>
      <c r="HM39" s="51"/>
      <c r="HN39" s="51"/>
      <c r="HO39" s="51"/>
      <c r="HP39" s="51"/>
      <c r="HQ39" s="51"/>
      <c r="HR39" s="51"/>
      <c r="HS39" s="51"/>
      <c r="HT39" s="51"/>
      <c r="HU39" s="51"/>
      <c r="HV39" s="51"/>
      <c r="HW39" s="51"/>
      <c r="HX39" s="51"/>
      <c r="HY39" s="51"/>
      <c r="HZ39" s="51"/>
      <c r="IA39" s="51"/>
      <c r="IB39" s="51"/>
      <c r="IC39" s="51"/>
      <c r="ID39" s="51"/>
      <c r="IE39" s="51"/>
      <c r="IF39" s="51"/>
      <c r="IG39" s="51"/>
      <c r="IH39" s="51"/>
      <c r="II39" s="51"/>
      <c r="IJ39" s="51"/>
      <c r="IK39" s="51"/>
      <c r="IL39" s="51"/>
      <c r="IM39" s="51"/>
      <c r="IN39" s="51"/>
      <c r="IO39" s="51"/>
      <c r="IP39" s="51"/>
      <c r="IQ39" s="51"/>
      <c r="IR39" s="51"/>
      <c r="IS39" s="51"/>
      <c r="IT39" s="51"/>
      <c r="IU39" s="51"/>
      <c r="IV39" s="51"/>
      <c r="IW39" s="51"/>
      <c r="IX39" s="51"/>
      <c r="IY39" s="51"/>
      <c r="IZ39" s="51"/>
      <c r="JA39" s="51"/>
      <c r="JB39" s="51"/>
      <c r="JC39" s="51"/>
      <c r="JD39" s="51"/>
      <c r="JE39" s="51"/>
      <c r="JF39" s="51"/>
      <c r="JG39" s="51"/>
      <c r="JH39" s="51"/>
      <c r="JI39" s="51"/>
      <c r="JJ39" s="51"/>
      <c r="JK39" s="51"/>
      <c r="JL39" s="51"/>
      <c r="JM39" s="51"/>
      <c r="JN39" s="51"/>
      <c r="JO39" s="51"/>
      <c r="JP39" s="51"/>
      <c r="JQ39" s="51"/>
      <c r="JR39" s="51"/>
      <c r="JS39" s="51"/>
      <c r="JT39" s="51"/>
      <c r="JU39" s="51"/>
      <c r="JV39" s="51"/>
      <c r="JW39" s="51"/>
      <c r="JX39" s="51"/>
      <c r="JY39" s="51"/>
      <c r="JZ39" s="51"/>
      <c r="KA39" s="51"/>
      <c r="KB39" s="51"/>
      <c r="KC39" s="51"/>
      <c r="KD39" s="51"/>
      <c r="KE39" s="51"/>
      <c r="KF39" s="51"/>
      <c r="KG39" s="51"/>
      <c r="KH39" s="51"/>
      <c r="KI39" s="51"/>
      <c r="KJ39" s="51"/>
      <c r="KK39" s="51"/>
      <c r="KL39" s="51"/>
      <c r="KM39" s="51"/>
      <c r="KN39" s="51"/>
      <c r="KO39" s="51"/>
      <c r="KP39" s="51"/>
      <c r="KQ39" s="51"/>
      <c r="KR39" s="51"/>
      <c r="KS39" s="51"/>
      <c r="KT39" s="51"/>
      <c r="KU39" s="51"/>
      <c r="KV39" s="51"/>
      <c r="KW39" s="51"/>
      <c r="KX39" s="51"/>
      <c r="KY39" s="51"/>
      <c r="KZ39" s="51"/>
      <c r="LA39" s="51"/>
      <c r="LB39" s="51"/>
      <c r="LC39" s="51"/>
      <c r="LD39" s="51"/>
      <c r="LE39" s="51"/>
      <c r="LF39" s="51"/>
      <c r="LG39" s="51"/>
      <c r="LH39" s="51"/>
      <c r="LI39" s="51"/>
      <c r="LJ39" s="51"/>
      <c r="LK39" s="51"/>
      <c r="LL39" s="51"/>
      <c r="LM39" s="51"/>
      <c r="LN39" s="51"/>
      <c r="LO39" s="51"/>
      <c r="LP39" s="51"/>
      <c r="LQ39" s="51"/>
      <c r="LR39" s="51"/>
      <c r="LS39" s="51"/>
      <c r="LT39" s="51"/>
      <c r="LU39" s="51"/>
      <c r="LV39" s="51"/>
      <c r="LW39" s="51"/>
      <c r="LX39" s="51"/>
      <c r="LY39" s="51"/>
      <c r="LZ39" s="51"/>
      <c r="MA39" s="51"/>
      <c r="MB39" s="51"/>
      <c r="MC39" s="51"/>
      <c r="MD39" s="51"/>
      <c r="ME39" s="51"/>
      <c r="MF39" s="51"/>
      <c r="MG39" s="51"/>
      <c r="MH39" s="51"/>
      <c r="MI39" s="51"/>
      <c r="MJ39" s="51"/>
      <c r="MK39" s="51"/>
      <c r="ML39" s="51"/>
      <c r="MM39" s="51"/>
      <c r="MN39" s="51"/>
      <c r="MO39" s="51"/>
      <c r="MP39" s="51"/>
      <c r="MQ39" s="51"/>
      <c r="MR39" s="51"/>
      <c r="MS39" s="51"/>
      <c r="MT39" s="51"/>
      <c r="MU39" s="51"/>
      <c r="MV39" s="51"/>
      <c r="MW39" s="51"/>
      <c r="MX39" s="51"/>
      <c r="MY39" s="51"/>
      <c r="MZ39" s="51"/>
      <c r="NA39" s="51"/>
      <c r="NB39" s="51"/>
      <c r="NC39" s="51"/>
      <c r="ND39" s="51"/>
      <c r="NE39" s="51"/>
      <c r="NF39" s="51"/>
      <c r="NG39" s="51"/>
      <c r="NH39" s="51"/>
      <c r="NI39" s="51"/>
      <c r="NJ39" s="51"/>
      <c r="NK39" s="51"/>
      <c r="NL39" s="52"/>
    </row>
    <row r="40" spans="1:376" x14ac:dyDescent="0.15">
      <c r="A40" s="35">
        <f>A39</f>
        <v>14</v>
      </c>
      <c r="B40" s="36" t="str">
        <f>B39</f>
        <v>FD</v>
      </c>
      <c r="C40" s="36" t="str">
        <f>C39</f>
        <v>監視端末機能評価仕様書作成</v>
      </c>
      <c r="D40" s="37" t="str">
        <f>D39</f>
        <v>長田</v>
      </c>
      <c r="E40" s="53" t="s">
        <v>0</v>
      </c>
      <c r="F40" s="54"/>
      <c r="G40" s="54"/>
      <c r="H40" s="55">
        <f t="shared" si="229"/>
        <v>0</v>
      </c>
      <c r="I40" s="56">
        <f>IF(OR(H39="",H40=""),"",H40-H39)</f>
        <v>-20</v>
      </c>
      <c r="J40" s="57"/>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59"/>
      <c r="BT40" s="59"/>
      <c r="BU40" s="59"/>
      <c r="BV40" s="59"/>
      <c r="BW40" s="59"/>
      <c r="BX40" s="59"/>
      <c r="BY40" s="59"/>
      <c r="BZ40" s="59"/>
      <c r="CA40" s="59"/>
      <c r="CB40" s="59"/>
      <c r="CC40" s="59"/>
      <c r="CD40" s="59"/>
      <c r="CE40" s="59"/>
      <c r="CF40" s="59"/>
      <c r="CG40" s="59"/>
      <c r="CH40" s="59"/>
      <c r="CI40" s="59"/>
      <c r="CJ40" s="59"/>
      <c r="CK40" s="59"/>
      <c r="CL40" s="59"/>
      <c r="CM40" s="59"/>
      <c r="CN40" s="59"/>
      <c r="CO40" s="59"/>
      <c r="CP40" s="59"/>
      <c r="CQ40" s="59"/>
      <c r="CR40" s="59"/>
      <c r="CS40" s="59"/>
      <c r="CT40" s="59"/>
      <c r="CU40" s="59"/>
      <c r="CV40" s="59"/>
      <c r="CW40" s="59"/>
      <c r="CX40" s="59"/>
      <c r="CY40" s="59"/>
      <c r="CZ40" s="59"/>
      <c r="DA40" s="59"/>
      <c r="DB40" s="59"/>
      <c r="DC40" s="59"/>
      <c r="DD40" s="59"/>
      <c r="DE40" s="59"/>
      <c r="DF40" s="59"/>
      <c r="DG40" s="59"/>
      <c r="DH40" s="59"/>
      <c r="DI40" s="59"/>
      <c r="DJ40" s="59"/>
      <c r="DK40" s="59"/>
      <c r="DL40" s="59"/>
      <c r="DM40" s="59"/>
      <c r="DN40" s="59"/>
      <c r="DO40" s="59"/>
      <c r="DP40" s="59"/>
      <c r="DQ40" s="59"/>
      <c r="DR40" s="59"/>
      <c r="DS40" s="59"/>
      <c r="DT40" s="59"/>
      <c r="DU40" s="59"/>
      <c r="DV40" s="59"/>
      <c r="DW40" s="59"/>
      <c r="DX40" s="59"/>
      <c r="DY40" s="59"/>
      <c r="DZ40" s="59"/>
      <c r="EA40" s="59"/>
      <c r="EB40" s="59"/>
      <c r="EC40" s="59"/>
      <c r="ED40" s="59"/>
      <c r="EE40" s="59"/>
      <c r="EF40" s="59"/>
      <c r="EG40" s="59"/>
      <c r="EH40" s="59"/>
      <c r="EI40" s="59"/>
      <c r="EJ40" s="59"/>
      <c r="EK40" s="59"/>
      <c r="EL40" s="59"/>
      <c r="EM40" s="59"/>
      <c r="EN40" s="59"/>
      <c r="EO40" s="59"/>
      <c r="EP40" s="59"/>
      <c r="EQ40" s="59"/>
      <c r="ER40" s="59"/>
      <c r="ES40" s="59"/>
      <c r="ET40" s="59"/>
      <c r="EU40" s="59"/>
      <c r="EV40" s="59"/>
      <c r="EW40" s="59"/>
      <c r="EX40" s="59"/>
      <c r="EY40" s="59"/>
      <c r="EZ40" s="59"/>
      <c r="FA40" s="59"/>
      <c r="FB40" s="59"/>
      <c r="FC40" s="59"/>
      <c r="FD40" s="59"/>
      <c r="FE40" s="59"/>
      <c r="FF40" s="59"/>
      <c r="FG40" s="59"/>
      <c r="FH40" s="59"/>
      <c r="FI40" s="59"/>
      <c r="FJ40" s="59"/>
      <c r="FK40" s="59"/>
      <c r="FL40" s="59"/>
      <c r="FM40" s="59"/>
      <c r="FN40" s="59"/>
      <c r="FO40" s="59"/>
      <c r="FP40" s="59"/>
      <c r="FQ40" s="59"/>
      <c r="FR40" s="59"/>
      <c r="FS40" s="59"/>
      <c r="FT40" s="59"/>
      <c r="FU40" s="59"/>
      <c r="FV40" s="59"/>
      <c r="FW40" s="59"/>
      <c r="FX40" s="59"/>
      <c r="FY40" s="59"/>
      <c r="FZ40" s="59"/>
      <c r="GA40" s="59"/>
      <c r="GB40" s="59"/>
      <c r="GC40" s="59"/>
      <c r="GD40" s="59"/>
      <c r="GE40" s="59"/>
      <c r="GF40" s="59"/>
      <c r="GG40" s="59"/>
      <c r="GH40" s="59"/>
      <c r="GI40" s="59"/>
      <c r="GJ40" s="59"/>
      <c r="GK40" s="59"/>
      <c r="GL40" s="59"/>
      <c r="GM40" s="59"/>
      <c r="GN40" s="59"/>
      <c r="GO40" s="59"/>
      <c r="GP40" s="59"/>
      <c r="GQ40" s="59"/>
      <c r="GR40" s="59"/>
      <c r="GS40" s="59"/>
      <c r="GT40" s="59"/>
      <c r="GU40" s="59"/>
      <c r="GV40" s="59"/>
      <c r="GW40" s="59"/>
      <c r="GX40" s="59"/>
      <c r="GY40" s="59"/>
      <c r="GZ40" s="59"/>
      <c r="HA40" s="59"/>
      <c r="HB40" s="59"/>
      <c r="HC40" s="59"/>
      <c r="HD40" s="59"/>
      <c r="HE40" s="59"/>
      <c r="HF40" s="59"/>
      <c r="HG40" s="59"/>
      <c r="HH40" s="59"/>
      <c r="HI40" s="59"/>
      <c r="HJ40" s="59"/>
      <c r="HK40" s="59"/>
      <c r="HL40" s="59"/>
      <c r="HM40" s="59"/>
      <c r="HN40" s="59"/>
      <c r="HO40" s="59"/>
      <c r="HP40" s="59"/>
      <c r="HQ40" s="59"/>
      <c r="HR40" s="59"/>
      <c r="HS40" s="59"/>
      <c r="HT40" s="59"/>
      <c r="HU40" s="59"/>
      <c r="HV40" s="59"/>
      <c r="HW40" s="59"/>
      <c r="HX40" s="59"/>
      <c r="HY40" s="59"/>
      <c r="HZ40" s="59"/>
      <c r="IA40" s="59"/>
      <c r="IB40" s="59"/>
      <c r="IC40" s="59"/>
      <c r="ID40" s="59"/>
      <c r="IE40" s="59"/>
      <c r="IF40" s="59"/>
      <c r="IG40" s="59"/>
      <c r="IH40" s="59"/>
      <c r="II40" s="59"/>
      <c r="IJ40" s="59"/>
      <c r="IK40" s="59"/>
      <c r="IL40" s="59"/>
      <c r="IM40" s="59"/>
      <c r="IN40" s="59"/>
      <c r="IO40" s="59"/>
      <c r="IP40" s="59"/>
      <c r="IQ40" s="59"/>
      <c r="IR40" s="59"/>
      <c r="IS40" s="59"/>
      <c r="IT40" s="59"/>
      <c r="IU40" s="59"/>
      <c r="IV40" s="59"/>
      <c r="IW40" s="59"/>
      <c r="IX40" s="59"/>
      <c r="IY40" s="59"/>
      <c r="IZ40" s="59"/>
      <c r="JA40" s="59"/>
      <c r="JB40" s="59"/>
      <c r="JC40" s="59"/>
      <c r="JD40" s="59"/>
      <c r="JE40" s="59"/>
      <c r="JF40" s="59"/>
      <c r="JG40" s="59"/>
      <c r="JH40" s="59"/>
      <c r="JI40" s="59"/>
      <c r="JJ40" s="59"/>
      <c r="JK40" s="59"/>
      <c r="JL40" s="59"/>
      <c r="JM40" s="59"/>
      <c r="JN40" s="59"/>
      <c r="JO40" s="59"/>
      <c r="JP40" s="59"/>
      <c r="JQ40" s="59"/>
      <c r="JR40" s="59"/>
      <c r="JS40" s="59"/>
      <c r="JT40" s="59"/>
      <c r="JU40" s="59"/>
      <c r="JV40" s="59"/>
      <c r="JW40" s="59"/>
      <c r="JX40" s="59"/>
      <c r="JY40" s="59"/>
      <c r="JZ40" s="59"/>
      <c r="KA40" s="59"/>
      <c r="KB40" s="59"/>
      <c r="KC40" s="59"/>
      <c r="KD40" s="59"/>
      <c r="KE40" s="59"/>
      <c r="KF40" s="59"/>
      <c r="KG40" s="59"/>
      <c r="KH40" s="59"/>
      <c r="KI40" s="59"/>
      <c r="KJ40" s="59"/>
      <c r="KK40" s="59"/>
      <c r="KL40" s="59"/>
      <c r="KM40" s="59"/>
      <c r="KN40" s="59"/>
      <c r="KO40" s="59"/>
      <c r="KP40" s="59"/>
      <c r="KQ40" s="59"/>
      <c r="KR40" s="59"/>
      <c r="KS40" s="59"/>
      <c r="KT40" s="59"/>
      <c r="KU40" s="59"/>
      <c r="KV40" s="59"/>
      <c r="KW40" s="59"/>
      <c r="KX40" s="59"/>
      <c r="KY40" s="59"/>
      <c r="KZ40" s="59"/>
      <c r="LA40" s="59"/>
      <c r="LB40" s="59"/>
      <c r="LC40" s="59"/>
      <c r="LD40" s="59"/>
      <c r="LE40" s="59"/>
      <c r="LF40" s="59"/>
      <c r="LG40" s="59"/>
      <c r="LH40" s="59"/>
      <c r="LI40" s="59"/>
      <c r="LJ40" s="59"/>
      <c r="LK40" s="59"/>
      <c r="LL40" s="59"/>
      <c r="LM40" s="59"/>
      <c r="LN40" s="59"/>
      <c r="LO40" s="59"/>
      <c r="LP40" s="59"/>
      <c r="LQ40" s="59"/>
      <c r="LR40" s="59"/>
      <c r="LS40" s="59"/>
      <c r="LT40" s="59"/>
      <c r="LU40" s="59"/>
      <c r="LV40" s="59"/>
      <c r="LW40" s="59"/>
      <c r="LX40" s="59"/>
      <c r="LY40" s="59"/>
      <c r="LZ40" s="59"/>
      <c r="MA40" s="59"/>
      <c r="MB40" s="59"/>
      <c r="MC40" s="59"/>
      <c r="MD40" s="59"/>
      <c r="ME40" s="59"/>
      <c r="MF40" s="59"/>
      <c r="MG40" s="59"/>
      <c r="MH40" s="59"/>
      <c r="MI40" s="59"/>
      <c r="MJ40" s="59"/>
      <c r="MK40" s="59"/>
      <c r="ML40" s="59"/>
      <c r="MM40" s="59"/>
      <c r="MN40" s="59"/>
      <c r="MO40" s="59"/>
      <c r="MP40" s="59"/>
      <c r="MQ40" s="59"/>
      <c r="MR40" s="59"/>
      <c r="MS40" s="59"/>
      <c r="MT40" s="59"/>
      <c r="MU40" s="59"/>
      <c r="MV40" s="59"/>
      <c r="MW40" s="59"/>
      <c r="MX40" s="59"/>
      <c r="MY40" s="59"/>
      <c r="MZ40" s="59"/>
      <c r="NA40" s="59"/>
      <c r="NB40" s="59"/>
      <c r="NC40" s="59"/>
      <c r="ND40" s="59"/>
      <c r="NE40" s="59"/>
      <c r="NF40" s="59"/>
      <c r="NG40" s="59"/>
      <c r="NH40" s="59"/>
      <c r="NI40" s="59"/>
      <c r="NJ40" s="59"/>
      <c r="NK40" s="59"/>
      <c r="NL40" s="60"/>
    </row>
    <row r="41" spans="1:376" x14ac:dyDescent="0.15">
      <c r="A41" s="23">
        <v>15</v>
      </c>
      <c r="B41" s="24" t="s">
        <v>120</v>
      </c>
      <c r="C41" s="45" t="s">
        <v>132</v>
      </c>
      <c r="D41" s="26" t="s">
        <v>164</v>
      </c>
      <c r="E41" s="27" t="s">
        <v>13</v>
      </c>
      <c r="F41" s="28">
        <v>42924</v>
      </c>
      <c r="G41" s="28">
        <v>42924</v>
      </c>
      <c r="H41" s="29">
        <f t="shared" si="229"/>
        <v>4</v>
      </c>
      <c r="I41" s="30"/>
      <c r="J41" s="31"/>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3"/>
      <c r="AQ41" s="33"/>
      <c r="AR41" s="33"/>
      <c r="AS41" s="33"/>
      <c r="AT41" s="33"/>
      <c r="AU41" s="33"/>
      <c r="AV41" s="33"/>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33"/>
      <c r="CG41" s="33"/>
      <c r="CH41" s="33"/>
      <c r="CI41" s="33"/>
      <c r="CJ41" s="33"/>
      <c r="CK41" s="33"/>
      <c r="CL41" s="33"/>
      <c r="CM41" s="33"/>
      <c r="CN41" s="33"/>
      <c r="CO41" s="33"/>
      <c r="CP41" s="33"/>
      <c r="CQ41" s="33"/>
      <c r="CR41" s="33"/>
      <c r="CS41" s="33"/>
      <c r="CT41" s="33"/>
      <c r="CU41" s="33"/>
      <c r="CV41" s="33"/>
      <c r="CW41" s="33"/>
      <c r="CX41" s="33"/>
      <c r="CY41" s="33"/>
      <c r="CZ41" s="33"/>
      <c r="DA41" s="33"/>
      <c r="DB41" s="33">
        <v>4</v>
      </c>
      <c r="DC41" s="33"/>
      <c r="DD41" s="33"/>
      <c r="DE41" s="33"/>
      <c r="DF41" s="33"/>
      <c r="DG41" s="33"/>
      <c r="DH41" s="33"/>
      <c r="DI41" s="33"/>
      <c r="DJ41" s="33"/>
      <c r="DK41" s="33"/>
      <c r="DL41" s="33"/>
      <c r="DM41" s="33"/>
      <c r="DN41" s="33"/>
      <c r="DO41" s="33"/>
      <c r="DP41" s="33"/>
      <c r="DQ41" s="33"/>
      <c r="DR41" s="33"/>
      <c r="DS41" s="33"/>
      <c r="DT41" s="33"/>
      <c r="DU41" s="33"/>
      <c r="DV41" s="33"/>
      <c r="DW41" s="33"/>
      <c r="DX41" s="33"/>
      <c r="DY41" s="33"/>
      <c r="DZ41" s="33"/>
      <c r="EA41" s="33"/>
      <c r="EB41" s="33"/>
      <c r="EC41" s="33"/>
      <c r="ED41" s="33"/>
      <c r="EE41" s="33"/>
      <c r="EF41" s="33"/>
      <c r="EG41" s="33"/>
      <c r="EH41" s="33"/>
      <c r="EI41" s="33"/>
      <c r="EJ41" s="33"/>
      <c r="EK41" s="33"/>
      <c r="EL41" s="33"/>
      <c r="EM41" s="33"/>
      <c r="EN41" s="33"/>
      <c r="EO41" s="33"/>
      <c r="EP41" s="33"/>
      <c r="EQ41" s="33"/>
      <c r="ER41" s="33"/>
      <c r="ES41" s="33"/>
      <c r="ET41" s="33"/>
      <c r="EU41" s="33"/>
      <c r="EV41" s="33"/>
      <c r="EW41" s="33"/>
      <c r="EX41" s="33"/>
      <c r="EY41" s="33"/>
      <c r="EZ41" s="33"/>
      <c r="FA41" s="33"/>
      <c r="FB41" s="33"/>
      <c r="FC41" s="33"/>
      <c r="FD41" s="33"/>
      <c r="FE41" s="33"/>
      <c r="FF41" s="33"/>
      <c r="FG41" s="33"/>
      <c r="FH41" s="33"/>
      <c r="FI41" s="33"/>
      <c r="FJ41" s="33"/>
      <c r="FK41" s="33"/>
      <c r="FL41" s="33"/>
      <c r="FM41" s="33"/>
      <c r="FN41" s="33"/>
      <c r="FO41" s="33"/>
      <c r="FP41" s="33"/>
      <c r="FQ41" s="33"/>
      <c r="FR41" s="33"/>
      <c r="FS41" s="33"/>
      <c r="FT41" s="33"/>
      <c r="FU41" s="33"/>
      <c r="FV41" s="33"/>
      <c r="FW41" s="33"/>
      <c r="FX41" s="33"/>
      <c r="FY41" s="33"/>
      <c r="FZ41" s="33"/>
      <c r="GA41" s="33"/>
      <c r="GB41" s="33"/>
      <c r="GC41" s="33"/>
      <c r="GD41" s="33"/>
      <c r="GE41" s="33"/>
      <c r="GF41" s="33"/>
      <c r="GG41" s="33"/>
      <c r="GH41" s="33"/>
      <c r="GI41" s="33"/>
      <c r="GJ41" s="33"/>
      <c r="GK41" s="33"/>
      <c r="GL41" s="33"/>
      <c r="GM41" s="33"/>
      <c r="GN41" s="33"/>
      <c r="GO41" s="33"/>
      <c r="GP41" s="33"/>
      <c r="GQ41" s="33"/>
      <c r="GR41" s="33"/>
      <c r="GS41" s="33"/>
      <c r="GT41" s="33"/>
      <c r="GU41" s="33"/>
      <c r="GV41" s="33"/>
      <c r="GW41" s="33"/>
      <c r="GX41" s="33"/>
      <c r="GY41" s="33"/>
      <c r="GZ41" s="33"/>
      <c r="HA41" s="33"/>
      <c r="HB41" s="33"/>
      <c r="HC41" s="33"/>
      <c r="HD41" s="33"/>
      <c r="HE41" s="33"/>
      <c r="HF41" s="33"/>
      <c r="HG41" s="33"/>
      <c r="HH41" s="33"/>
      <c r="HI41" s="33"/>
      <c r="HJ41" s="33"/>
      <c r="HK41" s="33"/>
      <c r="HL41" s="33"/>
      <c r="HM41" s="33"/>
      <c r="HN41" s="33"/>
      <c r="HO41" s="33"/>
      <c r="HP41" s="33"/>
      <c r="HQ41" s="33"/>
      <c r="HR41" s="33"/>
      <c r="HS41" s="33"/>
      <c r="HT41" s="33"/>
      <c r="HU41" s="33"/>
      <c r="HV41" s="33"/>
      <c r="HW41" s="33"/>
      <c r="HX41" s="33"/>
      <c r="HY41" s="33"/>
      <c r="HZ41" s="33"/>
      <c r="IA41" s="33"/>
      <c r="IB41" s="33"/>
      <c r="IC41" s="33"/>
      <c r="ID41" s="33"/>
      <c r="IE41" s="33"/>
      <c r="IF41" s="33"/>
      <c r="IG41" s="33"/>
      <c r="IH41" s="33"/>
      <c r="II41" s="33"/>
      <c r="IJ41" s="33"/>
      <c r="IK41" s="33"/>
      <c r="IL41" s="33"/>
      <c r="IM41" s="33"/>
      <c r="IN41" s="33"/>
      <c r="IO41" s="33"/>
      <c r="IP41" s="33"/>
      <c r="IQ41" s="33"/>
      <c r="IR41" s="33"/>
      <c r="IS41" s="33"/>
      <c r="IT41" s="33"/>
      <c r="IU41" s="33"/>
      <c r="IV41" s="33"/>
      <c r="IW41" s="33"/>
      <c r="IX41" s="33"/>
      <c r="IY41" s="33"/>
      <c r="IZ41" s="33"/>
      <c r="JA41" s="33"/>
      <c r="JB41" s="33"/>
      <c r="JC41" s="33"/>
      <c r="JD41" s="33"/>
      <c r="JE41" s="33"/>
      <c r="JF41" s="33"/>
      <c r="JG41" s="33"/>
      <c r="JH41" s="33"/>
      <c r="JI41" s="33"/>
      <c r="JJ41" s="33"/>
      <c r="JK41" s="33"/>
      <c r="JL41" s="33"/>
      <c r="JM41" s="33"/>
      <c r="JN41" s="33"/>
      <c r="JO41" s="33"/>
      <c r="JP41" s="33"/>
      <c r="JQ41" s="33"/>
      <c r="JR41" s="33"/>
      <c r="JS41" s="33"/>
      <c r="JT41" s="33"/>
      <c r="JU41" s="33"/>
      <c r="JV41" s="33"/>
      <c r="JW41" s="33"/>
      <c r="JX41" s="33"/>
      <c r="JY41" s="33"/>
      <c r="JZ41" s="33"/>
      <c r="KA41" s="33"/>
      <c r="KB41" s="33"/>
      <c r="KC41" s="33"/>
      <c r="KD41" s="33"/>
      <c r="KE41" s="33"/>
      <c r="KF41" s="33"/>
      <c r="KG41" s="33"/>
      <c r="KH41" s="33"/>
      <c r="KI41" s="33"/>
      <c r="KJ41" s="33"/>
      <c r="KK41" s="33"/>
      <c r="KL41" s="33"/>
      <c r="KM41" s="33"/>
      <c r="KN41" s="33"/>
      <c r="KO41" s="33"/>
      <c r="KP41" s="33"/>
      <c r="KQ41" s="33"/>
      <c r="KR41" s="33"/>
      <c r="KS41" s="33"/>
      <c r="KT41" s="33"/>
      <c r="KU41" s="33"/>
      <c r="KV41" s="33"/>
      <c r="KW41" s="33"/>
      <c r="KX41" s="33"/>
      <c r="KY41" s="33"/>
      <c r="KZ41" s="33"/>
      <c r="LA41" s="33"/>
      <c r="LB41" s="33"/>
      <c r="LC41" s="33"/>
      <c r="LD41" s="33"/>
      <c r="LE41" s="33"/>
      <c r="LF41" s="33"/>
      <c r="LG41" s="33"/>
      <c r="LH41" s="33"/>
      <c r="LI41" s="33"/>
      <c r="LJ41" s="33"/>
      <c r="LK41" s="33"/>
      <c r="LL41" s="33"/>
      <c r="LM41" s="33"/>
      <c r="LN41" s="33"/>
      <c r="LO41" s="33"/>
      <c r="LP41" s="33"/>
      <c r="LQ41" s="33"/>
      <c r="LR41" s="33"/>
      <c r="LS41" s="33"/>
      <c r="LT41" s="33"/>
      <c r="LU41" s="33"/>
      <c r="LV41" s="33"/>
      <c r="LW41" s="33"/>
      <c r="LX41" s="33"/>
      <c r="LY41" s="33"/>
      <c r="LZ41" s="33"/>
      <c r="MA41" s="33"/>
      <c r="MB41" s="33"/>
      <c r="MC41" s="33"/>
      <c r="MD41" s="33"/>
      <c r="ME41" s="33"/>
      <c r="MF41" s="33"/>
      <c r="MG41" s="33"/>
      <c r="MH41" s="33"/>
      <c r="MI41" s="33"/>
      <c r="MJ41" s="33"/>
      <c r="MK41" s="33"/>
      <c r="ML41" s="33"/>
      <c r="MM41" s="33"/>
      <c r="MN41" s="33"/>
      <c r="MO41" s="33"/>
      <c r="MP41" s="33"/>
      <c r="MQ41" s="33"/>
      <c r="MR41" s="33"/>
      <c r="MS41" s="33"/>
      <c r="MT41" s="33"/>
      <c r="MU41" s="33"/>
      <c r="MV41" s="33"/>
      <c r="MW41" s="33"/>
      <c r="MX41" s="33"/>
      <c r="MY41" s="33"/>
      <c r="MZ41" s="33"/>
      <c r="NA41" s="33"/>
      <c r="NB41" s="33"/>
      <c r="NC41" s="33"/>
      <c r="ND41" s="33"/>
      <c r="NE41" s="33"/>
      <c r="NF41" s="33"/>
      <c r="NG41" s="33"/>
      <c r="NH41" s="33"/>
      <c r="NI41" s="33"/>
      <c r="NJ41" s="33"/>
      <c r="NK41" s="33"/>
      <c r="NL41" s="34"/>
    </row>
    <row r="42" spans="1:376" x14ac:dyDescent="0.15">
      <c r="A42" s="35">
        <f>A41</f>
        <v>15</v>
      </c>
      <c r="B42" s="36" t="str">
        <f>B41</f>
        <v>FD</v>
      </c>
      <c r="C42" s="36" t="str">
        <f>C41</f>
        <v>監視端末機能評価仕様書レビュー</v>
      </c>
      <c r="D42" s="37" t="str">
        <f>D41</f>
        <v>伊藤</v>
      </c>
      <c r="E42" s="53" t="s">
        <v>0</v>
      </c>
      <c r="F42" s="39"/>
      <c r="G42" s="39"/>
      <c r="H42" s="55">
        <f t="shared" si="229"/>
        <v>0</v>
      </c>
      <c r="I42" s="56">
        <f>IF(OR(H41="",H42=""),"",H42-H41)</f>
        <v>-4</v>
      </c>
      <c r="J42" s="57"/>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59"/>
      <c r="BT42" s="59"/>
      <c r="BU42" s="59"/>
      <c r="BV42" s="59"/>
      <c r="BW42" s="59"/>
      <c r="BX42" s="59"/>
      <c r="BY42" s="59"/>
      <c r="BZ42" s="59"/>
      <c r="CA42" s="59"/>
      <c r="CB42" s="59"/>
      <c r="CC42" s="59"/>
      <c r="CD42" s="59"/>
      <c r="CE42" s="59"/>
      <c r="CF42" s="59"/>
      <c r="CG42" s="59"/>
      <c r="CH42" s="59"/>
      <c r="CI42" s="59"/>
      <c r="CJ42" s="59"/>
      <c r="CK42" s="59"/>
      <c r="CL42" s="59"/>
      <c r="CM42" s="59"/>
      <c r="CN42" s="59"/>
      <c r="CO42" s="59"/>
      <c r="CP42" s="59"/>
      <c r="CQ42" s="59"/>
      <c r="CR42" s="59"/>
      <c r="CS42" s="59"/>
      <c r="CT42" s="59"/>
      <c r="CU42" s="59"/>
      <c r="CV42" s="59"/>
      <c r="CW42" s="59"/>
      <c r="CX42" s="59"/>
      <c r="CY42" s="59"/>
      <c r="CZ42" s="59"/>
      <c r="DA42" s="59"/>
      <c r="DB42" s="59"/>
      <c r="DC42" s="59"/>
      <c r="DD42" s="59"/>
      <c r="DE42" s="59"/>
      <c r="DF42" s="59"/>
      <c r="DG42" s="59"/>
      <c r="DH42" s="59"/>
      <c r="DI42" s="59"/>
      <c r="DJ42" s="59"/>
      <c r="DK42" s="59"/>
      <c r="DL42" s="59"/>
      <c r="DM42" s="59"/>
      <c r="DN42" s="59"/>
      <c r="DO42" s="59"/>
      <c r="DP42" s="59"/>
      <c r="DQ42" s="59"/>
      <c r="DR42" s="59"/>
      <c r="DS42" s="59"/>
      <c r="DT42" s="59"/>
      <c r="DU42" s="59"/>
      <c r="DV42" s="59"/>
      <c r="DW42" s="59"/>
      <c r="DX42" s="59"/>
      <c r="DY42" s="59"/>
      <c r="DZ42" s="59"/>
      <c r="EA42" s="59"/>
      <c r="EB42" s="59"/>
      <c r="EC42" s="59"/>
      <c r="ED42" s="59"/>
      <c r="EE42" s="59"/>
      <c r="EF42" s="59"/>
      <c r="EG42" s="59"/>
      <c r="EH42" s="59"/>
      <c r="EI42" s="59"/>
      <c r="EJ42" s="59"/>
      <c r="EK42" s="59"/>
      <c r="EL42" s="59"/>
      <c r="EM42" s="59"/>
      <c r="EN42" s="59"/>
      <c r="EO42" s="59"/>
      <c r="EP42" s="59"/>
      <c r="EQ42" s="59"/>
      <c r="ER42" s="59"/>
      <c r="ES42" s="59"/>
      <c r="ET42" s="59"/>
      <c r="EU42" s="59"/>
      <c r="EV42" s="59"/>
      <c r="EW42" s="59"/>
      <c r="EX42" s="59"/>
      <c r="EY42" s="59"/>
      <c r="EZ42" s="59"/>
      <c r="FA42" s="59"/>
      <c r="FB42" s="59"/>
      <c r="FC42" s="59"/>
      <c r="FD42" s="59"/>
      <c r="FE42" s="59"/>
      <c r="FF42" s="59"/>
      <c r="FG42" s="59"/>
      <c r="FH42" s="59"/>
      <c r="FI42" s="59"/>
      <c r="FJ42" s="59"/>
      <c r="FK42" s="59"/>
      <c r="FL42" s="59"/>
      <c r="FM42" s="59"/>
      <c r="FN42" s="59"/>
      <c r="FO42" s="59"/>
      <c r="FP42" s="59"/>
      <c r="FQ42" s="59"/>
      <c r="FR42" s="59"/>
      <c r="FS42" s="59"/>
      <c r="FT42" s="59"/>
      <c r="FU42" s="59"/>
      <c r="FV42" s="59"/>
      <c r="FW42" s="59"/>
      <c r="FX42" s="59"/>
      <c r="FY42" s="59"/>
      <c r="FZ42" s="59"/>
      <c r="GA42" s="59"/>
      <c r="GB42" s="59"/>
      <c r="GC42" s="59"/>
      <c r="GD42" s="59"/>
      <c r="GE42" s="59"/>
      <c r="GF42" s="59"/>
      <c r="GG42" s="59"/>
      <c r="GH42" s="59"/>
      <c r="GI42" s="59"/>
      <c r="GJ42" s="59"/>
      <c r="GK42" s="59"/>
      <c r="GL42" s="59"/>
      <c r="GM42" s="59"/>
      <c r="GN42" s="59"/>
      <c r="GO42" s="59"/>
      <c r="GP42" s="59"/>
      <c r="GQ42" s="59"/>
      <c r="GR42" s="59"/>
      <c r="GS42" s="59"/>
      <c r="GT42" s="59"/>
      <c r="GU42" s="59"/>
      <c r="GV42" s="59"/>
      <c r="GW42" s="59"/>
      <c r="GX42" s="59"/>
      <c r="GY42" s="59"/>
      <c r="GZ42" s="59"/>
      <c r="HA42" s="59"/>
      <c r="HB42" s="59"/>
      <c r="HC42" s="59"/>
      <c r="HD42" s="59"/>
      <c r="HE42" s="59"/>
      <c r="HF42" s="59"/>
      <c r="HG42" s="59"/>
      <c r="HH42" s="59"/>
      <c r="HI42" s="59"/>
      <c r="HJ42" s="59"/>
      <c r="HK42" s="59"/>
      <c r="HL42" s="59"/>
      <c r="HM42" s="59"/>
      <c r="HN42" s="59"/>
      <c r="HO42" s="59"/>
      <c r="HP42" s="59"/>
      <c r="HQ42" s="59"/>
      <c r="HR42" s="59"/>
      <c r="HS42" s="59"/>
      <c r="HT42" s="59"/>
      <c r="HU42" s="59"/>
      <c r="HV42" s="59"/>
      <c r="HW42" s="59"/>
      <c r="HX42" s="59"/>
      <c r="HY42" s="59"/>
      <c r="HZ42" s="59"/>
      <c r="IA42" s="59"/>
      <c r="IB42" s="59"/>
      <c r="IC42" s="59"/>
      <c r="ID42" s="59"/>
      <c r="IE42" s="59"/>
      <c r="IF42" s="59"/>
      <c r="IG42" s="59"/>
      <c r="IH42" s="59"/>
      <c r="II42" s="59"/>
      <c r="IJ42" s="59"/>
      <c r="IK42" s="59"/>
      <c r="IL42" s="59"/>
      <c r="IM42" s="59"/>
      <c r="IN42" s="59"/>
      <c r="IO42" s="59"/>
      <c r="IP42" s="59"/>
      <c r="IQ42" s="59"/>
      <c r="IR42" s="59"/>
      <c r="IS42" s="59"/>
      <c r="IT42" s="59"/>
      <c r="IU42" s="59"/>
      <c r="IV42" s="59"/>
      <c r="IW42" s="59"/>
      <c r="IX42" s="59"/>
      <c r="IY42" s="59"/>
      <c r="IZ42" s="59"/>
      <c r="JA42" s="59"/>
      <c r="JB42" s="59"/>
      <c r="JC42" s="59"/>
      <c r="JD42" s="59"/>
      <c r="JE42" s="59"/>
      <c r="JF42" s="59"/>
      <c r="JG42" s="59"/>
      <c r="JH42" s="59"/>
      <c r="JI42" s="59"/>
      <c r="JJ42" s="59"/>
      <c r="JK42" s="59"/>
      <c r="JL42" s="59"/>
      <c r="JM42" s="59"/>
      <c r="JN42" s="59"/>
      <c r="JO42" s="59"/>
      <c r="JP42" s="59"/>
      <c r="JQ42" s="59"/>
      <c r="JR42" s="59"/>
      <c r="JS42" s="59"/>
      <c r="JT42" s="59"/>
      <c r="JU42" s="59"/>
      <c r="JV42" s="59"/>
      <c r="JW42" s="59"/>
      <c r="JX42" s="59"/>
      <c r="JY42" s="59"/>
      <c r="JZ42" s="59"/>
      <c r="KA42" s="59"/>
      <c r="KB42" s="59"/>
      <c r="KC42" s="59"/>
      <c r="KD42" s="59"/>
      <c r="KE42" s="59"/>
      <c r="KF42" s="59"/>
      <c r="KG42" s="59"/>
      <c r="KH42" s="59"/>
      <c r="KI42" s="59"/>
      <c r="KJ42" s="59"/>
      <c r="KK42" s="59"/>
      <c r="KL42" s="59"/>
      <c r="KM42" s="59"/>
      <c r="KN42" s="59"/>
      <c r="KO42" s="59"/>
      <c r="KP42" s="59"/>
      <c r="KQ42" s="59"/>
      <c r="KR42" s="59"/>
      <c r="KS42" s="59"/>
      <c r="KT42" s="59"/>
      <c r="KU42" s="59"/>
      <c r="KV42" s="59"/>
      <c r="KW42" s="59"/>
      <c r="KX42" s="59"/>
      <c r="KY42" s="59"/>
      <c r="KZ42" s="59"/>
      <c r="LA42" s="59"/>
      <c r="LB42" s="59"/>
      <c r="LC42" s="59"/>
      <c r="LD42" s="59"/>
      <c r="LE42" s="59"/>
      <c r="LF42" s="59"/>
      <c r="LG42" s="59"/>
      <c r="LH42" s="59"/>
      <c r="LI42" s="59"/>
      <c r="LJ42" s="59"/>
      <c r="LK42" s="59"/>
      <c r="LL42" s="59"/>
      <c r="LM42" s="59"/>
      <c r="LN42" s="59"/>
      <c r="LO42" s="59"/>
      <c r="LP42" s="59"/>
      <c r="LQ42" s="59"/>
      <c r="LR42" s="59"/>
      <c r="LS42" s="59"/>
      <c r="LT42" s="59"/>
      <c r="LU42" s="59"/>
      <c r="LV42" s="59"/>
      <c r="LW42" s="59"/>
      <c r="LX42" s="59"/>
      <c r="LY42" s="59"/>
      <c r="LZ42" s="59"/>
      <c r="MA42" s="59"/>
      <c r="MB42" s="59"/>
      <c r="MC42" s="59"/>
      <c r="MD42" s="59"/>
      <c r="ME42" s="59"/>
      <c r="MF42" s="59"/>
      <c r="MG42" s="59"/>
      <c r="MH42" s="59"/>
      <c r="MI42" s="59"/>
      <c r="MJ42" s="59"/>
      <c r="MK42" s="59"/>
      <c r="ML42" s="59"/>
      <c r="MM42" s="59"/>
      <c r="MN42" s="59"/>
      <c r="MO42" s="59"/>
      <c r="MP42" s="59"/>
      <c r="MQ42" s="59"/>
      <c r="MR42" s="59"/>
      <c r="MS42" s="59"/>
      <c r="MT42" s="59"/>
      <c r="MU42" s="59"/>
      <c r="MV42" s="59"/>
      <c r="MW42" s="59"/>
      <c r="MX42" s="59"/>
      <c r="MY42" s="59"/>
      <c r="MZ42" s="59"/>
      <c r="NA42" s="59"/>
      <c r="NB42" s="59"/>
      <c r="NC42" s="59"/>
      <c r="ND42" s="59"/>
      <c r="NE42" s="59"/>
      <c r="NF42" s="59"/>
      <c r="NG42" s="59"/>
      <c r="NH42" s="59"/>
      <c r="NI42" s="59"/>
      <c r="NJ42" s="59"/>
      <c r="NK42" s="59"/>
      <c r="NL42" s="60"/>
    </row>
    <row r="43" spans="1:376" x14ac:dyDescent="0.15">
      <c r="A43" s="23">
        <v>16</v>
      </c>
      <c r="B43" s="24" t="s">
        <v>120</v>
      </c>
      <c r="C43" s="45" t="s">
        <v>133</v>
      </c>
      <c r="D43" s="26" t="s">
        <v>166</v>
      </c>
      <c r="E43" s="27" t="s">
        <v>13</v>
      </c>
      <c r="F43" s="47">
        <v>42925</v>
      </c>
      <c r="G43" s="47">
        <v>42932</v>
      </c>
      <c r="H43" s="29">
        <f t="shared" si="229"/>
        <v>6</v>
      </c>
      <c r="I43" s="30"/>
      <c r="J43" s="31"/>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3"/>
      <c r="AQ43" s="33"/>
      <c r="AR43" s="33"/>
      <c r="AS43" s="33"/>
      <c r="AT43" s="33"/>
      <c r="AU43" s="33"/>
      <c r="AV43" s="33"/>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33"/>
      <c r="CG43" s="33"/>
      <c r="CH43" s="33"/>
      <c r="CI43" s="33"/>
      <c r="CJ43" s="33"/>
      <c r="CK43" s="33"/>
      <c r="CL43" s="33"/>
      <c r="CM43" s="33"/>
      <c r="CN43" s="33"/>
      <c r="CO43" s="33"/>
      <c r="CP43" s="33"/>
      <c r="CQ43" s="33"/>
      <c r="CR43" s="33"/>
      <c r="CS43" s="33"/>
      <c r="CT43" s="33"/>
      <c r="CU43" s="33"/>
      <c r="CV43" s="33"/>
      <c r="CW43" s="33"/>
      <c r="CX43" s="33"/>
      <c r="CY43" s="33"/>
      <c r="CZ43" s="33"/>
      <c r="DA43" s="33"/>
      <c r="DB43" s="33"/>
      <c r="DC43" s="33">
        <v>2</v>
      </c>
      <c r="DD43" s="33"/>
      <c r="DE43" s="33"/>
      <c r="DF43" s="33"/>
      <c r="DG43" s="33"/>
      <c r="DH43" s="33"/>
      <c r="DI43" s="33">
        <v>4</v>
      </c>
      <c r="DJ43" s="33"/>
      <c r="DK43" s="33"/>
      <c r="DL43" s="33"/>
      <c r="DM43" s="33"/>
      <c r="DN43" s="33"/>
      <c r="DO43" s="33"/>
      <c r="DP43" s="33"/>
      <c r="DQ43" s="33"/>
      <c r="DR43" s="33"/>
      <c r="DS43" s="33"/>
      <c r="DT43" s="33"/>
      <c r="DU43" s="33"/>
      <c r="DV43" s="33"/>
      <c r="DW43" s="33"/>
      <c r="DX43" s="33"/>
      <c r="DY43" s="33"/>
      <c r="DZ43" s="33"/>
      <c r="EA43" s="33"/>
      <c r="EB43" s="33"/>
      <c r="EC43" s="33"/>
      <c r="ED43" s="33"/>
      <c r="EE43" s="33"/>
      <c r="EF43" s="33"/>
      <c r="EG43" s="33"/>
      <c r="EH43" s="33"/>
      <c r="EI43" s="33"/>
      <c r="EJ43" s="33"/>
      <c r="EK43" s="33"/>
      <c r="EL43" s="33"/>
      <c r="EM43" s="33"/>
      <c r="EN43" s="33"/>
      <c r="EO43" s="33"/>
      <c r="EP43" s="33"/>
      <c r="EQ43" s="33"/>
      <c r="ER43" s="33"/>
      <c r="ES43" s="33"/>
      <c r="ET43" s="33"/>
      <c r="EU43" s="33"/>
      <c r="EV43" s="33"/>
      <c r="EW43" s="33"/>
      <c r="EX43" s="33"/>
      <c r="EY43" s="33"/>
      <c r="EZ43" s="33"/>
      <c r="FA43" s="33"/>
      <c r="FB43" s="33"/>
      <c r="FC43" s="33"/>
      <c r="FD43" s="33"/>
      <c r="FE43" s="33"/>
      <c r="FF43" s="33"/>
      <c r="FG43" s="33"/>
      <c r="FH43" s="33"/>
      <c r="FI43" s="33"/>
      <c r="FJ43" s="33"/>
      <c r="FK43" s="33"/>
      <c r="FL43" s="33"/>
      <c r="FM43" s="33"/>
      <c r="FN43" s="33"/>
      <c r="FO43" s="33"/>
      <c r="FP43" s="33"/>
      <c r="FQ43" s="33"/>
      <c r="FR43" s="33"/>
      <c r="FS43" s="33"/>
      <c r="FT43" s="33"/>
      <c r="FU43" s="33"/>
      <c r="FV43" s="33"/>
      <c r="FW43" s="33"/>
      <c r="FX43" s="33"/>
      <c r="FY43" s="33"/>
      <c r="FZ43" s="33"/>
      <c r="GA43" s="33"/>
      <c r="GB43" s="33"/>
      <c r="GC43" s="33"/>
      <c r="GD43" s="33"/>
      <c r="GE43" s="33"/>
      <c r="GF43" s="33"/>
      <c r="GG43" s="33"/>
      <c r="GH43" s="33"/>
      <c r="GI43" s="33"/>
      <c r="GJ43" s="33"/>
      <c r="GK43" s="33"/>
      <c r="GL43" s="33"/>
      <c r="GM43" s="33"/>
      <c r="GN43" s="33"/>
      <c r="GO43" s="33"/>
      <c r="GP43" s="33"/>
      <c r="GQ43" s="33"/>
      <c r="GR43" s="33"/>
      <c r="GS43" s="33"/>
      <c r="GT43" s="33"/>
      <c r="GU43" s="33"/>
      <c r="GV43" s="33"/>
      <c r="GW43" s="33"/>
      <c r="GX43" s="33"/>
      <c r="GY43" s="33"/>
      <c r="GZ43" s="33"/>
      <c r="HA43" s="33"/>
      <c r="HB43" s="33"/>
      <c r="HC43" s="33"/>
      <c r="HD43" s="33"/>
      <c r="HE43" s="33"/>
      <c r="HF43" s="33"/>
      <c r="HG43" s="33"/>
      <c r="HH43" s="33"/>
      <c r="HI43" s="33"/>
      <c r="HJ43" s="33"/>
      <c r="HK43" s="33"/>
      <c r="HL43" s="33"/>
      <c r="HM43" s="33"/>
      <c r="HN43" s="33"/>
      <c r="HO43" s="33"/>
      <c r="HP43" s="33"/>
      <c r="HQ43" s="33"/>
      <c r="HR43" s="33"/>
      <c r="HS43" s="33"/>
      <c r="HT43" s="33"/>
      <c r="HU43" s="33"/>
      <c r="HV43" s="33"/>
      <c r="HW43" s="33"/>
      <c r="HX43" s="33"/>
      <c r="HY43" s="33"/>
      <c r="HZ43" s="33"/>
      <c r="IA43" s="33"/>
      <c r="IB43" s="33"/>
      <c r="IC43" s="33"/>
      <c r="ID43" s="33"/>
      <c r="IE43" s="33"/>
      <c r="IF43" s="33"/>
      <c r="IG43" s="33"/>
      <c r="IH43" s="33"/>
      <c r="II43" s="33"/>
      <c r="IJ43" s="33"/>
      <c r="IK43" s="33"/>
      <c r="IL43" s="33"/>
      <c r="IM43" s="33"/>
      <c r="IN43" s="33"/>
      <c r="IO43" s="33"/>
      <c r="IP43" s="33"/>
      <c r="IQ43" s="33"/>
      <c r="IR43" s="33"/>
      <c r="IS43" s="33"/>
      <c r="IT43" s="33"/>
      <c r="IU43" s="33"/>
      <c r="IV43" s="33"/>
      <c r="IW43" s="33"/>
      <c r="IX43" s="33"/>
      <c r="IY43" s="33"/>
      <c r="IZ43" s="33"/>
      <c r="JA43" s="33"/>
      <c r="JB43" s="33"/>
      <c r="JC43" s="33"/>
      <c r="JD43" s="33"/>
      <c r="JE43" s="33"/>
      <c r="JF43" s="33"/>
      <c r="JG43" s="33"/>
      <c r="JH43" s="33"/>
      <c r="JI43" s="33"/>
      <c r="JJ43" s="33"/>
      <c r="JK43" s="33"/>
      <c r="JL43" s="33"/>
      <c r="JM43" s="33"/>
      <c r="JN43" s="33"/>
      <c r="JO43" s="33"/>
      <c r="JP43" s="33"/>
      <c r="JQ43" s="33"/>
      <c r="JR43" s="33"/>
      <c r="JS43" s="33"/>
      <c r="JT43" s="33"/>
      <c r="JU43" s="33"/>
      <c r="JV43" s="33"/>
      <c r="JW43" s="33"/>
      <c r="JX43" s="33"/>
      <c r="JY43" s="33"/>
      <c r="JZ43" s="33"/>
      <c r="KA43" s="33"/>
      <c r="KB43" s="33"/>
      <c r="KC43" s="33"/>
      <c r="KD43" s="33"/>
      <c r="KE43" s="33"/>
      <c r="KF43" s="33"/>
      <c r="KG43" s="33"/>
      <c r="KH43" s="33"/>
      <c r="KI43" s="33"/>
      <c r="KJ43" s="33"/>
      <c r="KK43" s="33"/>
      <c r="KL43" s="33"/>
      <c r="KM43" s="33"/>
      <c r="KN43" s="33"/>
      <c r="KO43" s="33"/>
      <c r="KP43" s="33"/>
      <c r="KQ43" s="33"/>
      <c r="KR43" s="33"/>
      <c r="KS43" s="33"/>
      <c r="KT43" s="33"/>
      <c r="KU43" s="33"/>
      <c r="KV43" s="33"/>
      <c r="KW43" s="33"/>
      <c r="KX43" s="33"/>
      <c r="KY43" s="33"/>
      <c r="KZ43" s="33"/>
      <c r="LA43" s="33"/>
      <c r="LB43" s="33"/>
      <c r="LC43" s="33"/>
      <c r="LD43" s="33"/>
      <c r="LE43" s="33"/>
      <c r="LF43" s="33"/>
      <c r="LG43" s="33"/>
      <c r="LH43" s="33"/>
      <c r="LI43" s="33"/>
      <c r="LJ43" s="33"/>
      <c r="LK43" s="33"/>
      <c r="LL43" s="33"/>
      <c r="LM43" s="33"/>
      <c r="LN43" s="33"/>
      <c r="LO43" s="33"/>
      <c r="LP43" s="33"/>
      <c r="LQ43" s="33"/>
      <c r="LR43" s="33"/>
      <c r="LS43" s="33"/>
      <c r="LT43" s="33"/>
      <c r="LU43" s="33"/>
      <c r="LV43" s="33"/>
      <c r="LW43" s="33"/>
      <c r="LX43" s="33"/>
      <c r="LY43" s="33"/>
      <c r="LZ43" s="33"/>
      <c r="MA43" s="33"/>
      <c r="MB43" s="33"/>
      <c r="MC43" s="33"/>
      <c r="MD43" s="33"/>
      <c r="ME43" s="33"/>
      <c r="MF43" s="33"/>
      <c r="MG43" s="33"/>
      <c r="MH43" s="33"/>
      <c r="MI43" s="33"/>
      <c r="MJ43" s="33"/>
      <c r="MK43" s="33"/>
      <c r="ML43" s="33"/>
      <c r="MM43" s="33"/>
      <c r="MN43" s="33"/>
      <c r="MO43" s="33"/>
      <c r="MP43" s="33"/>
      <c r="MQ43" s="33"/>
      <c r="MR43" s="33"/>
      <c r="MS43" s="33"/>
      <c r="MT43" s="33"/>
      <c r="MU43" s="33"/>
      <c r="MV43" s="33"/>
      <c r="MW43" s="33"/>
      <c r="MX43" s="33"/>
      <c r="MY43" s="33"/>
      <c r="MZ43" s="33"/>
      <c r="NA43" s="33"/>
      <c r="NB43" s="33"/>
      <c r="NC43" s="33"/>
      <c r="ND43" s="33"/>
      <c r="NE43" s="33"/>
      <c r="NF43" s="33"/>
      <c r="NG43" s="33"/>
      <c r="NH43" s="33"/>
      <c r="NI43" s="33"/>
      <c r="NJ43" s="33"/>
      <c r="NK43" s="33"/>
      <c r="NL43" s="34"/>
    </row>
    <row r="44" spans="1:376" x14ac:dyDescent="0.15">
      <c r="A44" s="35">
        <f>A43</f>
        <v>16</v>
      </c>
      <c r="B44" s="36" t="str">
        <f>B43</f>
        <v>FD</v>
      </c>
      <c r="C44" s="36" t="str">
        <f>C43</f>
        <v>監視端末機能評価仕様書レビュー指摘対応</v>
      </c>
      <c r="D44" s="37" t="str">
        <f>D43</f>
        <v>長田</v>
      </c>
      <c r="E44" s="53" t="s">
        <v>0</v>
      </c>
      <c r="F44" s="54"/>
      <c r="G44" s="54"/>
      <c r="H44" s="55">
        <f t="shared" si="229"/>
        <v>0</v>
      </c>
      <c r="I44" s="56">
        <f>IF(OR(H43="",H44=""),"",H44-H43)</f>
        <v>-6</v>
      </c>
      <c r="J44" s="57"/>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59"/>
      <c r="BT44" s="59"/>
      <c r="BU44" s="59"/>
      <c r="BV44" s="59"/>
      <c r="BW44" s="59"/>
      <c r="BX44" s="59"/>
      <c r="BY44" s="59"/>
      <c r="BZ44" s="59"/>
      <c r="CA44" s="59"/>
      <c r="CB44" s="59"/>
      <c r="CC44" s="59"/>
      <c r="CD44" s="59"/>
      <c r="CE44" s="59"/>
      <c r="CF44" s="59"/>
      <c r="CG44" s="59"/>
      <c r="CH44" s="59"/>
      <c r="CI44" s="59"/>
      <c r="CJ44" s="59"/>
      <c r="CK44" s="59"/>
      <c r="CL44" s="59"/>
      <c r="CM44" s="59"/>
      <c r="CN44" s="59"/>
      <c r="CO44" s="59"/>
      <c r="CP44" s="59"/>
      <c r="CQ44" s="59"/>
      <c r="CR44" s="59"/>
      <c r="CS44" s="59"/>
      <c r="CT44" s="59"/>
      <c r="CU44" s="59"/>
      <c r="CV44" s="59"/>
      <c r="CW44" s="59"/>
      <c r="CX44" s="59"/>
      <c r="CY44" s="59"/>
      <c r="CZ44" s="59"/>
      <c r="DA44" s="59"/>
      <c r="DB44" s="59"/>
      <c r="DC44" s="59"/>
      <c r="DD44" s="59"/>
      <c r="DE44" s="59"/>
      <c r="DF44" s="59"/>
      <c r="DG44" s="59"/>
      <c r="DH44" s="59"/>
      <c r="DI44" s="59"/>
      <c r="DJ44" s="59"/>
      <c r="DK44" s="59"/>
      <c r="DL44" s="59"/>
      <c r="DM44" s="59"/>
      <c r="DN44" s="59"/>
      <c r="DO44" s="59"/>
      <c r="DP44" s="59"/>
      <c r="DQ44" s="59"/>
      <c r="DR44" s="59"/>
      <c r="DS44" s="59"/>
      <c r="DT44" s="59"/>
      <c r="DU44" s="59"/>
      <c r="DV44" s="59"/>
      <c r="DW44" s="59"/>
      <c r="DX44" s="59"/>
      <c r="DY44" s="59"/>
      <c r="DZ44" s="59"/>
      <c r="EA44" s="59"/>
      <c r="EB44" s="59"/>
      <c r="EC44" s="59"/>
      <c r="ED44" s="59"/>
      <c r="EE44" s="59"/>
      <c r="EF44" s="59"/>
      <c r="EG44" s="59"/>
      <c r="EH44" s="59"/>
      <c r="EI44" s="59"/>
      <c r="EJ44" s="59"/>
      <c r="EK44" s="59"/>
      <c r="EL44" s="59"/>
      <c r="EM44" s="59"/>
      <c r="EN44" s="59"/>
      <c r="EO44" s="59"/>
      <c r="EP44" s="59"/>
      <c r="EQ44" s="59"/>
      <c r="ER44" s="59"/>
      <c r="ES44" s="59"/>
      <c r="ET44" s="59"/>
      <c r="EU44" s="59"/>
      <c r="EV44" s="59"/>
      <c r="EW44" s="59"/>
      <c r="EX44" s="59"/>
      <c r="EY44" s="59"/>
      <c r="EZ44" s="59"/>
      <c r="FA44" s="59"/>
      <c r="FB44" s="59"/>
      <c r="FC44" s="59"/>
      <c r="FD44" s="59"/>
      <c r="FE44" s="59"/>
      <c r="FF44" s="59"/>
      <c r="FG44" s="59"/>
      <c r="FH44" s="59"/>
      <c r="FI44" s="59"/>
      <c r="FJ44" s="59"/>
      <c r="FK44" s="59"/>
      <c r="FL44" s="59"/>
      <c r="FM44" s="59"/>
      <c r="FN44" s="59"/>
      <c r="FO44" s="59"/>
      <c r="FP44" s="59"/>
      <c r="FQ44" s="59"/>
      <c r="FR44" s="59"/>
      <c r="FS44" s="59"/>
      <c r="FT44" s="59"/>
      <c r="FU44" s="59"/>
      <c r="FV44" s="59"/>
      <c r="FW44" s="59"/>
      <c r="FX44" s="59"/>
      <c r="FY44" s="59"/>
      <c r="FZ44" s="59"/>
      <c r="GA44" s="59"/>
      <c r="GB44" s="59"/>
      <c r="GC44" s="59"/>
      <c r="GD44" s="59"/>
      <c r="GE44" s="59"/>
      <c r="GF44" s="59"/>
      <c r="GG44" s="59"/>
      <c r="GH44" s="59"/>
      <c r="GI44" s="59"/>
      <c r="GJ44" s="59"/>
      <c r="GK44" s="59"/>
      <c r="GL44" s="59"/>
      <c r="GM44" s="59"/>
      <c r="GN44" s="59"/>
      <c r="GO44" s="59"/>
      <c r="GP44" s="59"/>
      <c r="GQ44" s="59"/>
      <c r="GR44" s="59"/>
      <c r="GS44" s="59"/>
      <c r="GT44" s="59"/>
      <c r="GU44" s="59"/>
      <c r="GV44" s="59"/>
      <c r="GW44" s="59"/>
      <c r="GX44" s="59"/>
      <c r="GY44" s="59"/>
      <c r="GZ44" s="59"/>
      <c r="HA44" s="59"/>
      <c r="HB44" s="59"/>
      <c r="HC44" s="59"/>
      <c r="HD44" s="59"/>
      <c r="HE44" s="59"/>
      <c r="HF44" s="59"/>
      <c r="HG44" s="59"/>
      <c r="HH44" s="59"/>
      <c r="HI44" s="59"/>
      <c r="HJ44" s="59"/>
      <c r="HK44" s="59"/>
      <c r="HL44" s="59"/>
      <c r="HM44" s="59"/>
      <c r="HN44" s="59"/>
      <c r="HO44" s="59"/>
      <c r="HP44" s="59"/>
      <c r="HQ44" s="59"/>
      <c r="HR44" s="59"/>
      <c r="HS44" s="59"/>
      <c r="HT44" s="59"/>
      <c r="HU44" s="59"/>
      <c r="HV44" s="59"/>
      <c r="HW44" s="59"/>
      <c r="HX44" s="59"/>
      <c r="HY44" s="59"/>
      <c r="HZ44" s="59"/>
      <c r="IA44" s="59"/>
      <c r="IB44" s="59"/>
      <c r="IC44" s="59"/>
      <c r="ID44" s="59"/>
      <c r="IE44" s="59"/>
      <c r="IF44" s="59"/>
      <c r="IG44" s="59"/>
      <c r="IH44" s="59"/>
      <c r="II44" s="59"/>
      <c r="IJ44" s="59"/>
      <c r="IK44" s="59"/>
      <c r="IL44" s="59"/>
      <c r="IM44" s="59"/>
      <c r="IN44" s="59"/>
      <c r="IO44" s="59"/>
      <c r="IP44" s="59"/>
      <c r="IQ44" s="59"/>
      <c r="IR44" s="59"/>
      <c r="IS44" s="59"/>
      <c r="IT44" s="59"/>
      <c r="IU44" s="59"/>
      <c r="IV44" s="59"/>
      <c r="IW44" s="59"/>
      <c r="IX44" s="59"/>
      <c r="IY44" s="59"/>
      <c r="IZ44" s="59"/>
      <c r="JA44" s="59"/>
      <c r="JB44" s="59"/>
      <c r="JC44" s="59"/>
      <c r="JD44" s="59"/>
      <c r="JE44" s="59"/>
      <c r="JF44" s="59"/>
      <c r="JG44" s="59"/>
      <c r="JH44" s="59"/>
      <c r="JI44" s="59"/>
      <c r="JJ44" s="59"/>
      <c r="JK44" s="59"/>
      <c r="JL44" s="59"/>
      <c r="JM44" s="59"/>
      <c r="JN44" s="59"/>
      <c r="JO44" s="59"/>
      <c r="JP44" s="59"/>
      <c r="JQ44" s="59"/>
      <c r="JR44" s="59"/>
      <c r="JS44" s="59"/>
      <c r="JT44" s="59"/>
      <c r="JU44" s="59"/>
      <c r="JV44" s="59"/>
      <c r="JW44" s="59"/>
      <c r="JX44" s="59"/>
      <c r="JY44" s="59"/>
      <c r="JZ44" s="59"/>
      <c r="KA44" s="59"/>
      <c r="KB44" s="59"/>
      <c r="KC44" s="59"/>
      <c r="KD44" s="59"/>
      <c r="KE44" s="59"/>
      <c r="KF44" s="59"/>
      <c r="KG44" s="59"/>
      <c r="KH44" s="59"/>
      <c r="KI44" s="59"/>
      <c r="KJ44" s="59"/>
      <c r="KK44" s="59"/>
      <c r="KL44" s="59"/>
      <c r="KM44" s="59"/>
      <c r="KN44" s="59"/>
      <c r="KO44" s="59"/>
      <c r="KP44" s="59"/>
      <c r="KQ44" s="59"/>
      <c r="KR44" s="59"/>
      <c r="KS44" s="59"/>
      <c r="KT44" s="59"/>
      <c r="KU44" s="59"/>
      <c r="KV44" s="59"/>
      <c r="KW44" s="59"/>
      <c r="KX44" s="59"/>
      <c r="KY44" s="59"/>
      <c r="KZ44" s="59"/>
      <c r="LA44" s="59"/>
      <c r="LB44" s="59"/>
      <c r="LC44" s="59"/>
      <c r="LD44" s="59"/>
      <c r="LE44" s="59"/>
      <c r="LF44" s="59"/>
      <c r="LG44" s="59"/>
      <c r="LH44" s="59"/>
      <c r="LI44" s="59"/>
      <c r="LJ44" s="59"/>
      <c r="LK44" s="59"/>
      <c r="LL44" s="59"/>
      <c r="LM44" s="59"/>
      <c r="LN44" s="59"/>
      <c r="LO44" s="59"/>
      <c r="LP44" s="59"/>
      <c r="LQ44" s="59"/>
      <c r="LR44" s="59"/>
      <c r="LS44" s="59"/>
      <c r="LT44" s="59"/>
      <c r="LU44" s="59"/>
      <c r="LV44" s="59"/>
      <c r="LW44" s="59"/>
      <c r="LX44" s="59"/>
      <c r="LY44" s="59"/>
      <c r="LZ44" s="59"/>
      <c r="MA44" s="59"/>
      <c r="MB44" s="59"/>
      <c r="MC44" s="59"/>
      <c r="MD44" s="59"/>
      <c r="ME44" s="59"/>
      <c r="MF44" s="59"/>
      <c r="MG44" s="59"/>
      <c r="MH44" s="59"/>
      <c r="MI44" s="59"/>
      <c r="MJ44" s="59"/>
      <c r="MK44" s="59"/>
      <c r="ML44" s="59"/>
      <c r="MM44" s="59"/>
      <c r="MN44" s="59"/>
      <c r="MO44" s="59"/>
      <c r="MP44" s="59"/>
      <c r="MQ44" s="59"/>
      <c r="MR44" s="59"/>
      <c r="MS44" s="59"/>
      <c r="MT44" s="59"/>
      <c r="MU44" s="59"/>
      <c r="MV44" s="59"/>
      <c r="MW44" s="59"/>
      <c r="MX44" s="59"/>
      <c r="MY44" s="59"/>
      <c r="MZ44" s="59"/>
      <c r="NA44" s="59"/>
      <c r="NB44" s="59"/>
      <c r="NC44" s="59"/>
      <c r="ND44" s="59"/>
      <c r="NE44" s="59"/>
      <c r="NF44" s="59"/>
      <c r="NG44" s="59"/>
      <c r="NH44" s="59"/>
      <c r="NI44" s="59"/>
      <c r="NJ44" s="59"/>
      <c r="NK44" s="59"/>
      <c r="NL44" s="60"/>
    </row>
    <row r="45" spans="1:376" x14ac:dyDescent="0.15">
      <c r="A45" s="23">
        <v>17</v>
      </c>
      <c r="B45" s="24" t="s">
        <v>131</v>
      </c>
      <c r="C45" s="45" t="s">
        <v>167</v>
      </c>
      <c r="D45" s="26" t="s">
        <v>114</v>
      </c>
      <c r="E45" s="27" t="s">
        <v>13</v>
      </c>
      <c r="F45" s="47">
        <v>42891</v>
      </c>
      <c r="G45" s="47">
        <v>42924</v>
      </c>
      <c r="H45" s="29">
        <f t="shared" si="229"/>
        <v>20</v>
      </c>
      <c r="I45" s="30"/>
      <c r="J45" s="31"/>
      <c r="K45" s="32"/>
      <c r="L45" s="32"/>
      <c r="M45" s="32"/>
      <c r="N45" s="32"/>
      <c r="O45" s="32"/>
      <c r="P45" s="32"/>
      <c r="Q45" s="32"/>
      <c r="R45" s="32"/>
      <c r="S45" s="32"/>
      <c r="T45" s="32"/>
      <c r="U45" s="32"/>
      <c r="V45" s="32"/>
      <c r="W45" s="32"/>
      <c r="X45" s="32"/>
      <c r="Y45" s="32"/>
      <c r="Z45" s="32"/>
      <c r="AA45" s="32"/>
      <c r="AB45" s="32"/>
      <c r="AC45" s="32"/>
      <c r="AD45" s="32"/>
      <c r="AE45" s="32"/>
      <c r="AF45" s="32"/>
      <c r="AG45" s="32"/>
      <c r="AH45" s="32"/>
      <c r="AI45" s="32"/>
      <c r="AJ45" s="32"/>
      <c r="AK45" s="32"/>
      <c r="AL45" s="32"/>
      <c r="AM45" s="32"/>
      <c r="AN45" s="32"/>
      <c r="AO45" s="32"/>
      <c r="AP45" s="33"/>
      <c r="AQ45" s="33"/>
      <c r="AR45" s="33"/>
      <c r="AS45" s="33"/>
      <c r="AT45" s="33"/>
      <c r="AU45" s="33"/>
      <c r="AV45" s="33"/>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v>4</v>
      </c>
      <c r="CA45" s="33"/>
      <c r="CB45" s="33"/>
      <c r="CC45" s="33"/>
      <c r="CD45" s="33"/>
      <c r="CE45" s="33"/>
      <c r="CF45" s="33"/>
      <c r="CG45" s="33">
        <v>4</v>
      </c>
      <c r="CH45" s="33"/>
      <c r="CI45" s="33"/>
      <c r="CJ45" s="33"/>
      <c r="CK45" s="33"/>
      <c r="CL45" s="33"/>
      <c r="CM45" s="33"/>
      <c r="CN45" s="33">
        <v>4</v>
      </c>
      <c r="CO45" s="33"/>
      <c r="CP45" s="33"/>
      <c r="CQ45" s="33"/>
      <c r="CR45" s="33"/>
      <c r="CS45" s="33"/>
      <c r="CT45" s="33"/>
      <c r="CU45" s="33">
        <v>4</v>
      </c>
      <c r="CV45" s="33"/>
      <c r="CW45" s="33"/>
      <c r="CX45" s="33"/>
      <c r="CY45" s="33"/>
      <c r="CZ45" s="33"/>
      <c r="DA45" s="33"/>
      <c r="DB45" s="33">
        <v>4</v>
      </c>
      <c r="DC45" s="33"/>
      <c r="DD45" s="33"/>
      <c r="DE45" s="33"/>
      <c r="DF45" s="33"/>
      <c r="DG45" s="33"/>
      <c r="DH45" s="33"/>
      <c r="DI45" s="33"/>
      <c r="DJ45" s="33"/>
      <c r="DK45" s="33"/>
      <c r="DL45" s="33"/>
      <c r="DM45" s="33"/>
      <c r="DN45" s="33"/>
      <c r="DO45" s="33"/>
      <c r="DP45" s="33"/>
      <c r="DQ45" s="33"/>
      <c r="DR45" s="33"/>
      <c r="DS45" s="33"/>
      <c r="DT45" s="33"/>
      <c r="DU45" s="33"/>
      <c r="DV45" s="33"/>
      <c r="DW45" s="33"/>
      <c r="DX45" s="33"/>
      <c r="DY45" s="33"/>
      <c r="DZ45" s="33"/>
      <c r="EA45" s="33"/>
      <c r="EB45" s="33"/>
      <c r="EC45" s="33"/>
      <c r="ED45" s="33"/>
      <c r="EE45" s="33"/>
      <c r="EF45" s="33"/>
      <c r="EG45" s="33"/>
      <c r="EH45" s="33"/>
      <c r="EI45" s="33"/>
      <c r="EJ45" s="33"/>
      <c r="EK45" s="33"/>
      <c r="EL45" s="33"/>
      <c r="EM45" s="33"/>
      <c r="EN45" s="33"/>
      <c r="EO45" s="33"/>
      <c r="EP45" s="33"/>
      <c r="EQ45" s="33"/>
      <c r="ER45" s="33"/>
      <c r="ES45" s="33"/>
      <c r="ET45" s="33"/>
      <c r="EU45" s="33"/>
      <c r="EV45" s="33"/>
      <c r="EW45" s="33"/>
      <c r="EX45" s="33"/>
      <c r="EY45" s="33"/>
      <c r="EZ45" s="33"/>
      <c r="FA45" s="33"/>
      <c r="FB45" s="33"/>
      <c r="FC45" s="33"/>
      <c r="FD45" s="33"/>
      <c r="FE45" s="33"/>
      <c r="FF45" s="33"/>
      <c r="FG45" s="33"/>
      <c r="FH45" s="33"/>
      <c r="FI45" s="33"/>
      <c r="FJ45" s="33"/>
      <c r="FK45" s="33"/>
      <c r="FL45" s="33"/>
      <c r="FM45" s="33"/>
      <c r="FN45" s="33"/>
      <c r="FO45" s="33"/>
      <c r="FP45" s="33"/>
      <c r="FQ45" s="33"/>
      <c r="FR45" s="33"/>
      <c r="FS45" s="33"/>
      <c r="FT45" s="33"/>
      <c r="FU45" s="33"/>
      <c r="FV45" s="33"/>
      <c r="FW45" s="33"/>
      <c r="FX45" s="33"/>
      <c r="FY45" s="33"/>
      <c r="FZ45" s="33"/>
      <c r="GA45" s="33"/>
      <c r="GB45" s="33"/>
      <c r="GC45" s="33"/>
      <c r="GD45" s="33"/>
      <c r="GE45" s="33"/>
      <c r="GF45" s="33"/>
      <c r="GG45" s="33"/>
      <c r="GH45" s="33"/>
      <c r="GI45" s="33"/>
      <c r="GJ45" s="33"/>
      <c r="GK45" s="33"/>
      <c r="GL45" s="33"/>
      <c r="GM45" s="33"/>
      <c r="GN45" s="33"/>
      <c r="GO45" s="33"/>
      <c r="GP45" s="33"/>
      <c r="GQ45" s="33"/>
      <c r="GR45" s="33"/>
      <c r="GS45" s="33"/>
      <c r="GT45" s="33"/>
      <c r="GU45" s="33"/>
      <c r="GV45" s="33"/>
      <c r="GW45" s="33"/>
      <c r="GX45" s="33"/>
      <c r="GY45" s="33"/>
      <c r="GZ45" s="33"/>
      <c r="HA45" s="33"/>
      <c r="HB45" s="33"/>
      <c r="HC45" s="33"/>
      <c r="HD45" s="33"/>
      <c r="HE45" s="33"/>
      <c r="HF45" s="33"/>
      <c r="HG45" s="33"/>
      <c r="HH45" s="33"/>
      <c r="HI45" s="33"/>
      <c r="HJ45" s="33"/>
      <c r="HK45" s="33"/>
      <c r="HL45" s="33"/>
      <c r="HM45" s="33"/>
      <c r="HN45" s="33"/>
      <c r="HO45" s="33"/>
      <c r="HP45" s="33"/>
      <c r="HQ45" s="33"/>
      <c r="HR45" s="33"/>
      <c r="HS45" s="33"/>
      <c r="HT45" s="33"/>
      <c r="HU45" s="33"/>
      <c r="HV45" s="33"/>
      <c r="HW45" s="33"/>
      <c r="HX45" s="33"/>
      <c r="HY45" s="33"/>
      <c r="HZ45" s="33"/>
      <c r="IA45" s="33"/>
      <c r="IB45" s="33"/>
      <c r="IC45" s="33"/>
      <c r="ID45" s="33"/>
      <c r="IE45" s="33"/>
      <c r="IF45" s="33"/>
      <c r="IG45" s="33"/>
      <c r="IH45" s="33"/>
      <c r="II45" s="33"/>
      <c r="IJ45" s="33"/>
      <c r="IK45" s="33"/>
      <c r="IL45" s="33"/>
      <c r="IM45" s="33"/>
      <c r="IN45" s="33"/>
      <c r="IO45" s="33"/>
      <c r="IP45" s="33"/>
      <c r="IQ45" s="33"/>
      <c r="IR45" s="33"/>
      <c r="IS45" s="33"/>
      <c r="IT45" s="33"/>
      <c r="IU45" s="33"/>
      <c r="IV45" s="33"/>
      <c r="IW45" s="33"/>
      <c r="IX45" s="33"/>
      <c r="IY45" s="33"/>
      <c r="IZ45" s="33"/>
      <c r="JA45" s="33"/>
      <c r="JB45" s="33"/>
      <c r="JC45" s="33"/>
      <c r="JD45" s="33"/>
      <c r="JE45" s="33"/>
      <c r="JF45" s="33"/>
      <c r="JG45" s="33"/>
      <c r="JH45" s="33"/>
      <c r="JI45" s="33"/>
      <c r="JJ45" s="33"/>
      <c r="JK45" s="33"/>
      <c r="JL45" s="33"/>
      <c r="JM45" s="33"/>
      <c r="JN45" s="33"/>
      <c r="JO45" s="33"/>
      <c r="JP45" s="33"/>
      <c r="JQ45" s="33"/>
      <c r="JR45" s="33"/>
      <c r="JS45" s="33"/>
      <c r="JT45" s="33"/>
      <c r="JU45" s="33"/>
      <c r="JV45" s="33"/>
      <c r="JW45" s="33"/>
      <c r="JX45" s="33"/>
      <c r="JY45" s="33"/>
      <c r="JZ45" s="33"/>
      <c r="KA45" s="33"/>
      <c r="KB45" s="33"/>
      <c r="KC45" s="33"/>
      <c r="KD45" s="33"/>
      <c r="KE45" s="33"/>
      <c r="KF45" s="33"/>
      <c r="KG45" s="33"/>
      <c r="KH45" s="33"/>
      <c r="KI45" s="33"/>
      <c r="KJ45" s="33"/>
      <c r="KK45" s="33"/>
      <c r="KL45" s="33"/>
      <c r="KM45" s="33"/>
      <c r="KN45" s="33"/>
      <c r="KO45" s="33"/>
      <c r="KP45" s="33"/>
      <c r="KQ45" s="33"/>
      <c r="KR45" s="33"/>
      <c r="KS45" s="33"/>
      <c r="KT45" s="33"/>
      <c r="KU45" s="33"/>
      <c r="KV45" s="33"/>
      <c r="KW45" s="33"/>
      <c r="KX45" s="33"/>
      <c r="KY45" s="33"/>
      <c r="KZ45" s="33"/>
      <c r="LA45" s="33"/>
      <c r="LB45" s="33"/>
      <c r="LC45" s="33"/>
      <c r="LD45" s="33"/>
      <c r="LE45" s="33"/>
      <c r="LF45" s="33"/>
      <c r="LG45" s="33"/>
      <c r="LH45" s="33"/>
      <c r="LI45" s="33"/>
      <c r="LJ45" s="33"/>
      <c r="LK45" s="33"/>
      <c r="LL45" s="33"/>
      <c r="LM45" s="33"/>
      <c r="LN45" s="33"/>
      <c r="LO45" s="33"/>
      <c r="LP45" s="33"/>
      <c r="LQ45" s="33"/>
      <c r="LR45" s="33"/>
      <c r="LS45" s="33"/>
      <c r="LT45" s="33"/>
      <c r="LU45" s="33"/>
      <c r="LV45" s="33"/>
      <c r="LW45" s="33"/>
      <c r="LX45" s="33"/>
      <c r="LY45" s="33"/>
      <c r="LZ45" s="33"/>
      <c r="MA45" s="33"/>
      <c r="MB45" s="33"/>
      <c r="MC45" s="33"/>
      <c r="MD45" s="33"/>
      <c r="ME45" s="33"/>
      <c r="MF45" s="33"/>
      <c r="MG45" s="33"/>
      <c r="MH45" s="33"/>
      <c r="MI45" s="33"/>
      <c r="MJ45" s="33"/>
      <c r="MK45" s="33"/>
      <c r="ML45" s="33"/>
      <c r="MM45" s="33"/>
      <c r="MN45" s="33"/>
      <c r="MO45" s="33"/>
      <c r="MP45" s="33"/>
      <c r="MQ45" s="33"/>
      <c r="MR45" s="33"/>
      <c r="MS45" s="33"/>
      <c r="MT45" s="33"/>
      <c r="MU45" s="33"/>
      <c r="MV45" s="33"/>
      <c r="MW45" s="33"/>
      <c r="MX45" s="33"/>
      <c r="MY45" s="33"/>
      <c r="MZ45" s="33"/>
      <c r="NA45" s="33"/>
      <c r="NB45" s="33"/>
      <c r="NC45" s="33"/>
      <c r="ND45" s="33"/>
      <c r="NE45" s="33"/>
      <c r="NF45" s="33"/>
      <c r="NG45" s="33"/>
      <c r="NH45" s="33"/>
      <c r="NI45" s="33"/>
      <c r="NJ45" s="33"/>
      <c r="NK45" s="33"/>
      <c r="NL45" s="34"/>
    </row>
    <row r="46" spans="1:376" x14ac:dyDescent="0.15">
      <c r="A46" s="35">
        <f>A45</f>
        <v>17</v>
      </c>
      <c r="B46" s="36" t="str">
        <f>B45</f>
        <v>SD</v>
      </c>
      <c r="C46" s="36" t="str">
        <f>C45</f>
        <v>Webアプリ構造設計書作成</v>
      </c>
      <c r="D46" s="37" t="str">
        <f>D45</f>
        <v>那須</v>
      </c>
      <c r="E46" s="53" t="s">
        <v>0</v>
      </c>
      <c r="F46" s="54"/>
      <c r="G46" s="54"/>
      <c r="H46" s="55">
        <f t="shared" si="229"/>
        <v>0</v>
      </c>
      <c r="I46" s="56">
        <f>IF(OR(H45="",H46=""),"",H46-H45)</f>
        <v>-20</v>
      </c>
      <c r="J46" s="57"/>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59"/>
      <c r="BT46" s="59"/>
      <c r="BU46" s="59"/>
      <c r="BV46" s="59"/>
      <c r="BW46" s="59"/>
      <c r="BX46" s="59"/>
      <c r="BY46" s="59"/>
      <c r="BZ46" s="59"/>
      <c r="CA46" s="59"/>
      <c r="CB46" s="59"/>
      <c r="CC46" s="59"/>
      <c r="CD46" s="59"/>
      <c r="CE46" s="59"/>
      <c r="CF46" s="59"/>
      <c r="CG46" s="59"/>
      <c r="CH46" s="59"/>
      <c r="CI46" s="59"/>
      <c r="CJ46" s="59"/>
      <c r="CK46" s="59"/>
      <c r="CL46" s="59"/>
      <c r="CM46" s="59"/>
      <c r="CN46" s="59"/>
      <c r="CO46" s="59"/>
      <c r="CP46" s="59"/>
      <c r="CQ46" s="59"/>
      <c r="CR46" s="59"/>
      <c r="CS46" s="59"/>
      <c r="CT46" s="59"/>
      <c r="CU46" s="59"/>
      <c r="CV46" s="59"/>
      <c r="CW46" s="59"/>
      <c r="CX46" s="59"/>
      <c r="CY46" s="59"/>
      <c r="CZ46" s="59"/>
      <c r="DA46" s="59"/>
      <c r="DB46" s="59"/>
      <c r="DC46" s="59"/>
      <c r="DD46" s="59"/>
      <c r="DE46" s="59"/>
      <c r="DF46" s="59"/>
      <c r="DG46" s="59"/>
      <c r="DH46" s="59"/>
      <c r="DI46" s="59"/>
      <c r="DJ46" s="59"/>
      <c r="DK46" s="59"/>
      <c r="DL46" s="59"/>
      <c r="DM46" s="59"/>
      <c r="DN46" s="59"/>
      <c r="DO46" s="59"/>
      <c r="DP46" s="59"/>
      <c r="DQ46" s="59"/>
      <c r="DR46" s="59"/>
      <c r="DS46" s="59"/>
      <c r="DT46" s="59"/>
      <c r="DU46" s="59"/>
      <c r="DV46" s="59"/>
      <c r="DW46" s="59"/>
      <c r="DX46" s="59"/>
      <c r="DY46" s="59"/>
      <c r="DZ46" s="59"/>
      <c r="EA46" s="59"/>
      <c r="EB46" s="59"/>
      <c r="EC46" s="59"/>
      <c r="ED46" s="59"/>
      <c r="EE46" s="59"/>
      <c r="EF46" s="59"/>
      <c r="EG46" s="59"/>
      <c r="EH46" s="59"/>
      <c r="EI46" s="59"/>
      <c r="EJ46" s="59"/>
      <c r="EK46" s="59"/>
      <c r="EL46" s="59"/>
      <c r="EM46" s="59"/>
      <c r="EN46" s="59"/>
      <c r="EO46" s="59"/>
      <c r="EP46" s="59"/>
      <c r="EQ46" s="59"/>
      <c r="ER46" s="59"/>
      <c r="ES46" s="59"/>
      <c r="ET46" s="59"/>
      <c r="EU46" s="59"/>
      <c r="EV46" s="59"/>
      <c r="EW46" s="59"/>
      <c r="EX46" s="59"/>
      <c r="EY46" s="59"/>
      <c r="EZ46" s="59"/>
      <c r="FA46" s="59"/>
      <c r="FB46" s="59"/>
      <c r="FC46" s="59"/>
      <c r="FD46" s="59"/>
      <c r="FE46" s="59"/>
      <c r="FF46" s="59"/>
      <c r="FG46" s="59"/>
      <c r="FH46" s="59"/>
      <c r="FI46" s="59"/>
      <c r="FJ46" s="59"/>
      <c r="FK46" s="59"/>
      <c r="FL46" s="59"/>
      <c r="FM46" s="59"/>
      <c r="FN46" s="59"/>
      <c r="FO46" s="59"/>
      <c r="FP46" s="59"/>
      <c r="FQ46" s="59"/>
      <c r="FR46" s="59"/>
      <c r="FS46" s="59"/>
      <c r="FT46" s="59"/>
      <c r="FU46" s="59"/>
      <c r="FV46" s="59"/>
      <c r="FW46" s="59"/>
      <c r="FX46" s="59"/>
      <c r="FY46" s="59"/>
      <c r="FZ46" s="59"/>
      <c r="GA46" s="59"/>
      <c r="GB46" s="59"/>
      <c r="GC46" s="59"/>
      <c r="GD46" s="59"/>
      <c r="GE46" s="59"/>
      <c r="GF46" s="59"/>
      <c r="GG46" s="59"/>
      <c r="GH46" s="59"/>
      <c r="GI46" s="59"/>
      <c r="GJ46" s="59"/>
      <c r="GK46" s="59"/>
      <c r="GL46" s="59"/>
      <c r="GM46" s="59"/>
      <c r="GN46" s="59"/>
      <c r="GO46" s="59"/>
      <c r="GP46" s="59"/>
      <c r="GQ46" s="59"/>
      <c r="GR46" s="59"/>
      <c r="GS46" s="59"/>
      <c r="GT46" s="59"/>
      <c r="GU46" s="59"/>
      <c r="GV46" s="59"/>
      <c r="GW46" s="59"/>
      <c r="GX46" s="59"/>
      <c r="GY46" s="59"/>
      <c r="GZ46" s="59"/>
      <c r="HA46" s="59"/>
      <c r="HB46" s="59"/>
      <c r="HC46" s="59"/>
      <c r="HD46" s="59"/>
      <c r="HE46" s="59"/>
      <c r="HF46" s="59"/>
      <c r="HG46" s="59"/>
      <c r="HH46" s="59"/>
      <c r="HI46" s="59"/>
      <c r="HJ46" s="59"/>
      <c r="HK46" s="59"/>
      <c r="HL46" s="59"/>
      <c r="HM46" s="59"/>
      <c r="HN46" s="59"/>
      <c r="HO46" s="59"/>
      <c r="HP46" s="59"/>
      <c r="HQ46" s="59"/>
      <c r="HR46" s="59"/>
      <c r="HS46" s="59"/>
      <c r="HT46" s="59"/>
      <c r="HU46" s="59"/>
      <c r="HV46" s="59"/>
      <c r="HW46" s="59"/>
      <c r="HX46" s="59"/>
      <c r="HY46" s="59"/>
      <c r="HZ46" s="59"/>
      <c r="IA46" s="59"/>
      <c r="IB46" s="59"/>
      <c r="IC46" s="59"/>
      <c r="ID46" s="59"/>
      <c r="IE46" s="59"/>
      <c r="IF46" s="59"/>
      <c r="IG46" s="59"/>
      <c r="IH46" s="59"/>
      <c r="II46" s="59"/>
      <c r="IJ46" s="59"/>
      <c r="IK46" s="59"/>
      <c r="IL46" s="59"/>
      <c r="IM46" s="59"/>
      <c r="IN46" s="59"/>
      <c r="IO46" s="59"/>
      <c r="IP46" s="59"/>
      <c r="IQ46" s="59"/>
      <c r="IR46" s="59"/>
      <c r="IS46" s="59"/>
      <c r="IT46" s="59"/>
      <c r="IU46" s="59"/>
      <c r="IV46" s="59"/>
      <c r="IW46" s="59"/>
      <c r="IX46" s="59"/>
      <c r="IY46" s="59"/>
      <c r="IZ46" s="59"/>
      <c r="JA46" s="59"/>
      <c r="JB46" s="59"/>
      <c r="JC46" s="59"/>
      <c r="JD46" s="59"/>
      <c r="JE46" s="59"/>
      <c r="JF46" s="59"/>
      <c r="JG46" s="59"/>
      <c r="JH46" s="59"/>
      <c r="JI46" s="59"/>
      <c r="JJ46" s="59"/>
      <c r="JK46" s="59"/>
      <c r="JL46" s="59"/>
      <c r="JM46" s="59"/>
      <c r="JN46" s="59"/>
      <c r="JO46" s="59"/>
      <c r="JP46" s="59"/>
      <c r="JQ46" s="59"/>
      <c r="JR46" s="59"/>
      <c r="JS46" s="59"/>
      <c r="JT46" s="59"/>
      <c r="JU46" s="59"/>
      <c r="JV46" s="59"/>
      <c r="JW46" s="59"/>
      <c r="JX46" s="59"/>
      <c r="JY46" s="59"/>
      <c r="JZ46" s="59"/>
      <c r="KA46" s="59"/>
      <c r="KB46" s="59"/>
      <c r="KC46" s="59"/>
      <c r="KD46" s="59"/>
      <c r="KE46" s="59"/>
      <c r="KF46" s="59"/>
      <c r="KG46" s="59"/>
      <c r="KH46" s="59"/>
      <c r="KI46" s="59"/>
      <c r="KJ46" s="59"/>
      <c r="KK46" s="59"/>
      <c r="KL46" s="59"/>
      <c r="KM46" s="59"/>
      <c r="KN46" s="59"/>
      <c r="KO46" s="59"/>
      <c r="KP46" s="59"/>
      <c r="KQ46" s="59"/>
      <c r="KR46" s="59"/>
      <c r="KS46" s="59"/>
      <c r="KT46" s="59"/>
      <c r="KU46" s="59"/>
      <c r="KV46" s="59"/>
      <c r="KW46" s="59"/>
      <c r="KX46" s="59"/>
      <c r="KY46" s="59"/>
      <c r="KZ46" s="59"/>
      <c r="LA46" s="59"/>
      <c r="LB46" s="59"/>
      <c r="LC46" s="59"/>
      <c r="LD46" s="59"/>
      <c r="LE46" s="59"/>
      <c r="LF46" s="59"/>
      <c r="LG46" s="59"/>
      <c r="LH46" s="59"/>
      <c r="LI46" s="59"/>
      <c r="LJ46" s="59"/>
      <c r="LK46" s="59"/>
      <c r="LL46" s="59"/>
      <c r="LM46" s="59"/>
      <c r="LN46" s="59"/>
      <c r="LO46" s="59"/>
      <c r="LP46" s="59"/>
      <c r="LQ46" s="59"/>
      <c r="LR46" s="59"/>
      <c r="LS46" s="59"/>
      <c r="LT46" s="59"/>
      <c r="LU46" s="59"/>
      <c r="LV46" s="59"/>
      <c r="LW46" s="59"/>
      <c r="LX46" s="59"/>
      <c r="LY46" s="59"/>
      <c r="LZ46" s="59"/>
      <c r="MA46" s="59"/>
      <c r="MB46" s="59"/>
      <c r="MC46" s="59"/>
      <c r="MD46" s="59"/>
      <c r="ME46" s="59"/>
      <c r="MF46" s="59"/>
      <c r="MG46" s="59"/>
      <c r="MH46" s="59"/>
      <c r="MI46" s="59"/>
      <c r="MJ46" s="59"/>
      <c r="MK46" s="59"/>
      <c r="ML46" s="59"/>
      <c r="MM46" s="59"/>
      <c r="MN46" s="59"/>
      <c r="MO46" s="59"/>
      <c r="MP46" s="59"/>
      <c r="MQ46" s="59"/>
      <c r="MR46" s="59"/>
      <c r="MS46" s="59"/>
      <c r="MT46" s="59"/>
      <c r="MU46" s="59"/>
      <c r="MV46" s="59"/>
      <c r="MW46" s="59"/>
      <c r="MX46" s="59"/>
      <c r="MY46" s="59"/>
      <c r="MZ46" s="59"/>
      <c r="NA46" s="59"/>
      <c r="NB46" s="59"/>
      <c r="NC46" s="59"/>
      <c r="ND46" s="59"/>
      <c r="NE46" s="59"/>
      <c r="NF46" s="59"/>
      <c r="NG46" s="59"/>
      <c r="NH46" s="59"/>
      <c r="NI46" s="59"/>
      <c r="NJ46" s="59"/>
      <c r="NK46" s="59"/>
      <c r="NL46" s="60"/>
    </row>
    <row r="47" spans="1:376" x14ac:dyDescent="0.15">
      <c r="A47" s="23">
        <v>18</v>
      </c>
      <c r="B47" s="24" t="s">
        <v>131</v>
      </c>
      <c r="C47" s="45" t="s">
        <v>168</v>
      </c>
      <c r="D47" s="26" t="s">
        <v>164</v>
      </c>
      <c r="E47" s="27" t="s">
        <v>13</v>
      </c>
      <c r="F47" s="28">
        <v>42924</v>
      </c>
      <c r="G47" s="28">
        <v>42924</v>
      </c>
      <c r="H47" s="29">
        <f t="shared" si="229"/>
        <v>4</v>
      </c>
      <c r="I47" s="30"/>
      <c r="J47" s="31"/>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3"/>
      <c r="AQ47" s="33"/>
      <c r="AR47" s="33"/>
      <c r="AS47" s="33"/>
      <c r="AT47" s="33"/>
      <c r="AU47" s="33"/>
      <c r="AV47" s="33"/>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33"/>
      <c r="CG47" s="33"/>
      <c r="CH47" s="33"/>
      <c r="CI47" s="33"/>
      <c r="CJ47" s="33"/>
      <c r="CK47" s="33"/>
      <c r="CL47" s="33"/>
      <c r="CM47" s="33"/>
      <c r="CN47" s="33"/>
      <c r="CO47" s="33"/>
      <c r="CP47" s="33"/>
      <c r="CQ47" s="33"/>
      <c r="CR47" s="33"/>
      <c r="CS47" s="33"/>
      <c r="CT47" s="33"/>
      <c r="CU47" s="33"/>
      <c r="CV47" s="33"/>
      <c r="CW47" s="33"/>
      <c r="CX47" s="33"/>
      <c r="CY47" s="33"/>
      <c r="CZ47" s="33"/>
      <c r="DA47" s="33"/>
      <c r="DB47" s="33">
        <v>4</v>
      </c>
      <c r="DC47" s="33"/>
      <c r="DD47" s="33"/>
      <c r="DE47" s="33"/>
      <c r="DF47" s="33"/>
      <c r="DG47" s="33"/>
      <c r="DH47" s="33"/>
      <c r="DI47" s="33"/>
      <c r="DJ47" s="33"/>
      <c r="DK47" s="33"/>
      <c r="DL47" s="33"/>
      <c r="DM47" s="33"/>
      <c r="DN47" s="33"/>
      <c r="DO47" s="33"/>
      <c r="DP47" s="33"/>
      <c r="DQ47" s="33"/>
      <c r="DR47" s="33"/>
      <c r="DS47" s="33"/>
      <c r="DT47" s="33"/>
      <c r="DU47" s="33"/>
      <c r="DV47" s="33"/>
      <c r="DW47" s="33"/>
      <c r="DX47" s="33"/>
      <c r="DY47" s="33"/>
      <c r="DZ47" s="33"/>
      <c r="EA47" s="33"/>
      <c r="EB47" s="33"/>
      <c r="EC47" s="33"/>
      <c r="ED47" s="33"/>
      <c r="EE47" s="33"/>
      <c r="EF47" s="33"/>
      <c r="EG47" s="33"/>
      <c r="EH47" s="33"/>
      <c r="EI47" s="33"/>
      <c r="EJ47" s="33"/>
      <c r="EK47" s="33"/>
      <c r="EL47" s="33"/>
      <c r="EM47" s="33"/>
      <c r="EN47" s="33"/>
      <c r="EO47" s="33"/>
      <c r="EP47" s="33"/>
      <c r="EQ47" s="33"/>
      <c r="ER47" s="33"/>
      <c r="ES47" s="33"/>
      <c r="ET47" s="33"/>
      <c r="EU47" s="33"/>
      <c r="EV47" s="33"/>
      <c r="EW47" s="33"/>
      <c r="EX47" s="33"/>
      <c r="EY47" s="33"/>
      <c r="EZ47" s="33"/>
      <c r="FA47" s="33"/>
      <c r="FB47" s="33"/>
      <c r="FC47" s="33"/>
      <c r="FD47" s="33"/>
      <c r="FE47" s="33"/>
      <c r="FF47" s="33"/>
      <c r="FG47" s="33"/>
      <c r="FH47" s="33"/>
      <c r="FI47" s="33"/>
      <c r="FJ47" s="33"/>
      <c r="FK47" s="33"/>
      <c r="FL47" s="33"/>
      <c r="FM47" s="33"/>
      <c r="FN47" s="33"/>
      <c r="FO47" s="33"/>
      <c r="FP47" s="33"/>
      <c r="FQ47" s="33"/>
      <c r="FR47" s="33"/>
      <c r="FS47" s="33"/>
      <c r="FT47" s="33"/>
      <c r="FU47" s="33"/>
      <c r="FV47" s="33"/>
      <c r="FW47" s="33"/>
      <c r="FX47" s="33"/>
      <c r="FY47" s="33"/>
      <c r="FZ47" s="33"/>
      <c r="GA47" s="33"/>
      <c r="GB47" s="33"/>
      <c r="GC47" s="33"/>
      <c r="GD47" s="33"/>
      <c r="GE47" s="33"/>
      <c r="GF47" s="33"/>
      <c r="GG47" s="33"/>
      <c r="GH47" s="33"/>
      <c r="GI47" s="33"/>
      <c r="GJ47" s="33"/>
      <c r="GK47" s="33"/>
      <c r="GL47" s="33"/>
      <c r="GM47" s="33"/>
      <c r="GN47" s="33"/>
      <c r="GO47" s="33"/>
      <c r="GP47" s="33"/>
      <c r="GQ47" s="33"/>
      <c r="GR47" s="33"/>
      <c r="GS47" s="33"/>
      <c r="GT47" s="33"/>
      <c r="GU47" s="33"/>
      <c r="GV47" s="33"/>
      <c r="GW47" s="33"/>
      <c r="GX47" s="33"/>
      <c r="GY47" s="33"/>
      <c r="GZ47" s="33"/>
      <c r="HA47" s="33"/>
      <c r="HB47" s="33"/>
      <c r="HC47" s="33"/>
      <c r="HD47" s="33"/>
      <c r="HE47" s="33"/>
      <c r="HF47" s="33"/>
      <c r="HG47" s="33"/>
      <c r="HH47" s="33"/>
      <c r="HI47" s="33"/>
      <c r="HJ47" s="33"/>
      <c r="HK47" s="33"/>
      <c r="HL47" s="33"/>
      <c r="HM47" s="33"/>
      <c r="HN47" s="33"/>
      <c r="HO47" s="33"/>
      <c r="HP47" s="33"/>
      <c r="HQ47" s="33"/>
      <c r="HR47" s="33"/>
      <c r="HS47" s="33"/>
      <c r="HT47" s="33"/>
      <c r="HU47" s="33"/>
      <c r="HV47" s="33"/>
      <c r="HW47" s="33"/>
      <c r="HX47" s="33"/>
      <c r="HY47" s="33"/>
      <c r="HZ47" s="33"/>
      <c r="IA47" s="33"/>
      <c r="IB47" s="33"/>
      <c r="IC47" s="33"/>
      <c r="ID47" s="33"/>
      <c r="IE47" s="33"/>
      <c r="IF47" s="33"/>
      <c r="IG47" s="33"/>
      <c r="IH47" s="33"/>
      <c r="II47" s="33"/>
      <c r="IJ47" s="33"/>
      <c r="IK47" s="33"/>
      <c r="IL47" s="33"/>
      <c r="IM47" s="33"/>
      <c r="IN47" s="33"/>
      <c r="IO47" s="33"/>
      <c r="IP47" s="33"/>
      <c r="IQ47" s="33"/>
      <c r="IR47" s="33"/>
      <c r="IS47" s="33"/>
      <c r="IT47" s="33"/>
      <c r="IU47" s="33"/>
      <c r="IV47" s="33"/>
      <c r="IW47" s="33"/>
      <c r="IX47" s="33"/>
      <c r="IY47" s="33"/>
      <c r="IZ47" s="33"/>
      <c r="JA47" s="33"/>
      <c r="JB47" s="33"/>
      <c r="JC47" s="33"/>
      <c r="JD47" s="33"/>
      <c r="JE47" s="33"/>
      <c r="JF47" s="33"/>
      <c r="JG47" s="33"/>
      <c r="JH47" s="33"/>
      <c r="JI47" s="33"/>
      <c r="JJ47" s="33"/>
      <c r="JK47" s="33"/>
      <c r="JL47" s="33"/>
      <c r="JM47" s="33"/>
      <c r="JN47" s="33"/>
      <c r="JO47" s="33"/>
      <c r="JP47" s="33"/>
      <c r="JQ47" s="33"/>
      <c r="JR47" s="33"/>
      <c r="JS47" s="33"/>
      <c r="JT47" s="33"/>
      <c r="JU47" s="33"/>
      <c r="JV47" s="33"/>
      <c r="JW47" s="33"/>
      <c r="JX47" s="33"/>
      <c r="JY47" s="33"/>
      <c r="JZ47" s="33"/>
      <c r="KA47" s="33"/>
      <c r="KB47" s="33"/>
      <c r="KC47" s="33"/>
      <c r="KD47" s="33"/>
      <c r="KE47" s="33"/>
      <c r="KF47" s="33"/>
      <c r="KG47" s="33"/>
      <c r="KH47" s="33"/>
      <c r="KI47" s="33"/>
      <c r="KJ47" s="33"/>
      <c r="KK47" s="33"/>
      <c r="KL47" s="33"/>
      <c r="KM47" s="33"/>
      <c r="KN47" s="33"/>
      <c r="KO47" s="33"/>
      <c r="KP47" s="33"/>
      <c r="KQ47" s="33"/>
      <c r="KR47" s="33"/>
      <c r="KS47" s="33"/>
      <c r="KT47" s="33"/>
      <c r="KU47" s="33"/>
      <c r="KV47" s="33"/>
      <c r="KW47" s="33"/>
      <c r="KX47" s="33"/>
      <c r="KY47" s="33"/>
      <c r="KZ47" s="33"/>
      <c r="LA47" s="33"/>
      <c r="LB47" s="33"/>
      <c r="LC47" s="33"/>
      <c r="LD47" s="33"/>
      <c r="LE47" s="33"/>
      <c r="LF47" s="33"/>
      <c r="LG47" s="33"/>
      <c r="LH47" s="33"/>
      <c r="LI47" s="33"/>
      <c r="LJ47" s="33"/>
      <c r="LK47" s="33"/>
      <c r="LL47" s="33"/>
      <c r="LM47" s="33"/>
      <c r="LN47" s="33"/>
      <c r="LO47" s="33"/>
      <c r="LP47" s="33"/>
      <c r="LQ47" s="33"/>
      <c r="LR47" s="33"/>
      <c r="LS47" s="33"/>
      <c r="LT47" s="33"/>
      <c r="LU47" s="33"/>
      <c r="LV47" s="33"/>
      <c r="LW47" s="33"/>
      <c r="LX47" s="33"/>
      <c r="LY47" s="33"/>
      <c r="LZ47" s="33"/>
      <c r="MA47" s="33"/>
      <c r="MB47" s="33"/>
      <c r="MC47" s="33"/>
      <c r="MD47" s="33"/>
      <c r="ME47" s="33"/>
      <c r="MF47" s="33"/>
      <c r="MG47" s="33"/>
      <c r="MH47" s="33"/>
      <c r="MI47" s="33"/>
      <c r="MJ47" s="33"/>
      <c r="MK47" s="33"/>
      <c r="ML47" s="33"/>
      <c r="MM47" s="33"/>
      <c r="MN47" s="33"/>
      <c r="MO47" s="33"/>
      <c r="MP47" s="33"/>
      <c r="MQ47" s="33"/>
      <c r="MR47" s="33"/>
      <c r="MS47" s="33"/>
      <c r="MT47" s="33"/>
      <c r="MU47" s="33"/>
      <c r="MV47" s="33"/>
      <c r="MW47" s="33"/>
      <c r="MX47" s="33"/>
      <c r="MY47" s="33"/>
      <c r="MZ47" s="33"/>
      <c r="NA47" s="33"/>
      <c r="NB47" s="33"/>
      <c r="NC47" s="33"/>
      <c r="ND47" s="33"/>
      <c r="NE47" s="33"/>
      <c r="NF47" s="33"/>
      <c r="NG47" s="33"/>
      <c r="NH47" s="33"/>
      <c r="NI47" s="33"/>
      <c r="NJ47" s="33"/>
      <c r="NK47" s="33"/>
      <c r="NL47" s="34"/>
    </row>
    <row r="48" spans="1:376" x14ac:dyDescent="0.15">
      <c r="A48" s="35">
        <f>A47</f>
        <v>18</v>
      </c>
      <c r="B48" s="36" t="str">
        <f>B47</f>
        <v>SD</v>
      </c>
      <c r="C48" s="36" t="str">
        <f>C47</f>
        <v>Webアプリ構造設計書レビュー</v>
      </c>
      <c r="D48" s="37" t="str">
        <f>D47</f>
        <v>伊藤</v>
      </c>
      <c r="E48" s="53" t="s">
        <v>0</v>
      </c>
      <c r="F48" s="39"/>
      <c r="G48" s="39"/>
      <c r="H48" s="55">
        <f t="shared" si="229"/>
        <v>0</v>
      </c>
      <c r="I48" s="56">
        <f>IF(OR(H47="",H48=""),"",H48-H47)</f>
        <v>-4</v>
      </c>
      <c r="J48" s="57"/>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c r="BT48" s="59"/>
      <c r="BU48" s="59"/>
      <c r="BV48" s="59"/>
      <c r="BW48" s="59"/>
      <c r="BX48" s="59"/>
      <c r="BY48" s="59"/>
      <c r="BZ48" s="59"/>
      <c r="CA48" s="59"/>
      <c r="CB48" s="59"/>
      <c r="CC48" s="59"/>
      <c r="CD48" s="59"/>
      <c r="CE48" s="59"/>
      <c r="CF48" s="59"/>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c r="DR48" s="59"/>
      <c r="DS48" s="59"/>
      <c r="DT48" s="59"/>
      <c r="DU48" s="59"/>
      <c r="DV48" s="59"/>
      <c r="DW48" s="59"/>
      <c r="DX48" s="59"/>
      <c r="DY48" s="59"/>
      <c r="DZ48" s="59"/>
      <c r="EA48" s="59"/>
      <c r="EB48" s="59"/>
      <c r="EC48" s="59"/>
      <c r="ED48" s="59"/>
      <c r="EE48" s="59"/>
      <c r="EF48" s="59"/>
      <c r="EG48" s="59"/>
      <c r="EH48" s="59"/>
      <c r="EI48" s="59"/>
      <c r="EJ48" s="59"/>
      <c r="EK48" s="59"/>
      <c r="EL48" s="59"/>
      <c r="EM48" s="59"/>
      <c r="EN48" s="59"/>
      <c r="EO48" s="59"/>
      <c r="EP48" s="59"/>
      <c r="EQ48" s="59"/>
      <c r="ER48" s="59"/>
      <c r="ES48" s="59"/>
      <c r="ET48" s="59"/>
      <c r="EU48" s="59"/>
      <c r="EV48" s="59"/>
      <c r="EW48" s="59"/>
      <c r="EX48" s="59"/>
      <c r="EY48" s="59"/>
      <c r="EZ48" s="59"/>
      <c r="FA48" s="59"/>
      <c r="FB48" s="59"/>
      <c r="FC48" s="59"/>
      <c r="FD48" s="59"/>
      <c r="FE48" s="59"/>
      <c r="FF48" s="59"/>
      <c r="FG48" s="59"/>
      <c r="FH48" s="59"/>
      <c r="FI48" s="59"/>
      <c r="FJ48" s="59"/>
      <c r="FK48" s="59"/>
      <c r="FL48" s="59"/>
      <c r="FM48" s="59"/>
      <c r="FN48" s="59"/>
      <c r="FO48" s="59"/>
      <c r="FP48" s="59"/>
      <c r="FQ48" s="59"/>
      <c r="FR48" s="59"/>
      <c r="FS48" s="59"/>
      <c r="FT48" s="59"/>
      <c r="FU48" s="59"/>
      <c r="FV48" s="59"/>
      <c r="FW48" s="59"/>
      <c r="FX48" s="59"/>
      <c r="FY48" s="59"/>
      <c r="FZ48" s="59"/>
      <c r="GA48" s="59"/>
      <c r="GB48" s="59"/>
      <c r="GC48" s="59"/>
      <c r="GD48" s="59"/>
      <c r="GE48" s="59"/>
      <c r="GF48" s="59"/>
      <c r="GG48" s="59"/>
      <c r="GH48" s="59"/>
      <c r="GI48" s="59"/>
      <c r="GJ48" s="59"/>
      <c r="GK48" s="59"/>
      <c r="GL48" s="59"/>
      <c r="GM48" s="59"/>
      <c r="GN48" s="59"/>
      <c r="GO48" s="59"/>
      <c r="GP48" s="59"/>
      <c r="GQ48" s="59"/>
      <c r="GR48" s="59"/>
      <c r="GS48" s="59"/>
      <c r="GT48" s="59"/>
      <c r="GU48" s="59"/>
      <c r="GV48" s="59"/>
      <c r="GW48" s="59"/>
      <c r="GX48" s="59"/>
      <c r="GY48" s="59"/>
      <c r="GZ48" s="59"/>
      <c r="HA48" s="59"/>
      <c r="HB48" s="59"/>
      <c r="HC48" s="59"/>
      <c r="HD48" s="59"/>
      <c r="HE48" s="59"/>
      <c r="HF48" s="59"/>
      <c r="HG48" s="59"/>
      <c r="HH48" s="59"/>
      <c r="HI48" s="59"/>
      <c r="HJ48" s="59"/>
      <c r="HK48" s="59"/>
      <c r="HL48" s="59"/>
      <c r="HM48" s="59"/>
      <c r="HN48" s="59"/>
      <c r="HO48" s="59"/>
      <c r="HP48" s="59"/>
      <c r="HQ48" s="59"/>
      <c r="HR48" s="59"/>
      <c r="HS48" s="59"/>
      <c r="HT48" s="59"/>
      <c r="HU48" s="59"/>
      <c r="HV48" s="59"/>
      <c r="HW48" s="59"/>
      <c r="HX48" s="59"/>
      <c r="HY48" s="59"/>
      <c r="HZ48" s="59"/>
      <c r="IA48" s="59"/>
      <c r="IB48" s="59"/>
      <c r="IC48" s="59"/>
      <c r="ID48" s="59"/>
      <c r="IE48" s="59"/>
      <c r="IF48" s="59"/>
      <c r="IG48" s="59"/>
      <c r="IH48" s="59"/>
      <c r="II48" s="59"/>
      <c r="IJ48" s="59"/>
      <c r="IK48" s="59"/>
      <c r="IL48" s="59"/>
      <c r="IM48" s="59"/>
      <c r="IN48" s="59"/>
      <c r="IO48" s="59"/>
      <c r="IP48" s="59"/>
      <c r="IQ48" s="59"/>
      <c r="IR48" s="59"/>
      <c r="IS48" s="59"/>
      <c r="IT48" s="59"/>
      <c r="IU48" s="59"/>
      <c r="IV48" s="59"/>
      <c r="IW48" s="59"/>
      <c r="IX48" s="59"/>
      <c r="IY48" s="59"/>
      <c r="IZ48" s="59"/>
      <c r="JA48" s="59"/>
      <c r="JB48" s="59"/>
      <c r="JC48" s="59"/>
      <c r="JD48" s="59"/>
      <c r="JE48" s="59"/>
      <c r="JF48" s="59"/>
      <c r="JG48" s="59"/>
      <c r="JH48" s="59"/>
      <c r="JI48" s="59"/>
      <c r="JJ48" s="59"/>
      <c r="JK48" s="59"/>
      <c r="JL48" s="59"/>
      <c r="JM48" s="59"/>
      <c r="JN48" s="59"/>
      <c r="JO48" s="59"/>
      <c r="JP48" s="59"/>
      <c r="JQ48" s="59"/>
      <c r="JR48" s="59"/>
      <c r="JS48" s="59"/>
      <c r="JT48" s="59"/>
      <c r="JU48" s="59"/>
      <c r="JV48" s="59"/>
      <c r="JW48" s="59"/>
      <c r="JX48" s="59"/>
      <c r="JY48" s="59"/>
      <c r="JZ48" s="59"/>
      <c r="KA48" s="59"/>
      <c r="KB48" s="59"/>
      <c r="KC48" s="59"/>
      <c r="KD48" s="59"/>
      <c r="KE48" s="59"/>
      <c r="KF48" s="59"/>
      <c r="KG48" s="59"/>
      <c r="KH48" s="59"/>
      <c r="KI48" s="59"/>
      <c r="KJ48" s="59"/>
      <c r="KK48" s="59"/>
      <c r="KL48" s="59"/>
      <c r="KM48" s="59"/>
      <c r="KN48" s="59"/>
      <c r="KO48" s="59"/>
      <c r="KP48" s="59"/>
      <c r="KQ48" s="59"/>
      <c r="KR48" s="59"/>
      <c r="KS48" s="59"/>
      <c r="KT48" s="59"/>
      <c r="KU48" s="59"/>
      <c r="KV48" s="59"/>
      <c r="KW48" s="59"/>
      <c r="KX48" s="59"/>
      <c r="KY48" s="59"/>
      <c r="KZ48" s="59"/>
      <c r="LA48" s="59"/>
      <c r="LB48" s="59"/>
      <c r="LC48" s="59"/>
      <c r="LD48" s="59"/>
      <c r="LE48" s="59"/>
      <c r="LF48" s="59"/>
      <c r="LG48" s="59"/>
      <c r="LH48" s="59"/>
      <c r="LI48" s="59"/>
      <c r="LJ48" s="59"/>
      <c r="LK48" s="59"/>
      <c r="LL48" s="59"/>
      <c r="LM48" s="59"/>
      <c r="LN48" s="59"/>
      <c r="LO48" s="59"/>
      <c r="LP48" s="59"/>
      <c r="LQ48" s="59"/>
      <c r="LR48" s="59"/>
      <c r="LS48" s="59"/>
      <c r="LT48" s="59"/>
      <c r="LU48" s="59"/>
      <c r="LV48" s="59"/>
      <c r="LW48" s="59"/>
      <c r="LX48" s="59"/>
      <c r="LY48" s="59"/>
      <c r="LZ48" s="59"/>
      <c r="MA48" s="59"/>
      <c r="MB48" s="59"/>
      <c r="MC48" s="59"/>
      <c r="MD48" s="59"/>
      <c r="ME48" s="59"/>
      <c r="MF48" s="59"/>
      <c r="MG48" s="59"/>
      <c r="MH48" s="59"/>
      <c r="MI48" s="59"/>
      <c r="MJ48" s="59"/>
      <c r="MK48" s="59"/>
      <c r="ML48" s="59"/>
      <c r="MM48" s="59"/>
      <c r="MN48" s="59"/>
      <c r="MO48" s="59"/>
      <c r="MP48" s="59"/>
      <c r="MQ48" s="59"/>
      <c r="MR48" s="59"/>
      <c r="MS48" s="59"/>
      <c r="MT48" s="59"/>
      <c r="MU48" s="59"/>
      <c r="MV48" s="59"/>
      <c r="MW48" s="59"/>
      <c r="MX48" s="59"/>
      <c r="MY48" s="59"/>
      <c r="MZ48" s="59"/>
      <c r="NA48" s="59"/>
      <c r="NB48" s="59"/>
      <c r="NC48" s="59"/>
      <c r="ND48" s="59"/>
      <c r="NE48" s="59"/>
      <c r="NF48" s="59"/>
      <c r="NG48" s="59"/>
      <c r="NH48" s="59"/>
      <c r="NI48" s="59"/>
      <c r="NJ48" s="59"/>
      <c r="NK48" s="59"/>
      <c r="NL48" s="60"/>
    </row>
    <row r="49" spans="1:376" x14ac:dyDescent="0.15">
      <c r="A49" s="23">
        <v>19</v>
      </c>
      <c r="B49" s="24" t="s">
        <v>131</v>
      </c>
      <c r="C49" s="45" t="s">
        <v>169</v>
      </c>
      <c r="D49" s="26" t="s">
        <v>114</v>
      </c>
      <c r="E49" s="27" t="s">
        <v>13</v>
      </c>
      <c r="F49" s="47">
        <v>42925</v>
      </c>
      <c r="G49" s="47">
        <v>42932</v>
      </c>
      <c r="H49" s="29">
        <f t="shared" si="229"/>
        <v>6</v>
      </c>
      <c r="I49" s="30"/>
      <c r="J49" s="31"/>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3"/>
      <c r="AQ49" s="33"/>
      <c r="AR49" s="33"/>
      <c r="AS49" s="33"/>
      <c r="AT49" s="33"/>
      <c r="AU49" s="33"/>
      <c r="AV49" s="33"/>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33"/>
      <c r="CG49" s="33"/>
      <c r="CH49" s="33"/>
      <c r="CI49" s="33"/>
      <c r="CJ49" s="33"/>
      <c r="CK49" s="33"/>
      <c r="CL49" s="33"/>
      <c r="CM49" s="33"/>
      <c r="CN49" s="33"/>
      <c r="CO49" s="33"/>
      <c r="CP49" s="33"/>
      <c r="CQ49" s="33"/>
      <c r="CR49" s="33"/>
      <c r="CS49" s="33"/>
      <c r="CT49" s="33"/>
      <c r="CU49" s="33"/>
      <c r="CV49" s="33"/>
      <c r="CW49" s="33"/>
      <c r="CX49" s="33"/>
      <c r="CY49" s="33"/>
      <c r="CZ49" s="33"/>
      <c r="DA49" s="33"/>
      <c r="DB49" s="33"/>
      <c r="DC49" s="33">
        <v>2</v>
      </c>
      <c r="DD49" s="33"/>
      <c r="DE49" s="33"/>
      <c r="DF49" s="33"/>
      <c r="DG49" s="33"/>
      <c r="DH49" s="33"/>
      <c r="DI49" s="33">
        <v>4</v>
      </c>
      <c r="DJ49" s="33"/>
      <c r="DK49" s="33"/>
      <c r="DL49" s="33"/>
      <c r="DM49" s="33"/>
      <c r="DN49" s="33"/>
      <c r="DO49" s="33"/>
      <c r="DP49" s="33"/>
      <c r="DQ49" s="33"/>
      <c r="DR49" s="33"/>
      <c r="DS49" s="33"/>
      <c r="DT49" s="33"/>
      <c r="DU49" s="33"/>
      <c r="DV49" s="33"/>
      <c r="DW49" s="33"/>
      <c r="DX49" s="33"/>
      <c r="DY49" s="33"/>
      <c r="DZ49" s="33"/>
      <c r="EA49" s="33"/>
      <c r="EB49" s="33"/>
      <c r="EC49" s="33"/>
      <c r="ED49" s="33"/>
      <c r="EE49" s="33"/>
      <c r="EF49" s="33"/>
      <c r="EG49" s="33"/>
      <c r="EH49" s="33"/>
      <c r="EI49" s="33"/>
      <c r="EJ49" s="33"/>
      <c r="EK49" s="33"/>
      <c r="EL49" s="33"/>
      <c r="EM49" s="33"/>
      <c r="EN49" s="33"/>
      <c r="EO49" s="33"/>
      <c r="EP49" s="33"/>
      <c r="EQ49" s="33"/>
      <c r="ER49" s="33"/>
      <c r="ES49" s="33"/>
      <c r="ET49" s="33"/>
      <c r="EU49" s="33"/>
      <c r="EV49" s="33"/>
      <c r="EW49" s="33"/>
      <c r="EX49" s="33"/>
      <c r="EY49" s="33"/>
      <c r="EZ49" s="33"/>
      <c r="FA49" s="33"/>
      <c r="FB49" s="33"/>
      <c r="FC49" s="33"/>
      <c r="FD49" s="33"/>
      <c r="FE49" s="33"/>
      <c r="FF49" s="33"/>
      <c r="FG49" s="33"/>
      <c r="FH49" s="33"/>
      <c r="FI49" s="33"/>
      <c r="FJ49" s="33"/>
      <c r="FK49" s="33"/>
      <c r="FL49" s="33"/>
      <c r="FM49" s="33"/>
      <c r="FN49" s="33"/>
      <c r="FO49" s="33"/>
      <c r="FP49" s="33"/>
      <c r="FQ49" s="33"/>
      <c r="FR49" s="33"/>
      <c r="FS49" s="33"/>
      <c r="FT49" s="33"/>
      <c r="FU49" s="33"/>
      <c r="FV49" s="33"/>
      <c r="FW49" s="33"/>
      <c r="FX49" s="33"/>
      <c r="FY49" s="33"/>
      <c r="FZ49" s="33"/>
      <c r="GA49" s="33"/>
      <c r="GB49" s="33"/>
      <c r="GC49" s="33"/>
      <c r="GD49" s="33"/>
      <c r="GE49" s="33"/>
      <c r="GF49" s="33"/>
      <c r="GG49" s="33"/>
      <c r="GH49" s="33"/>
      <c r="GI49" s="33"/>
      <c r="GJ49" s="33"/>
      <c r="GK49" s="33"/>
      <c r="GL49" s="33"/>
      <c r="GM49" s="33"/>
      <c r="GN49" s="33"/>
      <c r="GO49" s="33"/>
      <c r="GP49" s="33"/>
      <c r="GQ49" s="33"/>
      <c r="GR49" s="33"/>
      <c r="GS49" s="33"/>
      <c r="GT49" s="33"/>
      <c r="GU49" s="33"/>
      <c r="GV49" s="33"/>
      <c r="GW49" s="33"/>
      <c r="GX49" s="33"/>
      <c r="GY49" s="33"/>
      <c r="GZ49" s="33"/>
      <c r="HA49" s="33"/>
      <c r="HB49" s="33"/>
      <c r="HC49" s="33"/>
      <c r="HD49" s="33"/>
      <c r="HE49" s="33"/>
      <c r="HF49" s="33"/>
      <c r="HG49" s="33"/>
      <c r="HH49" s="33"/>
      <c r="HI49" s="33"/>
      <c r="HJ49" s="33"/>
      <c r="HK49" s="33"/>
      <c r="HL49" s="33"/>
      <c r="HM49" s="33"/>
      <c r="HN49" s="33"/>
      <c r="HO49" s="33"/>
      <c r="HP49" s="33"/>
      <c r="HQ49" s="33"/>
      <c r="HR49" s="33"/>
      <c r="HS49" s="33"/>
      <c r="HT49" s="33"/>
      <c r="HU49" s="33"/>
      <c r="HV49" s="33"/>
      <c r="HW49" s="33"/>
      <c r="HX49" s="33"/>
      <c r="HY49" s="33"/>
      <c r="HZ49" s="33"/>
      <c r="IA49" s="33"/>
      <c r="IB49" s="33"/>
      <c r="IC49" s="33"/>
      <c r="ID49" s="33"/>
      <c r="IE49" s="33"/>
      <c r="IF49" s="33"/>
      <c r="IG49" s="33"/>
      <c r="IH49" s="33"/>
      <c r="II49" s="33"/>
      <c r="IJ49" s="33"/>
      <c r="IK49" s="33"/>
      <c r="IL49" s="33"/>
      <c r="IM49" s="33"/>
      <c r="IN49" s="33"/>
      <c r="IO49" s="33"/>
      <c r="IP49" s="33"/>
      <c r="IQ49" s="33"/>
      <c r="IR49" s="33"/>
      <c r="IS49" s="33"/>
      <c r="IT49" s="33"/>
      <c r="IU49" s="33"/>
      <c r="IV49" s="33"/>
      <c r="IW49" s="33"/>
      <c r="IX49" s="33"/>
      <c r="IY49" s="33"/>
      <c r="IZ49" s="33"/>
      <c r="JA49" s="33"/>
      <c r="JB49" s="33"/>
      <c r="JC49" s="33"/>
      <c r="JD49" s="33"/>
      <c r="JE49" s="33"/>
      <c r="JF49" s="33"/>
      <c r="JG49" s="33"/>
      <c r="JH49" s="33"/>
      <c r="JI49" s="33"/>
      <c r="JJ49" s="33"/>
      <c r="JK49" s="33"/>
      <c r="JL49" s="33"/>
      <c r="JM49" s="33"/>
      <c r="JN49" s="33"/>
      <c r="JO49" s="33"/>
      <c r="JP49" s="33"/>
      <c r="JQ49" s="33"/>
      <c r="JR49" s="33"/>
      <c r="JS49" s="33"/>
      <c r="JT49" s="33"/>
      <c r="JU49" s="33"/>
      <c r="JV49" s="33"/>
      <c r="JW49" s="33"/>
      <c r="JX49" s="33"/>
      <c r="JY49" s="33"/>
      <c r="JZ49" s="33"/>
      <c r="KA49" s="33"/>
      <c r="KB49" s="33"/>
      <c r="KC49" s="33"/>
      <c r="KD49" s="33"/>
      <c r="KE49" s="33"/>
      <c r="KF49" s="33"/>
      <c r="KG49" s="33"/>
      <c r="KH49" s="33"/>
      <c r="KI49" s="33"/>
      <c r="KJ49" s="33"/>
      <c r="KK49" s="33"/>
      <c r="KL49" s="33"/>
      <c r="KM49" s="33"/>
      <c r="KN49" s="33"/>
      <c r="KO49" s="33"/>
      <c r="KP49" s="33"/>
      <c r="KQ49" s="33"/>
      <c r="KR49" s="33"/>
      <c r="KS49" s="33"/>
      <c r="KT49" s="33"/>
      <c r="KU49" s="33"/>
      <c r="KV49" s="33"/>
      <c r="KW49" s="33"/>
      <c r="KX49" s="33"/>
      <c r="KY49" s="33"/>
      <c r="KZ49" s="33"/>
      <c r="LA49" s="33"/>
      <c r="LB49" s="33"/>
      <c r="LC49" s="33"/>
      <c r="LD49" s="33"/>
      <c r="LE49" s="33"/>
      <c r="LF49" s="33"/>
      <c r="LG49" s="33"/>
      <c r="LH49" s="33"/>
      <c r="LI49" s="33"/>
      <c r="LJ49" s="33"/>
      <c r="LK49" s="33"/>
      <c r="LL49" s="33"/>
      <c r="LM49" s="33"/>
      <c r="LN49" s="33"/>
      <c r="LO49" s="33"/>
      <c r="LP49" s="33"/>
      <c r="LQ49" s="33"/>
      <c r="LR49" s="33"/>
      <c r="LS49" s="33"/>
      <c r="LT49" s="33"/>
      <c r="LU49" s="33"/>
      <c r="LV49" s="33"/>
      <c r="LW49" s="33"/>
      <c r="LX49" s="33"/>
      <c r="LY49" s="33"/>
      <c r="LZ49" s="33"/>
      <c r="MA49" s="33"/>
      <c r="MB49" s="33"/>
      <c r="MC49" s="33"/>
      <c r="MD49" s="33"/>
      <c r="ME49" s="33"/>
      <c r="MF49" s="33"/>
      <c r="MG49" s="33"/>
      <c r="MH49" s="33"/>
      <c r="MI49" s="33"/>
      <c r="MJ49" s="33"/>
      <c r="MK49" s="33"/>
      <c r="ML49" s="33"/>
      <c r="MM49" s="33"/>
      <c r="MN49" s="33"/>
      <c r="MO49" s="33"/>
      <c r="MP49" s="33"/>
      <c r="MQ49" s="33"/>
      <c r="MR49" s="33"/>
      <c r="MS49" s="33"/>
      <c r="MT49" s="33"/>
      <c r="MU49" s="33"/>
      <c r="MV49" s="33"/>
      <c r="MW49" s="33"/>
      <c r="MX49" s="33"/>
      <c r="MY49" s="33"/>
      <c r="MZ49" s="33"/>
      <c r="NA49" s="33"/>
      <c r="NB49" s="33"/>
      <c r="NC49" s="33"/>
      <c r="ND49" s="33"/>
      <c r="NE49" s="33"/>
      <c r="NF49" s="33"/>
      <c r="NG49" s="33"/>
      <c r="NH49" s="33"/>
      <c r="NI49" s="33"/>
      <c r="NJ49" s="33"/>
      <c r="NK49" s="33"/>
      <c r="NL49" s="34"/>
    </row>
    <row r="50" spans="1:376" x14ac:dyDescent="0.15">
      <c r="A50" s="35">
        <f>A49</f>
        <v>19</v>
      </c>
      <c r="B50" s="36" t="str">
        <f>B49</f>
        <v>SD</v>
      </c>
      <c r="C50" s="36" t="str">
        <f>C49</f>
        <v>Webアプリ構造設計書レビュー指摘対応</v>
      </c>
      <c r="D50" s="37" t="str">
        <f>D49</f>
        <v>那須</v>
      </c>
      <c r="E50" s="53" t="s">
        <v>0</v>
      </c>
      <c r="F50" s="54"/>
      <c r="G50" s="54"/>
      <c r="H50" s="55">
        <f t="shared" si="229"/>
        <v>0</v>
      </c>
      <c r="I50" s="56">
        <f>IF(OR(H49="",H50=""),"",H50-H49)</f>
        <v>-6</v>
      </c>
      <c r="J50" s="57"/>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59"/>
      <c r="BT50" s="59"/>
      <c r="BU50" s="59"/>
      <c r="BV50" s="59"/>
      <c r="BW50" s="59"/>
      <c r="BX50" s="59"/>
      <c r="BY50" s="59"/>
      <c r="BZ50" s="59"/>
      <c r="CA50" s="59"/>
      <c r="CB50" s="59"/>
      <c r="CC50" s="59"/>
      <c r="CD50" s="59"/>
      <c r="CE50" s="59"/>
      <c r="CF50" s="59"/>
      <c r="CG50" s="59"/>
      <c r="CH50" s="59"/>
      <c r="CI50" s="59"/>
      <c r="CJ50" s="59"/>
      <c r="CK50" s="59"/>
      <c r="CL50" s="59"/>
      <c r="CM50" s="59"/>
      <c r="CN50" s="59"/>
      <c r="CO50" s="59"/>
      <c r="CP50" s="59"/>
      <c r="CQ50" s="59"/>
      <c r="CR50" s="59"/>
      <c r="CS50" s="59"/>
      <c r="CT50" s="59"/>
      <c r="CU50" s="59"/>
      <c r="CV50" s="59"/>
      <c r="CW50" s="59"/>
      <c r="CX50" s="59"/>
      <c r="CY50" s="59"/>
      <c r="CZ50" s="59"/>
      <c r="DA50" s="59"/>
      <c r="DB50" s="59"/>
      <c r="DC50" s="59"/>
      <c r="DD50" s="59"/>
      <c r="DE50" s="59"/>
      <c r="DF50" s="59"/>
      <c r="DG50" s="59"/>
      <c r="DH50" s="59"/>
      <c r="DI50" s="59"/>
      <c r="DJ50" s="59"/>
      <c r="DK50" s="59"/>
      <c r="DL50" s="59"/>
      <c r="DM50" s="59"/>
      <c r="DN50" s="59"/>
      <c r="DO50" s="59"/>
      <c r="DP50" s="59"/>
      <c r="DQ50" s="59"/>
      <c r="DR50" s="59"/>
      <c r="DS50" s="59"/>
      <c r="DT50" s="59"/>
      <c r="DU50" s="59"/>
      <c r="DV50" s="59"/>
      <c r="DW50" s="59"/>
      <c r="DX50" s="59"/>
      <c r="DY50" s="59"/>
      <c r="DZ50" s="59"/>
      <c r="EA50" s="59"/>
      <c r="EB50" s="59"/>
      <c r="EC50" s="59"/>
      <c r="ED50" s="59"/>
      <c r="EE50" s="59"/>
      <c r="EF50" s="59"/>
      <c r="EG50" s="59"/>
      <c r="EH50" s="59"/>
      <c r="EI50" s="59"/>
      <c r="EJ50" s="59"/>
      <c r="EK50" s="59"/>
      <c r="EL50" s="59"/>
      <c r="EM50" s="59"/>
      <c r="EN50" s="59"/>
      <c r="EO50" s="59"/>
      <c r="EP50" s="59"/>
      <c r="EQ50" s="59"/>
      <c r="ER50" s="59"/>
      <c r="ES50" s="59"/>
      <c r="ET50" s="59"/>
      <c r="EU50" s="59"/>
      <c r="EV50" s="59"/>
      <c r="EW50" s="59"/>
      <c r="EX50" s="59"/>
      <c r="EY50" s="59"/>
      <c r="EZ50" s="59"/>
      <c r="FA50" s="59"/>
      <c r="FB50" s="59"/>
      <c r="FC50" s="59"/>
      <c r="FD50" s="59"/>
      <c r="FE50" s="59"/>
      <c r="FF50" s="59"/>
      <c r="FG50" s="59"/>
      <c r="FH50" s="59"/>
      <c r="FI50" s="59"/>
      <c r="FJ50" s="59"/>
      <c r="FK50" s="59"/>
      <c r="FL50" s="59"/>
      <c r="FM50" s="59"/>
      <c r="FN50" s="59"/>
      <c r="FO50" s="59"/>
      <c r="FP50" s="59"/>
      <c r="FQ50" s="59"/>
      <c r="FR50" s="59"/>
      <c r="FS50" s="59"/>
      <c r="FT50" s="59"/>
      <c r="FU50" s="59"/>
      <c r="FV50" s="59"/>
      <c r="FW50" s="59"/>
      <c r="FX50" s="59"/>
      <c r="FY50" s="59"/>
      <c r="FZ50" s="59"/>
      <c r="GA50" s="59"/>
      <c r="GB50" s="59"/>
      <c r="GC50" s="59"/>
      <c r="GD50" s="59"/>
      <c r="GE50" s="59"/>
      <c r="GF50" s="59"/>
      <c r="GG50" s="59"/>
      <c r="GH50" s="59"/>
      <c r="GI50" s="59"/>
      <c r="GJ50" s="59"/>
      <c r="GK50" s="59"/>
      <c r="GL50" s="59"/>
      <c r="GM50" s="59"/>
      <c r="GN50" s="59"/>
      <c r="GO50" s="59"/>
      <c r="GP50" s="59"/>
      <c r="GQ50" s="59"/>
      <c r="GR50" s="59"/>
      <c r="GS50" s="59"/>
      <c r="GT50" s="59"/>
      <c r="GU50" s="59"/>
      <c r="GV50" s="59"/>
      <c r="GW50" s="59"/>
      <c r="GX50" s="59"/>
      <c r="GY50" s="59"/>
      <c r="GZ50" s="59"/>
      <c r="HA50" s="59"/>
      <c r="HB50" s="59"/>
      <c r="HC50" s="59"/>
      <c r="HD50" s="59"/>
      <c r="HE50" s="59"/>
      <c r="HF50" s="59"/>
      <c r="HG50" s="59"/>
      <c r="HH50" s="59"/>
      <c r="HI50" s="59"/>
      <c r="HJ50" s="59"/>
      <c r="HK50" s="59"/>
      <c r="HL50" s="59"/>
      <c r="HM50" s="59"/>
      <c r="HN50" s="59"/>
      <c r="HO50" s="59"/>
      <c r="HP50" s="59"/>
      <c r="HQ50" s="59"/>
      <c r="HR50" s="59"/>
      <c r="HS50" s="59"/>
      <c r="HT50" s="59"/>
      <c r="HU50" s="59"/>
      <c r="HV50" s="59"/>
      <c r="HW50" s="59"/>
      <c r="HX50" s="59"/>
      <c r="HY50" s="59"/>
      <c r="HZ50" s="59"/>
      <c r="IA50" s="59"/>
      <c r="IB50" s="59"/>
      <c r="IC50" s="59"/>
      <c r="ID50" s="59"/>
      <c r="IE50" s="59"/>
      <c r="IF50" s="59"/>
      <c r="IG50" s="59"/>
      <c r="IH50" s="59"/>
      <c r="II50" s="59"/>
      <c r="IJ50" s="59"/>
      <c r="IK50" s="59"/>
      <c r="IL50" s="59"/>
      <c r="IM50" s="59"/>
      <c r="IN50" s="59"/>
      <c r="IO50" s="59"/>
      <c r="IP50" s="59"/>
      <c r="IQ50" s="59"/>
      <c r="IR50" s="59"/>
      <c r="IS50" s="59"/>
      <c r="IT50" s="59"/>
      <c r="IU50" s="59"/>
      <c r="IV50" s="59"/>
      <c r="IW50" s="59"/>
      <c r="IX50" s="59"/>
      <c r="IY50" s="59"/>
      <c r="IZ50" s="59"/>
      <c r="JA50" s="59"/>
      <c r="JB50" s="59"/>
      <c r="JC50" s="59"/>
      <c r="JD50" s="59"/>
      <c r="JE50" s="59"/>
      <c r="JF50" s="59"/>
      <c r="JG50" s="59"/>
      <c r="JH50" s="59"/>
      <c r="JI50" s="59"/>
      <c r="JJ50" s="59"/>
      <c r="JK50" s="59"/>
      <c r="JL50" s="59"/>
      <c r="JM50" s="59"/>
      <c r="JN50" s="59"/>
      <c r="JO50" s="59"/>
      <c r="JP50" s="59"/>
      <c r="JQ50" s="59"/>
      <c r="JR50" s="59"/>
      <c r="JS50" s="59"/>
      <c r="JT50" s="59"/>
      <c r="JU50" s="59"/>
      <c r="JV50" s="59"/>
      <c r="JW50" s="59"/>
      <c r="JX50" s="59"/>
      <c r="JY50" s="59"/>
      <c r="JZ50" s="59"/>
      <c r="KA50" s="59"/>
      <c r="KB50" s="59"/>
      <c r="KC50" s="59"/>
      <c r="KD50" s="59"/>
      <c r="KE50" s="59"/>
      <c r="KF50" s="59"/>
      <c r="KG50" s="59"/>
      <c r="KH50" s="59"/>
      <c r="KI50" s="59"/>
      <c r="KJ50" s="59"/>
      <c r="KK50" s="59"/>
      <c r="KL50" s="59"/>
      <c r="KM50" s="59"/>
      <c r="KN50" s="59"/>
      <c r="KO50" s="59"/>
      <c r="KP50" s="59"/>
      <c r="KQ50" s="59"/>
      <c r="KR50" s="59"/>
      <c r="KS50" s="59"/>
      <c r="KT50" s="59"/>
      <c r="KU50" s="59"/>
      <c r="KV50" s="59"/>
      <c r="KW50" s="59"/>
      <c r="KX50" s="59"/>
      <c r="KY50" s="59"/>
      <c r="KZ50" s="59"/>
      <c r="LA50" s="59"/>
      <c r="LB50" s="59"/>
      <c r="LC50" s="59"/>
      <c r="LD50" s="59"/>
      <c r="LE50" s="59"/>
      <c r="LF50" s="59"/>
      <c r="LG50" s="59"/>
      <c r="LH50" s="59"/>
      <c r="LI50" s="59"/>
      <c r="LJ50" s="59"/>
      <c r="LK50" s="59"/>
      <c r="LL50" s="59"/>
      <c r="LM50" s="59"/>
      <c r="LN50" s="59"/>
      <c r="LO50" s="59"/>
      <c r="LP50" s="59"/>
      <c r="LQ50" s="59"/>
      <c r="LR50" s="59"/>
      <c r="LS50" s="59"/>
      <c r="LT50" s="59"/>
      <c r="LU50" s="59"/>
      <c r="LV50" s="59"/>
      <c r="LW50" s="59"/>
      <c r="LX50" s="59"/>
      <c r="LY50" s="59"/>
      <c r="LZ50" s="59"/>
      <c r="MA50" s="59"/>
      <c r="MB50" s="59"/>
      <c r="MC50" s="59"/>
      <c r="MD50" s="59"/>
      <c r="ME50" s="59"/>
      <c r="MF50" s="59"/>
      <c r="MG50" s="59"/>
      <c r="MH50" s="59"/>
      <c r="MI50" s="59"/>
      <c r="MJ50" s="59"/>
      <c r="MK50" s="59"/>
      <c r="ML50" s="59"/>
      <c r="MM50" s="59"/>
      <c r="MN50" s="59"/>
      <c r="MO50" s="59"/>
      <c r="MP50" s="59"/>
      <c r="MQ50" s="59"/>
      <c r="MR50" s="59"/>
      <c r="MS50" s="59"/>
      <c r="MT50" s="59"/>
      <c r="MU50" s="59"/>
      <c r="MV50" s="59"/>
      <c r="MW50" s="59"/>
      <c r="MX50" s="59"/>
      <c r="MY50" s="59"/>
      <c r="MZ50" s="59"/>
      <c r="NA50" s="59"/>
      <c r="NB50" s="59"/>
      <c r="NC50" s="59"/>
      <c r="ND50" s="59"/>
      <c r="NE50" s="59"/>
      <c r="NF50" s="59"/>
      <c r="NG50" s="59"/>
      <c r="NH50" s="59"/>
      <c r="NI50" s="59"/>
      <c r="NJ50" s="59"/>
      <c r="NK50" s="59"/>
      <c r="NL50" s="60"/>
    </row>
    <row r="51" spans="1:376" x14ac:dyDescent="0.15">
      <c r="A51" s="23">
        <v>20</v>
      </c>
      <c r="B51" s="24" t="s">
        <v>131</v>
      </c>
      <c r="C51" s="45" t="s">
        <v>170</v>
      </c>
      <c r="D51" s="26" t="s">
        <v>115</v>
      </c>
      <c r="E51" s="27" t="s">
        <v>13</v>
      </c>
      <c r="F51" s="47">
        <v>42891</v>
      </c>
      <c r="G51" s="47">
        <v>42924</v>
      </c>
      <c r="H51" s="29">
        <f t="shared" si="229"/>
        <v>20</v>
      </c>
      <c r="I51" s="30"/>
      <c r="J51" s="31"/>
      <c r="K51" s="32"/>
      <c r="L51" s="32"/>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3"/>
      <c r="AQ51" s="33"/>
      <c r="AR51" s="33"/>
      <c r="AS51" s="33"/>
      <c r="AT51" s="33"/>
      <c r="AU51" s="33"/>
      <c r="AV51" s="33"/>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v>4</v>
      </c>
      <c r="CA51" s="33"/>
      <c r="CB51" s="33"/>
      <c r="CC51" s="33"/>
      <c r="CD51" s="33"/>
      <c r="CE51" s="33"/>
      <c r="CF51" s="33"/>
      <c r="CG51" s="33">
        <v>4</v>
      </c>
      <c r="CH51" s="33"/>
      <c r="CI51" s="33"/>
      <c r="CJ51" s="33"/>
      <c r="CK51" s="33"/>
      <c r="CL51" s="33"/>
      <c r="CM51" s="33"/>
      <c r="CN51" s="33">
        <v>4</v>
      </c>
      <c r="CO51" s="33"/>
      <c r="CP51" s="33"/>
      <c r="CQ51" s="33"/>
      <c r="CR51" s="33"/>
      <c r="CS51" s="33"/>
      <c r="CT51" s="33"/>
      <c r="CU51" s="33">
        <v>4</v>
      </c>
      <c r="CV51" s="33"/>
      <c r="CW51" s="33"/>
      <c r="CX51" s="33"/>
      <c r="CY51" s="33"/>
      <c r="CZ51" s="33"/>
      <c r="DA51" s="33"/>
      <c r="DB51" s="33">
        <v>4</v>
      </c>
      <c r="DC51" s="33"/>
      <c r="DD51" s="33"/>
      <c r="DE51" s="33"/>
      <c r="DF51" s="33"/>
      <c r="DG51" s="33"/>
      <c r="DH51" s="33"/>
      <c r="DI51" s="33"/>
      <c r="DJ51" s="33"/>
      <c r="DK51" s="33"/>
      <c r="DL51" s="33"/>
      <c r="DM51" s="33"/>
      <c r="DN51" s="33"/>
      <c r="DO51" s="33"/>
      <c r="DP51" s="33"/>
      <c r="DQ51" s="33"/>
      <c r="DR51" s="33"/>
      <c r="DS51" s="33"/>
      <c r="DT51" s="33"/>
      <c r="DU51" s="33"/>
      <c r="DV51" s="33"/>
      <c r="DW51" s="33"/>
      <c r="DX51" s="33"/>
      <c r="DY51" s="33"/>
      <c r="DZ51" s="33"/>
      <c r="EA51" s="33"/>
      <c r="EB51" s="33"/>
      <c r="EC51" s="33"/>
      <c r="ED51" s="33"/>
      <c r="EE51" s="33"/>
      <c r="EF51" s="33"/>
      <c r="EG51" s="33"/>
      <c r="EH51" s="33"/>
      <c r="EI51" s="33"/>
      <c r="EJ51" s="33"/>
      <c r="EK51" s="33"/>
      <c r="EL51" s="33"/>
      <c r="EM51" s="33"/>
      <c r="EN51" s="33"/>
      <c r="EO51" s="33"/>
      <c r="EP51" s="33"/>
      <c r="EQ51" s="33"/>
      <c r="ER51" s="33"/>
      <c r="ES51" s="33"/>
      <c r="ET51" s="33"/>
      <c r="EU51" s="33"/>
      <c r="EV51" s="33"/>
      <c r="EW51" s="33"/>
      <c r="EX51" s="33"/>
      <c r="EY51" s="33"/>
      <c r="EZ51" s="33"/>
      <c r="FA51" s="33"/>
      <c r="FB51" s="33"/>
      <c r="FC51" s="33"/>
      <c r="FD51" s="33"/>
      <c r="FE51" s="33"/>
      <c r="FF51" s="33"/>
      <c r="FG51" s="33"/>
      <c r="FH51" s="33"/>
      <c r="FI51" s="33"/>
      <c r="FJ51" s="33"/>
      <c r="FK51" s="33"/>
      <c r="FL51" s="33"/>
      <c r="FM51" s="33"/>
      <c r="FN51" s="33"/>
      <c r="FO51" s="33"/>
      <c r="FP51" s="33"/>
      <c r="FQ51" s="33"/>
      <c r="FR51" s="33"/>
      <c r="FS51" s="33"/>
      <c r="FT51" s="33"/>
      <c r="FU51" s="33"/>
      <c r="FV51" s="33"/>
      <c r="FW51" s="33"/>
      <c r="FX51" s="33"/>
      <c r="FY51" s="33"/>
      <c r="FZ51" s="33"/>
      <c r="GA51" s="33"/>
      <c r="GB51" s="33"/>
      <c r="GC51" s="33"/>
      <c r="GD51" s="33"/>
      <c r="GE51" s="33"/>
      <c r="GF51" s="33"/>
      <c r="GG51" s="33"/>
      <c r="GH51" s="33"/>
      <c r="GI51" s="33"/>
      <c r="GJ51" s="33"/>
      <c r="GK51" s="33"/>
      <c r="GL51" s="33"/>
      <c r="GM51" s="33"/>
      <c r="GN51" s="33"/>
      <c r="GO51" s="33"/>
      <c r="GP51" s="33"/>
      <c r="GQ51" s="33"/>
      <c r="GR51" s="33"/>
      <c r="GS51" s="33"/>
      <c r="GT51" s="33"/>
      <c r="GU51" s="33"/>
      <c r="GV51" s="33"/>
      <c r="GW51" s="33"/>
      <c r="GX51" s="33"/>
      <c r="GY51" s="33"/>
      <c r="GZ51" s="33"/>
      <c r="HA51" s="33"/>
      <c r="HB51" s="33"/>
      <c r="HC51" s="33"/>
      <c r="HD51" s="33"/>
      <c r="HE51" s="33"/>
      <c r="HF51" s="33"/>
      <c r="HG51" s="33"/>
      <c r="HH51" s="33"/>
      <c r="HI51" s="33"/>
      <c r="HJ51" s="33"/>
      <c r="HK51" s="33"/>
      <c r="HL51" s="33"/>
      <c r="HM51" s="33"/>
      <c r="HN51" s="33"/>
      <c r="HO51" s="33"/>
      <c r="HP51" s="33"/>
      <c r="HQ51" s="33"/>
      <c r="HR51" s="33"/>
      <c r="HS51" s="33"/>
      <c r="HT51" s="33"/>
      <c r="HU51" s="33"/>
      <c r="HV51" s="33"/>
      <c r="HW51" s="33"/>
      <c r="HX51" s="33"/>
      <c r="HY51" s="33"/>
      <c r="HZ51" s="33"/>
      <c r="IA51" s="33"/>
      <c r="IB51" s="33"/>
      <c r="IC51" s="33"/>
      <c r="ID51" s="33"/>
      <c r="IE51" s="33"/>
      <c r="IF51" s="33"/>
      <c r="IG51" s="33"/>
      <c r="IH51" s="33"/>
      <c r="II51" s="33"/>
      <c r="IJ51" s="33"/>
      <c r="IK51" s="33"/>
      <c r="IL51" s="33"/>
      <c r="IM51" s="33"/>
      <c r="IN51" s="33"/>
      <c r="IO51" s="33"/>
      <c r="IP51" s="33"/>
      <c r="IQ51" s="33"/>
      <c r="IR51" s="33"/>
      <c r="IS51" s="33"/>
      <c r="IT51" s="33"/>
      <c r="IU51" s="33"/>
      <c r="IV51" s="33"/>
      <c r="IW51" s="33"/>
      <c r="IX51" s="33"/>
      <c r="IY51" s="33"/>
      <c r="IZ51" s="33"/>
      <c r="JA51" s="33"/>
      <c r="JB51" s="33"/>
      <c r="JC51" s="33"/>
      <c r="JD51" s="33"/>
      <c r="JE51" s="33"/>
      <c r="JF51" s="33"/>
      <c r="JG51" s="33"/>
      <c r="JH51" s="33"/>
      <c r="JI51" s="33"/>
      <c r="JJ51" s="33"/>
      <c r="JK51" s="33"/>
      <c r="JL51" s="33"/>
      <c r="JM51" s="33"/>
      <c r="JN51" s="33"/>
      <c r="JO51" s="33"/>
      <c r="JP51" s="33"/>
      <c r="JQ51" s="33"/>
      <c r="JR51" s="33"/>
      <c r="JS51" s="33"/>
      <c r="JT51" s="33"/>
      <c r="JU51" s="33"/>
      <c r="JV51" s="33"/>
      <c r="JW51" s="33"/>
      <c r="JX51" s="33"/>
      <c r="JY51" s="33"/>
      <c r="JZ51" s="33"/>
      <c r="KA51" s="33"/>
      <c r="KB51" s="33"/>
      <c r="KC51" s="33"/>
      <c r="KD51" s="33"/>
      <c r="KE51" s="33"/>
      <c r="KF51" s="33"/>
      <c r="KG51" s="33"/>
      <c r="KH51" s="33"/>
      <c r="KI51" s="33"/>
      <c r="KJ51" s="33"/>
      <c r="KK51" s="33"/>
      <c r="KL51" s="33"/>
      <c r="KM51" s="33"/>
      <c r="KN51" s="33"/>
      <c r="KO51" s="33"/>
      <c r="KP51" s="33"/>
      <c r="KQ51" s="33"/>
      <c r="KR51" s="33"/>
      <c r="KS51" s="33"/>
      <c r="KT51" s="33"/>
      <c r="KU51" s="33"/>
      <c r="KV51" s="33"/>
      <c r="KW51" s="33"/>
      <c r="KX51" s="33"/>
      <c r="KY51" s="33"/>
      <c r="KZ51" s="33"/>
      <c r="LA51" s="33"/>
      <c r="LB51" s="33"/>
      <c r="LC51" s="33"/>
      <c r="LD51" s="33"/>
      <c r="LE51" s="33"/>
      <c r="LF51" s="33"/>
      <c r="LG51" s="33"/>
      <c r="LH51" s="33"/>
      <c r="LI51" s="33"/>
      <c r="LJ51" s="33"/>
      <c r="LK51" s="33"/>
      <c r="LL51" s="33"/>
      <c r="LM51" s="33"/>
      <c r="LN51" s="33"/>
      <c r="LO51" s="33"/>
      <c r="LP51" s="33"/>
      <c r="LQ51" s="33"/>
      <c r="LR51" s="33"/>
      <c r="LS51" s="33"/>
      <c r="LT51" s="33"/>
      <c r="LU51" s="33"/>
      <c r="LV51" s="33"/>
      <c r="LW51" s="33"/>
      <c r="LX51" s="33"/>
      <c r="LY51" s="33"/>
      <c r="LZ51" s="33"/>
      <c r="MA51" s="33"/>
      <c r="MB51" s="33"/>
      <c r="MC51" s="33"/>
      <c r="MD51" s="33"/>
      <c r="ME51" s="33"/>
      <c r="MF51" s="33"/>
      <c r="MG51" s="33"/>
      <c r="MH51" s="33"/>
      <c r="MI51" s="33"/>
      <c r="MJ51" s="33"/>
      <c r="MK51" s="33"/>
      <c r="ML51" s="33"/>
      <c r="MM51" s="33"/>
      <c r="MN51" s="33"/>
      <c r="MO51" s="33"/>
      <c r="MP51" s="33"/>
      <c r="MQ51" s="33"/>
      <c r="MR51" s="33"/>
      <c r="MS51" s="33"/>
      <c r="MT51" s="33"/>
      <c r="MU51" s="33"/>
      <c r="MV51" s="33"/>
      <c r="MW51" s="33"/>
      <c r="MX51" s="33"/>
      <c r="MY51" s="33"/>
      <c r="MZ51" s="33"/>
      <c r="NA51" s="33"/>
      <c r="NB51" s="33"/>
      <c r="NC51" s="33"/>
      <c r="ND51" s="33"/>
      <c r="NE51" s="33"/>
      <c r="NF51" s="33"/>
      <c r="NG51" s="33"/>
      <c r="NH51" s="33"/>
      <c r="NI51" s="33"/>
      <c r="NJ51" s="33"/>
      <c r="NK51" s="33"/>
      <c r="NL51" s="34"/>
    </row>
    <row r="52" spans="1:376" x14ac:dyDescent="0.15">
      <c r="A52" s="35">
        <f>A51</f>
        <v>20</v>
      </c>
      <c r="B52" s="36" t="str">
        <f>B51</f>
        <v>SD</v>
      </c>
      <c r="C52" s="36" t="str">
        <f>C51</f>
        <v>監視端末構造設計書作成</v>
      </c>
      <c r="D52" s="37" t="str">
        <f>D51</f>
        <v>若山</v>
      </c>
      <c r="E52" s="53" t="s">
        <v>0</v>
      </c>
      <c r="F52" s="54"/>
      <c r="G52" s="54"/>
      <c r="H52" s="55">
        <f t="shared" si="229"/>
        <v>0</v>
      </c>
      <c r="I52" s="56">
        <f>IF(OR(H51="",H52=""),"",H52-H51)</f>
        <v>-20</v>
      </c>
      <c r="J52" s="57"/>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c r="BS52" s="59"/>
      <c r="BT52" s="59"/>
      <c r="BU52" s="59"/>
      <c r="BV52" s="59"/>
      <c r="BW52" s="59"/>
      <c r="BX52" s="59"/>
      <c r="BY52" s="59"/>
      <c r="BZ52" s="59"/>
      <c r="CA52" s="59"/>
      <c r="CB52" s="59"/>
      <c r="CC52" s="59"/>
      <c r="CD52" s="59"/>
      <c r="CE52" s="59"/>
      <c r="CF52" s="59"/>
      <c r="CG52" s="59"/>
      <c r="CH52" s="59"/>
      <c r="CI52" s="59"/>
      <c r="CJ52" s="59"/>
      <c r="CK52" s="59"/>
      <c r="CL52" s="59"/>
      <c r="CM52" s="59"/>
      <c r="CN52" s="59"/>
      <c r="CO52" s="59"/>
      <c r="CP52" s="59"/>
      <c r="CQ52" s="59"/>
      <c r="CR52" s="59"/>
      <c r="CS52" s="59"/>
      <c r="CT52" s="59"/>
      <c r="CU52" s="59"/>
      <c r="CV52" s="59"/>
      <c r="CW52" s="59"/>
      <c r="CX52" s="59"/>
      <c r="CY52" s="59"/>
      <c r="CZ52" s="59"/>
      <c r="DA52" s="59"/>
      <c r="DB52" s="59"/>
      <c r="DC52" s="59"/>
      <c r="DD52" s="59"/>
      <c r="DE52" s="59"/>
      <c r="DF52" s="59"/>
      <c r="DG52" s="59"/>
      <c r="DH52" s="59"/>
      <c r="DI52" s="59"/>
      <c r="DJ52" s="59"/>
      <c r="DK52" s="59"/>
      <c r="DL52" s="59"/>
      <c r="DM52" s="59"/>
      <c r="DN52" s="59"/>
      <c r="DO52" s="59"/>
      <c r="DP52" s="59"/>
      <c r="DQ52" s="59"/>
      <c r="DR52" s="59"/>
      <c r="DS52" s="59"/>
      <c r="DT52" s="59"/>
      <c r="DU52" s="59"/>
      <c r="DV52" s="59"/>
      <c r="DW52" s="59"/>
      <c r="DX52" s="59"/>
      <c r="DY52" s="59"/>
      <c r="DZ52" s="59"/>
      <c r="EA52" s="59"/>
      <c r="EB52" s="59"/>
      <c r="EC52" s="59"/>
      <c r="ED52" s="59"/>
      <c r="EE52" s="59"/>
      <c r="EF52" s="59"/>
      <c r="EG52" s="59"/>
      <c r="EH52" s="59"/>
      <c r="EI52" s="59"/>
      <c r="EJ52" s="59"/>
      <c r="EK52" s="59"/>
      <c r="EL52" s="59"/>
      <c r="EM52" s="59"/>
      <c r="EN52" s="59"/>
      <c r="EO52" s="59"/>
      <c r="EP52" s="59"/>
      <c r="EQ52" s="59"/>
      <c r="ER52" s="59"/>
      <c r="ES52" s="59"/>
      <c r="ET52" s="59"/>
      <c r="EU52" s="59"/>
      <c r="EV52" s="59"/>
      <c r="EW52" s="59"/>
      <c r="EX52" s="59"/>
      <c r="EY52" s="59"/>
      <c r="EZ52" s="59"/>
      <c r="FA52" s="59"/>
      <c r="FB52" s="59"/>
      <c r="FC52" s="59"/>
      <c r="FD52" s="59"/>
      <c r="FE52" s="59"/>
      <c r="FF52" s="59"/>
      <c r="FG52" s="59"/>
      <c r="FH52" s="59"/>
      <c r="FI52" s="59"/>
      <c r="FJ52" s="59"/>
      <c r="FK52" s="59"/>
      <c r="FL52" s="59"/>
      <c r="FM52" s="59"/>
      <c r="FN52" s="59"/>
      <c r="FO52" s="59"/>
      <c r="FP52" s="59"/>
      <c r="FQ52" s="59"/>
      <c r="FR52" s="59"/>
      <c r="FS52" s="59"/>
      <c r="FT52" s="59"/>
      <c r="FU52" s="59"/>
      <c r="FV52" s="59"/>
      <c r="FW52" s="59"/>
      <c r="FX52" s="59"/>
      <c r="FY52" s="59"/>
      <c r="FZ52" s="59"/>
      <c r="GA52" s="59"/>
      <c r="GB52" s="59"/>
      <c r="GC52" s="59"/>
      <c r="GD52" s="59"/>
      <c r="GE52" s="59"/>
      <c r="GF52" s="59"/>
      <c r="GG52" s="59"/>
      <c r="GH52" s="59"/>
      <c r="GI52" s="59"/>
      <c r="GJ52" s="59"/>
      <c r="GK52" s="59"/>
      <c r="GL52" s="59"/>
      <c r="GM52" s="59"/>
      <c r="GN52" s="59"/>
      <c r="GO52" s="59"/>
      <c r="GP52" s="59"/>
      <c r="GQ52" s="59"/>
      <c r="GR52" s="59"/>
      <c r="GS52" s="59"/>
      <c r="GT52" s="59"/>
      <c r="GU52" s="59"/>
      <c r="GV52" s="59"/>
      <c r="GW52" s="59"/>
      <c r="GX52" s="59"/>
      <c r="GY52" s="59"/>
      <c r="GZ52" s="59"/>
      <c r="HA52" s="59"/>
      <c r="HB52" s="59"/>
      <c r="HC52" s="59"/>
      <c r="HD52" s="59"/>
      <c r="HE52" s="59"/>
      <c r="HF52" s="59"/>
      <c r="HG52" s="59"/>
      <c r="HH52" s="59"/>
      <c r="HI52" s="59"/>
      <c r="HJ52" s="59"/>
      <c r="HK52" s="59"/>
      <c r="HL52" s="59"/>
      <c r="HM52" s="59"/>
      <c r="HN52" s="59"/>
      <c r="HO52" s="59"/>
      <c r="HP52" s="59"/>
      <c r="HQ52" s="59"/>
      <c r="HR52" s="59"/>
      <c r="HS52" s="59"/>
      <c r="HT52" s="59"/>
      <c r="HU52" s="59"/>
      <c r="HV52" s="59"/>
      <c r="HW52" s="59"/>
      <c r="HX52" s="59"/>
      <c r="HY52" s="59"/>
      <c r="HZ52" s="59"/>
      <c r="IA52" s="59"/>
      <c r="IB52" s="59"/>
      <c r="IC52" s="59"/>
      <c r="ID52" s="59"/>
      <c r="IE52" s="59"/>
      <c r="IF52" s="59"/>
      <c r="IG52" s="59"/>
      <c r="IH52" s="59"/>
      <c r="II52" s="59"/>
      <c r="IJ52" s="59"/>
      <c r="IK52" s="59"/>
      <c r="IL52" s="59"/>
      <c r="IM52" s="59"/>
      <c r="IN52" s="59"/>
      <c r="IO52" s="59"/>
      <c r="IP52" s="59"/>
      <c r="IQ52" s="59"/>
      <c r="IR52" s="59"/>
      <c r="IS52" s="59"/>
      <c r="IT52" s="59"/>
      <c r="IU52" s="59"/>
      <c r="IV52" s="59"/>
      <c r="IW52" s="59"/>
      <c r="IX52" s="59"/>
      <c r="IY52" s="59"/>
      <c r="IZ52" s="59"/>
      <c r="JA52" s="59"/>
      <c r="JB52" s="59"/>
      <c r="JC52" s="59"/>
      <c r="JD52" s="59"/>
      <c r="JE52" s="59"/>
      <c r="JF52" s="59"/>
      <c r="JG52" s="59"/>
      <c r="JH52" s="59"/>
      <c r="JI52" s="59"/>
      <c r="JJ52" s="59"/>
      <c r="JK52" s="59"/>
      <c r="JL52" s="59"/>
      <c r="JM52" s="59"/>
      <c r="JN52" s="59"/>
      <c r="JO52" s="59"/>
      <c r="JP52" s="59"/>
      <c r="JQ52" s="59"/>
      <c r="JR52" s="59"/>
      <c r="JS52" s="59"/>
      <c r="JT52" s="59"/>
      <c r="JU52" s="59"/>
      <c r="JV52" s="59"/>
      <c r="JW52" s="59"/>
      <c r="JX52" s="59"/>
      <c r="JY52" s="59"/>
      <c r="JZ52" s="59"/>
      <c r="KA52" s="59"/>
      <c r="KB52" s="59"/>
      <c r="KC52" s="59"/>
      <c r="KD52" s="59"/>
      <c r="KE52" s="59"/>
      <c r="KF52" s="59"/>
      <c r="KG52" s="59"/>
      <c r="KH52" s="59"/>
      <c r="KI52" s="59"/>
      <c r="KJ52" s="59"/>
      <c r="KK52" s="59"/>
      <c r="KL52" s="59"/>
      <c r="KM52" s="59"/>
      <c r="KN52" s="59"/>
      <c r="KO52" s="59"/>
      <c r="KP52" s="59"/>
      <c r="KQ52" s="59"/>
      <c r="KR52" s="59"/>
      <c r="KS52" s="59"/>
      <c r="KT52" s="59"/>
      <c r="KU52" s="59"/>
      <c r="KV52" s="59"/>
      <c r="KW52" s="59"/>
      <c r="KX52" s="59"/>
      <c r="KY52" s="59"/>
      <c r="KZ52" s="59"/>
      <c r="LA52" s="59"/>
      <c r="LB52" s="59"/>
      <c r="LC52" s="59"/>
      <c r="LD52" s="59"/>
      <c r="LE52" s="59"/>
      <c r="LF52" s="59"/>
      <c r="LG52" s="59"/>
      <c r="LH52" s="59"/>
      <c r="LI52" s="59"/>
      <c r="LJ52" s="59"/>
      <c r="LK52" s="59"/>
      <c r="LL52" s="59"/>
      <c r="LM52" s="59"/>
      <c r="LN52" s="59"/>
      <c r="LO52" s="59"/>
      <c r="LP52" s="59"/>
      <c r="LQ52" s="59"/>
      <c r="LR52" s="59"/>
      <c r="LS52" s="59"/>
      <c r="LT52" s="59"/>
      <c r="LU52" s="59"/>
      <c r="LV52" s="59"/>
      <c r="LW52" s="59"/>
      <c r="LX52" s="59"/>
      <c r="LY52" s="59"/>
      <c r="LZ52" s="59"/>
      <c r="MA52" s="59"/>
      <c r="MB52" s="59"/>
      <c r="MC52" s="59"/>
      <c r="MD52" s="59"/>
      <c r="ME52" s="59"/>
      <c r="MF52" s="59"/>
      <c r="MG52" s="59"/>
      <c r="MH52" s="59"/>
      <c r="MI52" s="59"/>
      <c r="MJ52" s="59"/>
      <c r="MK52" s="59"/>
      <c r="ML52" s="59"/>
      <c r="MM52" s="59"/>
      <c r="MN52" s="59"/>
      <c r="MO52" s="59"/>
      <c r="MP52" s="59"/>
      <c r="MQ52" s="59"/>
      <c r="MR52" s="59"/>
      <c r="MS52" s="59"/>
      <c r="MT52" s="59"/>
      <c r="MU52" s="59"/>
      <c r="MV52" s="59"/>
      <c r="MW52" s="59"/>
      <c r="MX52" s="59"/>
      <c r="MY52" s="59"/>
      <c r="MZ52" s="59"/>
      <c r="NA52" s="59"/>
      <c r="NB52" s="59"/>
      <c r="NC52" s="59"/>
      <c r="ND52" s="59"/>
      <c r="NE52" s="59"/>
      <c r="NF52" s="59"/>
      <c r="NG52" s="59"/>
      <c r="NH52" s="59"/>
      <c r="NI52" s="59"/>
      <c r="NJ52" s="59"/>
      <c r="NK52" s="59"/>
      <c r="NL52" s="60"/>
    </row>
    <row r="53" spans="1:376" x14ac:dyDescent="0.15">
      <c r="A53" s="23">
        <v>21</v>
      </c>
      <c r="B53" s="24" t="s">
        <v>131</v>
      </c>
      <c r="C53" s="45" t="s">
        <v>171</v>
      </c>
      <c r="D53" s="26" t="s">
        <v>164</v>
      </c>
      <c r="E53" s="27" t="s">
        <v>13</v>
      </c>
      <c r="F53" s="28">
        <v>42924</v>
      </c>
      <c r="G53" s="28">
        <v>42924</v>
      </c>
      <c r="H53" s="29">
        <f t="shared" si="229"/>
        <v>4</v>
      </c>
      <c r="I53" s="30"/>
      <c r="J53" s="31"/>
      <c r="K53" s="32"/>
      <c r="L53" s="32"/>
      <c r="M53" s="32"/>
      <c r="N53" s="32"/>
      <c r="O53" s="32"/>
      <c r="P53" s="32"/>
      <c r="Q53" s="32"/>
      <c r="R53" s="32"/>
      <c r="S53" s="32"/>
      <c r="T53" s="32"/>
      <c r="U53" s="32"/>
      <c r="V53" s="32"/>
      <c r="W53" s="32"/>
      <c r="X53" s="32"/>
      <c r="Y53" s="32"/>
      <c r="Z53" s="32"/>
      <c r="AA53" s="32"/>
      <c r="AB53" s="32"/>
      <c r="AC53" s="32"/>
      <c r="AD53" s="32"/>
      <c r="AE53" s="32"/>
      <c r="AF53" s="32"/>
      <c r="AG53" s="32"/>
      <c r="AH53" s="32"/>
      <c r="AI53" s="32"/>
      <c r="AJ53" s="32"/>
      <c r="AK53" s="32"/>
      <c r="AL53" s="32"/>
      <c r="AM53" s="32"/>
      <c r="AN53" s="32"/>
      <c r="AO53" s="32"/>
      <c r="AP53" s="33"/>
      <c r="AQ53" s="33"/>
      <c r="AR53" s="33"/>
      <c r="AS53" s="33"/>
      <c r="AT53" s="33"/>
      <c r="AU53" s="33"/>
      <c r="AV53" s="33"/>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33"/>
      <c r="CG53" s="33"/>
      <c r="CH53" s="33"/>
      <c r="CI53" s="33"/>
      <c r="CJ53" s="33"/>
      <c r="CK53" s="33"/>
      <c r="CL53" s="33"/>
      <c r="CM53" s="33"/>
      <c r="CN53" s="33"/>
      <c r="CO53" s="33"/>
      <c r="CP53" s="33"/>
      <c r="CQ53" s="33"/>
      <c r="CR53" s="33"/>
      <c r="CS53" s="33"/>
      <c r="CT53" s="33"/>
      <c r="CU53" s="33"/>
      <c r="CV53" s="33"/>
      <c r="CW53" s="33"/>
      <c r="CX53" s="33"/>
      <c r="CY53" s="33"/>
      <c r="CZ53" s="33"/>
      <c r="DA53" s="33"/>
      <c r="DB53" s="33">
        <v>4</v>
      </c>
      <c r="DC53" s="33"/>
      <c r="DD53" s="33"/>
      <c r="DE53" s="33"/>
      <c r="DF53" s="33"/>
      <c r="DG53" s="33"/>
      <c r="DH53" s="33"/>
      <c r="DI53" s="33"/>
      <c r="DJ53" s="33"/>
      <c r="DK53" s="33"/>
      <c r="DL53" s="33"/>
      <c r="DM53" s="33"/>
      <c r="DN53" s="33"/>
      <c r="DO53" s="33"/>
      <c r="DP53" s="33"/>
      <c r="DQ53" s="33"/>
      <c r="DR53" s="33"/>
      <c r="DS53" s="33"/>
      <c r="DT53" s="33"/>
      <c r="DU53" s="33"/>
      <c r="DV53" s="33"/>
      <c r="DW53" s="33"/>
      <c r="DX53" s="33"/>
      <c r="DY53" s="33"/>
      <c r="DZ53" s="33"/>
      <c r="EA53" s="33"/>
      <c r="EB53" s="33"/>
      <c r="EC53" s="33"/>
      <c r="ED53" s="33"/>
      <c r="EE53" s="33"/>
      <c r="EF53" s="33"/>
      <c r="EG53" s="33"/>
      <c r="EH53" s="33"/>
      <c r="EI53" s="33"/>
      <c r="EJ53" s="33"/>
      <c r="EK53" s="33"/>
      <c r="EL53" s="33"/>
      <c r="EM53" s="33"/>
      <c r="EN53" s="33"/>
      <c r="EO53" s="33"/>
      <c r="EP53" s="33"/>
      <c r="EQ53" s="33"/>
      <c r="ER53" s="33"/>
      <c r="ES53" s="33"/>
      <c r="ET53" s="33"/>
      <c r="EU53" s="33"/>
      <c r="EV53" s="33"/>
      <c r="EW53" s="33"/>
      <c r="EX53" s="33"/>
      <c r="EY53" s="33"/>
      <c r="EZ53" s="33"/>
      <c r="FA53" s="33"/>
      <c r="FB53" s="33"/>
      <c r="FC53" s="33"/>
      <c r="FD53" s="33"/>
      <c r="FE53" s="33"/>
      <c r="FF53" s="33"/>
      <c r="FG53" s="33"/>
      <c r="FH53" s="33"/>
      <c r="FI53" s="33"/>
      <c r="FJ53" s="33"/>
      <c r="FK53" s="33"/>
      <c r="FL53" s="33"/>
      <c r="FM53" s="33"/>
      <c r="FN53" s="33"/>
      <c r="FO53" s="33"/>
      <c r="FP53" s="33"/>
      <c r="FQ53" s="33"/>
      <c r="FR53" s="33"/>
      <c r="FS53" s="33"/>
      <c r="FT53" s="33"/>
      <c r="FU53" s="33"/>
      <c r="FV53" s="33"/>
      <c r="FW53" s="33"/>
      <c r="FX53" s="33"/>
      <c r="FY53" s="33"/>
      <c r="FZ53" s="33"/>
      <c r="GA53" s="33"/>
      <c r="GB53" s="33"/>
      <c r="GC53" s="33"/>
      <c r="GD53" s="33"/>
      <c r="GE53" s="33"/>
      <c r="GF53" s="33"/>
      <c r="GG53" s="33"/>
      <c r="GH53" s="33"/>
      <c r="GI53" s="33"/>
      <c r="GJ53" s="33"/>
      <c r="GK53" s="33"/>
      <c r="GL53" s="33"/>
      <c r="GM53" s="33"/>
      <c r="GN53" s="33"/>
      <c r="GO53" s="33"/>
      <c r="GP53" s="33"/>
      <c r="GQ53" s="33"/>
      <c r="GR53" s="33"/>
      <c r="GS53" s="33"/>
      <c r="GT53" s="33"/>
      <c r="GU53" s="33"/>
      <c r="GV53" s="33"/>
      <c r="GW53" s="33"/>
      <c r="GX53" s="33"/>
      <c r="GY53" s="33"/>
      <c r="GZ53" s="33"/>
      <c r="HA53" s="33"/>
      <c r="HB53" s="33"/>
      <c r="HC53" s="33"/>
      <c r="HD53" s="33"/>
      <c r="HE53" s="33"/>
      <c r="HF53" s="33"/>
      <c r="HG53" s="33"/>
      <c r="HH53" s="33"/>
      <c r="HI53" s="33"/>
      <c r="HJ53" s="33"/>
      <c r="HK53" s="33"/>
      <c r="HL53" s="33"/>
      <c r="HM53" s="33"/>
      <c r="HN53" s="33"/>
      <c r="HO53" s="33"/>
      <c r="HP53" s="33"/>
      <c r="HQ53" s="33"/>
      <c r="HR53" s="33"/>
      <c r="HS53" s="33"/>
      <c r="HT53" s="33"/>
      <c r="HU53" s="33"/>
      <c r="HV53" s="33"/>
      <c r="HW53" s="33"/>
      <c r="HX53" s="33"/>
      <c r="HY53" s="33"/>
      <c r="HZ53" s="33"/>
      <c r="IA53" s="33"/>
      <c r="IB53" s="33"/>
      <c r="IC53" s="33"/>
      <c r="ID53" s="33"/>
      <c r="IE53" s="33"/>
      <c r="IF53" s="33"/>
      <c r="IG53" s="33"/>
      <c r="IH53" s="33"/>
      <c r="II53" s="33"/>
      <c r="IJ53" s="33"/>
      <c r="IK53" s="33"/>
      <c r="IL53" s="33"/>
      <c r="IM53" s="33"/>
      <c r="IN53" s="33"/>
      <c r="IO53" s="33"/>
      <c r="IP53" s="33"/>
      <c r="IQ53" s="33"/>
      <c r="IR53" s="33"/>
      <c r="IS53" s="33"/>
      <c r="IT53" s="33"/>
      <c r="IU53" s="33"/>
      <c r="IV53" s="33"/>
      <c r="IW53" s="33"/>
      <c r="IX53" s="33"/>
      <c r="IY53" s="33"/>
      <c r="IZ53" s="33"/>
      <c r="JA53" s="33"/>
      <c r="JB53" s="33"/>
      <c r="JC53" s="33"/>
      <c r="JD53" s="33"/>
      <c r="JE53" s="33"/>
      <c r="JF53" s="33"/>
      <c r="JG53" s="33"/>
      <c r="JH53" s="33"/>
      <c r="JI53" s="33"/>
      <c r="JJ53" s="33"/>
      <c r="JK53" s="33"/>
      <c r="JL53" s="33"/>
      <c r="JM53" s="33"/>
      <c r="JN53" s="33"/>
      <c r="JO53" s="33"/>
      <c r="JP53" s="33"/>
      <c r="JQ53" s="33"/>
      <c r="JR53" s="33"/>
      <c r="JS53" s="33"/>
      <c r="JT53" s="33"/>
      <c r="JU53" s="33"/>
      <c r="JV53" s="33"/>
      <c r="JW53" s="33"/>
      <c r="JX53" s="33"/>
      <c r="JY53" s="33"/>
      <c r="JZ53" s="33"/>
      <c r="KA53" s="33"/>
      <c r="KB53" s="33"/>
      <c r="KC53" s="33"/>
      <c r="KD53" s="33"/>
      <c r="KE53" s="33"/>
      <c r="KF53" s="33"/>
      <c r="KG53" s="33"/>
      <c r="KH53" s="33"/>
      <c r="KI53" s="33"/>
      <c r="KJ53" s="33"/>
      <c r="KK53" s="33"/>
      <c r="KL53" s="33"/>
      <c r="KM53" s="33"/>
      <c r="KN53" s="33"/>
      <c r="KO53" s="33"/>
      <c r="KP53" s="33"/>
      <c r="KQ53" s="33"/>
      <c r="KR53" s="33"/>
      <c r="KS53" s="33"/>
      <c r="KT53" s="33"/>
      <c r="KU53" s="33"/>
      <c r="KV53" s="33"/>
      <c r="KW53" s="33"/>
      <c r="KX53" s="33"/>
      <c r="KY53" s="33"/>
      <c r="KZ53" s="33"/>
      <c r="LA53" s="33"/>
      <c r="LB53" s="33"/>
      <c r="LC53" s="33"/>
      <c r="LD53" s="33"/>
      <c r="LE53" s="33"/>
      <c r="LF53" s="33"/>
      <c r="LG53" s="33"/>
      <c r="LH53" s="33"/>
      <c r="LI53" s="33"/>
      <c r="LJ53" s="33"/>
      <c r="LK53" s="33"/>
      <c r="LL53" s="33"/>
      <c r="LM53" s="33"/>
      <c r="LN53" s="33"/>
      <c r="LO53" s="33"/>
      <c r="LP53" s="33"/>
      <c r="LQ53" s="33"/>
      <c r="LR53" s="33"/>
      <c r="LS53" s="33"/>
      <c r="LT53" s="33"/>
      <c r="LU53" s="33"/>
      <c r="LV53" s="33"/>
      <c r="LW53" s="33"/>
      <c r="LX53" s="33"/>
      <c r="LY53" s="33"/>
      <c r="LZ53" s="33"/>
      <c r="MA53" s="33"/>
      <c r="MB53" s="33"/>
      <c r="MC53" s="33"/>
      <c r="MD53" s="33"/>
      <c r="ME53" s="33"/>
      <c r="MF53" s="33"/>
      <c r="MG53" s="33"/>
      <c r="MH53" s="33"/>
      <c r="MI53" s="33"/>
      <c r="MJ53" s="33"/>
      <c r="MK53" s="33"/>
      <c r="ML53" s="33"/>
      <c r="MM53" s="33"/>
      <c r="MN53" s="33"/>
      <c r="MO53" s="33"/>
      <c r="MP53" s="33"/>
      <c r="MQ53" s="33"/>
      <c r="MR53" s="33"/>
      <c r="MS53" s="33"/>
      <c r="MT53" s="33"/>
      <c r="MU53" s="33"/>
      <c r="MV53" s="33"/>
      <c r="MW53" s="33"/>
      <c r="MX53" s="33"/>
      <c r="MY53" s="33"/>
      <c r="MZ53" s="33"/>
      <c r="NA53" s="33"/>
      <c r="NB53" s="33"/>
      <c r="NC53" s="33"/>
      <c r="ND53" s="33"/>
      <c r="NE53" s="33"/>
      <c r="NF53" s="33"/>
      <c r="NG53" s="33"/>
      <c r="NH53" s="33"/>
      <c r="NI53" s="33"/>
      <c r="NJ53" s="33"/>
      <c r="NK53" s="33"/>
      <c r="NL53" s="34"/>
    </row>
    <row r="54" spans="1:376" x14ac:dyDescent="0.15">
      <c r="A54" s="35">
        <f>A53</f>
        <v>21</v>
      </c>
      <c r="B54" s="36" t="str">
        <f>B53</f>
        <v>SD</v>
      </c>
      <c r="C54" s="36" t="str">
        <f>C53</f>
        <v>監視端末構造設計書レビュー</v>
      </c>
      <c r="D54" s="37" t="str">
        <f>D53</f>
        <v>伊藤</v>
      </c>
      <c r="E54" s="53" t="s">
        <v>0</v>
      </c>
      <c r="F54" s="39"/>
      <c r="G54" s="39"/>
      <c r="H54" s="55">
        <f t="shared" si="229"/>
        <v>0</v>
      </c>
      <c r="I54" s="56">
        <f>IF(OR(H53="",H54=""),"",H54-H53)</f>
        <v>-4</v>
      </c>
      <c r="J54" s="57"/>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c r="BS54" s="59"/>
      <c r="BT54" s="59"/>
      <c r="BU54" s="59"/>
      <c r="BV54" s="59"/>
      <c r="BW54" s="59"/>
      <c r="BX54" s="59"/>
      <c r="BY54" s="59"/>
      <c r="BZ54" s="59"/>
      <c r="CA54" s="59"/>
      <c r="CB54" s="59"/>
      <c r="CC54" s="59"/>
      <c r="CD54" s="59"/>
      <c r="CE54" s="59"/>
      <c r="CF54" s="59"/>
      <c r="CG54" s="59"/>
      <c r="CH54" s="59"/>
      <c r="CI54" s="59"/>
      <c r="CJ54" s="59"/>
      <c r="CK54" s="59"/>
      <c r="CL54" s="59"/>
      <c r="CM54" s="59"/>
      <c r="CN54" s="59"/>
      <c r="CO54" s="59"/>
      <c r="CP54" s="59"/>
      <c r="CQ54" s="59"/>
      <c r="CR54" s="59"/>
      <c r="CS54" s="59"/>
      <c r="CT54" s="59"/>
      <c r="CU54" s="59"/>
      <c r="CV54" s="59"/>
      <c r="CW54" s="59"/>
      <c r="CX54" s="59"/>
      <c r="CY54" s="59"/>
      <c r="CZ54" s="59"/>
      <c r="DA54" s="59"/>
      <c r="DB54" s="59"/>
      <c r="DC54" s="59"/>
      <c r="DD54" s="59"/>
      <c r="DE54" s="59"/>
      <c r="DF54" s="59"/>
      <c r="DG54" s="59"/>
      <c r="DH54" s="59"/>
      <c r="DI54" s="59"/>
      <c r="DJ54" s="59"/>
      <c r="DK54" s="59"/>
      <c r="DL54" s="59"/>
      <c r="DM54" s="59"/>
      <c r="DN54" s="59"/>
      <c r="DO54" s="59"/>
      <c r="DP54" s="59"/>
      <c r="DQ54" s="59"/>
      <c r="DR54" s="59"/>
      <c r="DS54" s="59"/>
      <c r="DT54" s="59"/>
      <c r="DU54" s="59"/>
      <c r="DV54" s="59"/>
      <c r="DW54" s="59"/>
      <c r="DX54" s="59"/>
      <c r="DY54" s="59"/>
      <c r="DZ54" s="59"/>
      <c r="EA54" s="59"/>
      <c r="EB54" s="59"/>
      <c r="EC54" s="59"/>
      <c r="ED54" s="59"/>
      <c r="EE54" s="59"/>
      <c r="EF54" s="59"/>
      <c r="EG54" s="59"/>
      <c r="EH54" s="59"/>
      <c r="EI54" s="59"/>
      <c r="EJ54" s="59"/>
      <c r="EK54" s="59"/>
      <c r="EL54" s="59"/>
      <c r="EM54" s="59"/>
      <c r="EN54" s="59"/>
      <c r="EO54" s="59"/>
      <c r="EP54" s="59"/>
      <c r="EQ54" s="59"/>
      <c r="ER54" s="59"/>
      <c r="ES54" s="59"/>
      <c r="ET54" s="59"/>
      <c r="EU54" s="59"/>
      <c r="EV54" s="59"/>
      <c r="EW54" s="59"/>
      <c r="EX54" s="59"/>
      <c r="EY54" s="59"/>
      <c r="EZ54" s="59"/>
      <c r="FA54" s="59"/>
      <c r="FB54" s="59"/>
      <c r="FC54" s="59"/>
      <c r="FD54" s="59"/>
      <c r="FE54" s="59"/>
      <c r="FF54" s="59"/>
      <c r="FG54" s="59"/>
      <c r="FH54" s="59"/>
      <c r="FI54" s="59"/>
      <c r="FJ54" s="59"/>
      <c r="FK54" s="59"/>
      <c r="FL54" s="59"/>
      <c r="FM54" s="59"/>
      <c r="FN54" s="59"/>
      <c r="FO54" s="59"/>
      <c r="FP54" s="59"/>
      <c r="FQ54" s="59"/>
      <c r="FR54" s="59"/>
      <c r="FS54" s="59"/>
      <c r="FT54" s="59"/>
      <c r="FU54" s="59"/>
      <c r="FV54" s="59"/>
      <c r="FW54" s="59"/>
      <c r="FX54" s="59"/>
      <c r="FY54" s="59"/>
      <c r="FZ54" s="59"/>
      <c r="GA54" s="59"/>
      <c r="GB54" s="59"/>
      <c r="GC54" s="59"/>
      <c r="GD54" s="59"/>
      <c r="GE54" s="59"/>
      <c r="GF54" s="59"/>
      <c r="GG54" s="59"/>
      <c r="GH54" s="59"/>
      <c r="GI54" s="59"/>
      <c r="GJ54" s="59"/>
      <c r="GK54" s="59"/>
      <c r="GL54" s="59"/>
      <c r="GM54" s="59"/>
      <c r="GN54" s="59"/>
      <c r="GO54" s="59"/>
      <c r="GP54" s="59"/>
      <c r="GQ54" s="59"/>
      <c r="GR54" s="59"/>
      <c r="GS54" s="59"/>
      <c r="GT54" s="59"/>
      <c r="GU54" s="59"/>
      <c r="GV54" s="59"/>
      <c r="GW54" s="59"/>
      <c r="GX54" s="59"/>
      <c r="GY54" s="59"/>
      <c r="GZ54" s="59"/>
      <c r="HA54" s="59"/>
      <c r="HB54" s="59"/>
      <c r="HC54" s="59"/>
      <c r="HD54" s="59"/>
      <c r="HE54" s="59"/>
      <c r="HF54" s="59"/>
      <c r="HG54" s="59"/>
      <c r="HH54" s="59"/>
      <c r="HI54" s="59"/>
      <c r="HJ54" s="59"/>
      <c r="HK54" s="59"/>
      <c r="HL54" s="59"/>
      <c r="HM54" s="59"/>
      <c r="HN54" s="59"/>
      <c r="HO54" s="59"/>
      <c r="HP54" s="59"/>
      <c r="HQ54" s="59"/>
      <c r="HR54" s="59"/>
      <c r="HS54" s="59"/>
      <c r="HT54" s="59"/>
      <c r="HU54" s="59"/>
      <c r="HV54" s="59"/>
      <c r="HW54" s="59"/>
      <c r="HX54" s="59"/>
      <c r="HY54" s="59"/>
      <c r="HZ54" s="59"/>
      <c r="IA54" s="59"/>
      <c r="IB54" s="59"/>
      <c r="IC54" s="59"/>
      <c r="ID54" s="59"/>
      <c r="IE54" s="59"/>
      <c r="IF54" s="59"/>
      <c r="IG54" s="59"/>
      <c r="IH54" s="59"/>
      <c r="II54" s="59"/>
      <c r="IJ54" s="59"/>
      <c r="IK54" s="59"/>
      <c r="IL54" s="59"/>
      <c r="IM54" s="59"/>
      <c r="IN54" s="59"/>
      <c r="IO54" s="59"/>
      <c r="IP54" s="59"/>
      <c r="IQ54" s="59"/>
      <c r="IR54" s="59"/>
      <c r="IS54" s="59"/>
      <c r="IT54" s="59"/>
      <c r="IU54" s="59"/>
      <c r="IV54" s="59"/>
      <c r="IW54" s="59"/>
      <c r="IX54" s="59"/>
      <c r="IY54" s="59"/>
      <c r="IZ54" s="59"/>
      <c r="JA54" s="59"/>
      <c r="JB54" s="59"/>
      <c r="JC54" s="59"/>
      <c r="JD54" s="59"/>
      <c r="JE54" s="59"/>
      <c r="JF54" s="59"/>
      <c r="JG54" s="59"/>
      <c r="JH54" s="59"/>
      <c r="JI54" s="59"/>
      <c r="JJ54" s="59"/>
      <c r="JK54" s="59"/>
      <c r="JL54" s="59"/>
      <c r="JM54" s="59"/>
      <c r="JN54" s="59"/>
      <c r="JO54" s="59"/>
      <c r="JP54" s="59"/>
      <c r="JQ54" s="59"/>
      <c r="JR54" s="59"/>
      <c r="JS54" s="59"/>
      <c r="JT54" s="59"/>
      <c r="JU54" s="59"/>
      <c r="JV54" s="59"/>
      <c r="JW54" s="59"/>
      <c r="JX54" s="59"/>
      <c r="JY54" s="59"/>
      <c r="JZ54" s="59"/>
      <c r="KA54" s="59"/>
      <c r="KB54" s="59"/>
      <c r="KC54" s="59"/>
      <c r="KD54" s="59"/>
      <c r="KE54" s="59"/>
      <c r="KF54" s="59"/>
      <c r="KG54" s="59"/>
      <c r="KH54" s="59"/>
      <c r="KI54" s="59"/>
      <c r="KJ54" s="59"/>
      <c r="KK54" s="59"/>
      <c r="KL54" s="59"/>
      <c r="KM54" s="59"/>
      <c r="KN54" s="59"/>
      <c r="KO54" s="59"/>
      <c r="KP54" s="59"/>
      <c r="KQ54" s="59"/>
      <c r="KR54" s="59"/>
      <c r="KS54" s="59"/>
      <c r="KT54" s="59"/>
      <c r="KU54" s="59"/>
      <c r="KV54" s="59"/>
      <c r="KW54" s="59"/>
      <c r="KX54" s="59"/>
      <c r="KY54" s="59"/>
      <c r="KZ54" s="59"/>
      <c r="LA54" s="59"/>
      <c r="LB54" s="59"/>
      <c r="LC54" s="59"/>
      <c r="LD54" s="59"/>
      <c r="LE54" s="59"/>
      <c r="LF54" s="59"/>
      <c r="LG54" s="59"/>
      <c r="LH54" s="59"/>
      <c r="LI54" s="59"/>
      <c r="LJ54" s="59"/>
      <c r="LK54" s="59"/>
      <c r="LL54" s="59"/>
      <c r="LM54" s="59"/>
      <c r="LN54" s="59"/>
      <c r="LO54" s="59"/>
      <c r="LP54" s="59"/>
      <c r="LQ54" s="59"/>
      <c r="LR54" s="59"/>
      <c r="LS54" s="59"/>
      <c r="LT54" s="59"/>
      <c r="LU54" s="59"/>
      <c r="LV54" s="59"/>
      <c r="LW54" s="59"/>
      <c r="LX54" s="59"/>
      <c r="LY54" s="59"/>
      <c r="LZ54" s="59"/>
      <c r="MA54" s="59"/>
      <c r="MB54" s="59"/>
      <c r="MC54" s="59"/>
      <c r="MD54" s="59"/>
      <c r="ME54" s="59"/>
      <c r="MF54" s="59"/>
      <c r="MG54" s="59"/>
      <c r="MH54" s="59"/>
      <c r="MI54" s="59"/>
      <c r="MJ54" s="59"/>
      <c r="MK54" s="59"/>
      <c r="ML54" s="59"/>
      <c r="MM54" s="59"/>
      <c r="MN54" s="59"/>
      <c r="MO54" s="59"/>
      <c r="MP54" s="59"/>
      <c r="MQ54" s="59"/>
      <c r="MR54" s="59"/>
      <c r="MS54" s="59"/>
      <c r="MT54" s="59"/>
      <c r="MU54" s="59"/>
      <c r="MV54" s="59"/>
      <c r="MW54" s="59"/>
      <c r="MX54" s="59"/>
      <c r="MY54" s="59"/>
      <c r="MZ54" s="59"/>
      <c r="NA54" s="59"/>
      <c r="NB54" s="59"/>
      <c r="NC54" s="59"/>
      <c r="ND54" s="59"/>
      <c r="NE54" s="59"/>
      <c r="NF54" s="59"/>
      <c r="NG54" s="59"/>
      <c r="NH54" s="59"/>
      <c r="NI54" s="59"/>
      <c r="NJ54" s="59"/>
      <c r="NK54" s="59"/>
      <c r="NL54" s="60"/>
    </row>
    <row r="55" spans="1:376" x14ac:dyDescent="0.15">
      <c r="A55" s="23">
        <v>22</v>
      </c>
      <c r="B55" s="24" t="s">
        <v>131</v>
      </c>
      <c r="C55" s="45" t="s">
        <v>172</v>
      </c>
      <c r="D55" s="26" t="s">
        <v>115</v>
      </c>
      <c r="E55" s="27" t="s">
        <v>13</v>
      </c>
      <c r="F55" s="47">
        <v>42925</v>
      </c>
      <c r="G55" s="47">
        <v>42932</v>
      </c>
      <c r="H55" s="29">
        <f t="shared" si="229"/>
        <v>6</v>
      </c>
      <c r="I55" s="30"/>
      <c r="J55" s="31"/>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3"/>
      <c r="AQ55" s="33"/>
      <c r="AR55" s="33"/>
      <c r="AS55" s="33"/>
      <c r="AT55" s="33"/>
      <c r="AU55" s="33"/>
      <c r="AV55" s="33"/>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33"/>
      <c r="CG55" s="33"/>
      <c r="CH55" s="33"/>
      <c r="CI55" s="33"/>
      <c r="CJ55" s="33"/>
      <c r="CK55" s="33"/>
      <c r="CL55" s="33"/>
      <c r="CM55" s="33"/>
      <c r="CN55" s="33"/>
      <c r="CO55" s="33"/>
      <c r="CP55" s="33"/>
      <c r="CQ55" s="33"/>
      <c r="CR55" s="33"/>
      <c r="CS55" s="33"/>
      <c r="CT55" s="33"/>
      <c r="CU55" s="33"/>
      <c r="CV55" s="33"/>
      <c r="CW55" s="33"/>
      <c r="CX55" s="33"/>
      <c r="CY55" s="33"/>
      <c r="CZ55" s="33"/>
      <c r="DA55" s="33"/>
      <c r="DB55" s="33"/>
      <c r="DC55" s="33">
        <v>2</v>
      </c>
      <c r="DD55" s="33"/>
      <c r="DE55" s="33"/>
      <c r="DF55" s="33"/>
      <c r="DG55" s="33"/>
      <c r="DH55" s="33"/>
      <c r="DI55" s="33">
        <v>4</v>
      </c>
      <c r="DJ55" s="33"/>
      <c r="DK55" s="33"/>
      <c r="DL55" s="33"/>
      <c r="DM55" s="33"/>
      <c r="DN55" s="33"/>
      <c r="DO55" s="33"/>
      <c r="DP55" s="33"/>
      <c r="DQ55" s="33"/>
      <c r="DR55" s="33"/>
      <c r="DS55" s="33"/>
      <c r="DT55" s="33"/>
      <c r="DU55" s="33"/>
      <c r="DV55" s="33"/>
      <c r="DW55" s="33"/>
      <c r="DX55" s="33"/>
      <c r="DY55" s="33"/>
      <c r="DZ55" s="33"/>
      <c r="EA55" s="33"/>
      <c r="EB55" s="33"/>
      <c r="EC55" s="33"/>
      <c r="ED55" s="33"/>
      <c r="EE55" s="33"/>
      <c r="EF55" s="33"/>
      <c r="EG55" s="33"/>
      <c r="EH55" s="33"/>
      <c r="EI55" s="33"/>
      <c r="EJ55" s="33"/>
      <c r="EK55" s="33"/>
      <c r="EL55" s="33"/>
      <c r="EM55" s="33"/>
      <c r="EN55" s="33"/>
      <c r="EO55" s="33"/>
      <c r="EP55" s="33"/>
      <c r="EQ55" s="33"/>
      <c r="ER55" s="33"/>
      <c r="ES55" s="33"/>
      <c r="ET55" s="33"/>
      <c r="EU55" s="33"/>
      <c r="EV55" s="33"/>
      <c r="EW55" s="33"/>
      <c r="EX55" s="33"/>
      <c r="EY55" s="33"/>
      <c r="EZ55" s="33"/>
      <c r="FA55" s="33"/>
      <c r="FB55" s="33"/>
      <c r="FC55" s="33"/>
      <c r="FD55" s="33"/>
      <c r="FE55" s="33"/>
      <c r="FF55" s="33"/>
      <c r="FG55" s="33"/>
      <c r="FH55" s="33"/>
      <c r="FI55" s="33"/>
      <c r="FJ55" s="33"/>
      <c r="FK55" s="33"/>
      <c r="FL55" s="33"/>
      <c r="FM55" s="33"/>
      <c r="FN55" s="33"/>
      <c r="FO55" s="33"/>
      <c r="FP55" s="33"/>
      <c r="FQ55" s="33"/>
      <c r="FR55" s="33"/>
      <c r="FS55" s="33"/>
      <c r="FT55" s="33"/>
      <c r="FU55" s="33"/>
      <c r="FV55" s="33"/>
      <c r="FW55" s="33"/>
      <c r="FX55" s="33"/>
      <c r="FY55" s="33"/>
      <c r="FZ55" s="33"/>
      <c r="GA55" s="33"/>
      <c r="GB55" s="33"/>
      <c r="GC55" s="33"/>
      <c r="GD55" s="33"/>
      <c r="GE55" s="33"/>
      <c r="GF55" s="33"/>
      <c r="GG55" s="33"/>
      <c r="GH55" s="33"/>
      <c r="GI55" s="33"/>
      <c r="GJ55" s="33"/>
      <c r="GK55" s="33"/>
      <c r="GL55" s="33"/>
      <c r="GM55" s="33"/>
      <c r="GN55" s="33"/>
      <c r="GO55" s="33"/>
      <c r="GP55" s="33"/>
      <c r="GQ55" s="33"/>
      <c r="GR55" s="33"/>
      <c r="GS55" s="33"/>
      <c r="GT55" s="33"/>
      <c r="GU55" s="33"/>
      <c r="GV55" s="33"/>
      <c r="GW55" s="33"/>
      <c r="GX55" s="33"/>
      <c r="GY55" s="33"/>
      <c r="GZ55" s="33"/>
      <c r="HA55" s="33"/>
      <c r="HB55" s="33"/>
      <c r="HC55" s="33"/>
      <c r="HD55" s="33"/>
      <c r="HE55" s="33"/>
      <c r="HF55" s="33"/>
      <c r="HG55" s="33"/>
      <c r="HH55" s="33"/>
      <c r="HI55" s="33"/>
      <c r="HJ55" s="33"/>
      <c r="HK55" s="33"/>
      <c r="HL55" s="33"/>
      <c r="HM55" s="33"/>
      <c r="HN55" s="33"/>
      <c r="HO55" s="33"/>
      <c r="HP55" s="33"/>
      <c r="HQ55" s="33"/>
      <c r="HR55" s="33"/>
      <c r="HS55" s="33"/>
      <c r="HT55" s="33"/>
      <c r="HU55" s="33"/>
      <c r="HV55" s="33"/>
      <c r="HW55" s="33"/>
      <c r="HX55" s="33"/>
      <c r="HY55" s="33"/>
      <c r="HZ55" s="33"/>
      <c r="IA55" s="33"/>
      <c r="IB55" s="33"/>
      <c r="IC55" s="33"/>
      <c r="ID55" s="33"/>
      <c r="IE55" s="33"/>
      <c r="IF55" s="33"/>
      <c r="IG55" s="33"/>
      <c r="IH55" s="33"/>
      <c r="II55" s="33"/>
      <c r="IJ55" s="33"/>
      <c r="IK55" s="33"/>
      <c r="IL55" s="33"/>
      <c r="IM55" s="33"/>
      <c r="IN55" s="33"/>
      <c r="IO55" s="33"/>
      <c r="IP55" s="33"/>
      <c r="IQ55" s="33"/>
      <c r="IR55" s="33"/>
      <c r="IS55" s="33"/>
      <c r="IT55" s="33"/>
      <c r="IU55" s="33"/>
      <c r="IV55" s="33"/>
      <c r="IW55" s="33"/>
      <c r="IX55" s="33"/>
      <c r="IY55" s="33"/>
      <c r="IZ55" s="33"/>
      <c r="JA55" s="33"/>
      <c r="JB55" s="33"/>
      <c r="JC55" s="33"/>
      <c r="JD55" s="33"/>
      <c r="JE55" s="33"/>
      <c r="JF55" s="33"/>
      <c r="JG55" s="33"/>
      <c r="JH55" s="33"/>
      <c r="JI55" s="33"/>
      <c r="JJ55" s="33"/>
      <c r="JK55" s="33"/>
      <c r="JL55" s="33"/>
      <c r="JM55" s="33"/>
      <c r="JN55" s="33"/>
      <c r="JO55" s="33"/>
      <c r="JP55" s="33"/>
      <c r="JQ55" s="33"/>
      <c r="JR55" s="33"/>
      <c r="JS55" s="33"/>
      <c r="JT55" s="33"/>
      <c r="JU55" s="33"/>
      <c r="JV55" s="33"/>
      <c r="JW55" s="33"/>
      <c r="JX55" s="33"/>
      <c r="JY55" s="33"/>
      <c r="JZ55" s="33"/>
      <c r="KA55" s="33"/>
      <c r="KB55" s="33"/>
      <c r="KC55" s="33"/>
      <c r="KD55" s="33"/>
      <c r="KE55" s="33"/>
      <c r="KF55" s="33"/>
      <c r="KG55" s="33"/>
      <c r="KH55" s="33"/>
      <c r="KI55" s="33"/>
      <c r="KJ55" s="33"/>
      <c r="KK55" s="33"/>
      <c r="KL55" s="33"/>
      <c r="KM55" s="33"/>
      <c r="KN55" s="33"/>
      <c r="KO55" s="33"/>
      <c r="KP55" s="33"/>
      <c r="KQ55" s="33"/>
      <c r="KR55" s="33"/>
      <c r="KS55" s="33"/>
      <c r="KT55" s="33"/>
      <c r="KU55" s="33"/>
      <c r="KV55" s="33"/>
      <c r="KW55" s="33"/>
      <c r="KX55" s="33"/>
      <c r="KY55" s="33"/>
      <c r="KZ55" s="33"/>
      <c r="LA55" s="33"/>
      <c r="LB55" s="33"/>
      <c r="LC55" s="33"/>
      <c r="LD55" s="33"/>
      <c r="LE55" s="33"/>
      <c r="LF55" s="33"/>
      <c r="LG55" s="33"/>
      <c r="LH55" s="33"/>
      <c r="LI55" s="33"/>
      <c r="LJ55" s="33"/>
      <c r="LK55" s="33"/>
      <c r="LL55" s="33"/>
      <c r="LM55" s="33"/>
      <c r="LN55" s="33"/>
      <c r="LO55" s="33"/>
      <c r="LP55" s="33"/>
      <c r="LQ55" s="33"/>
      <c r="LR55" s="33"/>
      <c r="LS55" s="33"/>
      <c r="LT55" s="33"/>
      <c r="LU55" s="33"/>
      <c r="LV55" s="33"/>
      <c r="LW55" s="33"/>
      <c r="LX55" s="33"/>
      <c r="LY55" s="33"/>
      <c r="LZ55" s="33"/>
      <c r="MA55" s="33"/>
      <c r="MB55" s="33"/>
      <c r="MC55" s="33"/>
      <c r="MD55" s="33"/>
      <c r="ME55" s="33"/>
      <c r="MF55" s="33"/>
      <c r="MG55" s="33"/>
      <c r="MH55" s="33"/>
      <c r="MI55" s="33"/>
      <c r="MJ55" s="33"/>
      <c r="MK55" s="33"/>
      <c r="ML55" s="33"/>
      <c r="MM55" s="33"/>
      <c r="MN55" s="33"/>
      <c r="MO55" s="33"/>
      <c r="MP55" s="33"/>
      <c r="MQ55" s="33"/>
      <c r="MR55" s="33"/>
      <c r="MS55" s="33"/>
      <c r="MT55" s="33"/>
      <c r="MU55" s="33"/>
      <c r="MV55" s="33"/>
      <c r="MW55" s="33"/>
      <c r="MX55" s="33"/>
      <c r="MY55" s="33"/>
      <c r="MZ55" s="33"/>
      <c r="NA55" s="33"/>
      <c r="NB55" s="33"/>
      <c r="NC55" s="33"/>
      <c r="ND55" s="33"/>
      <c r="NE55" s="33"/>
      <c r="NF55" s="33"/>
      <c r="NG55" s="33"/>
      <c r="NH55" s="33"/>
      <c r="NI55" s="33"/>
      <c r="NJ55" s="33"/>
      <c r="NK55" s="33"/>
      <c r="NL55" s="34"/>
    </row>
    <row r="56" spans="1:376" x14ac:dyDescent="0.15">
      <c r="A56" s="35">
        <f>A55</f>
        <v>22</v>
      </c>
      <c r="B56" s="36" t="str">
        <f>B55</f>
        <v>SD</v>
      </c>
      <c r="C56" s="36" t="str">
        <f>C55</f>
        <v>監視端末構造設計書レビュー指摘対応</v>
      </c>
      <c r="D56" s="37" t="str">
        <f>D55</f>
        <v>若山</v>
      </c>
      <c r="E56" s="53" t="s">
        <v>0</v>
      </c>
      <c r="F56" s="54"/>
      <c r="G56" s="54"/>
      <c r="H56" s="55">
        <f t="shared" si="229"/>
        <v>0</v>
      </c>
      <c r="I56" s="56">
        <f>IF(OR(H55="",H56=""),"",H56-H55)</f>
        <v>-6</v>
      </c>
      <c r="J56" s="57"/>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c r="BS56" s="59"/>
      <c r="BT56" s="59"/>
      <c r="BU56" s="59"/>
      <c r="BV56" s="59"/>
      <c r="BW56" s="59"/>
      <c r="BX56" s="59"/>
      <c r="BY56" s="59"/>
      <c r="BZ56" s="59"/>
      <c r="CA56" s="59"/>
      <c r="CB56" s="59"/>
      <c r="CC56" s="59"/>
      <c r="CD56" s="59"/>
      <c r="CE56" s="59"/>
      <c r="CF56" s="59"/>
      <c r="CG56" s="59"/>
      <c r="CH56" s="59"/>
      <c r="CI56" s="59"/>
      <c r="CJ56" s="59"/>
      <c r="CK56" s="59"/>
      <c r="CL56" s="59"/>
      <c r="CM56" s="59"/>
      <c r="CN56" s="59"/>
      <c r="CO56" s="59"/>
      <c r="CP56" s="59"/>
      <c r="CQ56" s="59"/>
      <c r="CR56" s="59"/>
      <c r="CS56" s="59"/>
      <c r="CT56" s="59"/>
      <c r="CU56" s="59"/>
      <c r="CV56" s="59"/>
      <c r="CW56" s="59"/>
      <c r="CX56" s="59"/>
      <c r="CY56" s="59"/>
      <c r="CZ56" s="59"/>
      <c r="DA56" s="59"/>
      <c r="DB56" s="59"/>
      <c r="DC56" s="59"/>
      <c r="DD56" s="59"/>
      <c r="DE56" s="59"/>
      <c r="DF56" s="59"/>
      <c r="DG56" s="59"/>
      <c r="DH56" s="59"/>
      <c r="DI56" s="59"/>
      <c r="DJ56" s="59"/>
      <c r="DK56" s="59"/>
      <c r="DL56" s="59"/>
      <c r="DM56" s="59"/>
      <c r="DN56" s="59"/>
      <c r="DO56" s="59"/>
      <c r="DP56" s="59"/>
      <c r="DQ56" s="59"/>
      <c r="DR56" s="59"/>
      <c r="DS56" s="59"/>
      <c r="DT56" s="59"/>
      <c r="DU56" s="59"/>
      <c r="DV56" s="59"/>
      <c r="DW56" s="59"/>
      <c r="DX56" s="59"/>
      <c r="DY56" s="59"/>
      <c r="DZ56" s="59"/>
      <c r="EA56" s="59"/>
      <c r="EB56" s="59"/>
      <c r="EC56" s="59"/>
      <c r="ED56" s="59"/>
      <c r="EE56" s="59"/>
      <c r="EF56" s="59"/>
      <c r="EG56" s="59"/>
      <c r="EH56" s="59"/>
      <c r="EI56" s="59"/>
      <c r="EJ56" s="59"/>
      <c r="EK56" s="59"/>
      <c r="EL56" s="59"/>
      <c r="EM56" s="59"/>
      <c r="EN56" s="59"/>
      <c r="EO56" s="59"/>
      <c r="EP56" s="59"/>
      <c r="EQ56" s="59"/>
      <c r="ER56" s="59"/>
      <c r="ES56" s="59"/>
      <c r="ET56" s="59"/>
      <c r="EU56" s="59"/>
      <c r="EV56" s="59"/>
      <c r="EW56" s="59"/>
      <c r="EX56" s="59"/>
      <c r="EY56" s="59"/>
      <c r="EZ56" s="59"/>
      <c r="FA56" s="59"/>
      <c r="FB56" s="59"/>
      <c r="FC56" s="59"/>
      <c r="FD56" s="59"/>
      <c r="FE56" s="59"/>
      <c r="FF56" s="59"/>
      <c r="FG56" s="59"/>
      <c r="FH56" s="59"/>
      <c r="FI56" s="59"/>
      <c r="FJ56" s="59"/>
      <c r="FK56" s="59"/>
      <c r="FL56" s="59"/>
      <c r="FM56" s="59"/>
      <c r="FN56" s="59"/>
      <c r="FO56" s="59"/>
      <c r="FP56" s="59"/>
      <c r="FQ56" s="59"/>
      <c r="FR56" s="59"/>
      <c r="FS56" s="59"/>
      <c r="FT56" s="59"/>
      <c r="FU56" s="59"/>
      <c r="FV56" s="59"/>
      <c r="FW56" s="59"/>
      <c r="FX56" s="59"/>
      <c r="FY56" s="59"/>
      <c r="FZ56" s="59"/>
      <c r="GA56" s="59"/>
      <c r="GB56" s="59"/>
      <c r="GC56" s="59"/>
      <c r="GD56" s="59"/>
      <c r="GE56" s="59"/>
      <c r="GF56" s="59"/>
      <c r="GG56" s="59"/>
      <c r="GH56" s="59"/>
      <c r="GI56" s="59"/>
      <c r="GJ56" s="59"/>
      <c r="GK56" s="59"/>
      <c r="GL56" s="59"/>
      <c r="GM56" s="59"/>
      <c r="GN56" s="59"/>
      <c r="GO56" s="59"/>
      <c r="GP56" s="59"/>
      <c r="GQ56" s="59"/>
      <c r="GR56" s="59"/>
      <c r="GS56" s="59"/>
      <c r="GT56" s="59"/>
      <c r="GU56" s="59"/>
      <c r="GV56" s="59"/>
      <c r="GW56" s="59"/>
      <c r="GX56" s="59"/>
      <c r="GY56" s="59"/>
      <c r="GZ56" s="59"/>
      <c r="HA56" s="59"/>
      <c r="HB56" s="59"/>
      <c r="HC56" s="59"/>
      <c r="HD56" s="59"/>
      <c r="HE56" s="59"/>
      <c r="HF56" s="59"/>
      <c r="HG56" s="59"/>
      <c r="HH56" s="59"/>
      <c r="HI56" s="59"/>
      <c r="HJ56" s="59"/>
      <c r="HK56" s="59"/>
      <c r="HL56" s="59"/>
      <c r="HM56" s="59"/>
      <c r="HN56" s="59"/>
      <c r="HO56" s="59"/>
      <c r="HP56" s="59"/>
      <c r="HQ56" s="59"/>
      <c r="HR56" s="59"/>
      <c r="HS56" s="59"/>
      <c r="HT56" s="59"/>
      <c r="HU56" s="59"/>
      <c r="HV56" s="59"/>
      <c r="HW56" s="59"/>
      <c r="HX56" s="59"/>
      <c r="HY56" s="59"/>
      <c r="HZ56" s="59"/>
      <c r="IA56" s="59"/>
      <c r="IB56" s="59"/>
      <c r="IC56" s="59"/>
      <c r="ID56" s="59"/>
      <c r="IE56" s="59"/>
      <c r="IF56" s="59"/>
      <c r="IG56" s="59"/>
      <c r="IH56" s="59"/>
      <c r="II56" s="59"/>
      <c r="IJ56" s="59"/>
      <c r="IK56" s="59"/>
      <c r="IL56" s="59"/>
      <c r="IM56" s="59"/>
      <c r="IN56" s="59"/>
      <c r="IO56" s="59"/>
      <c r="IP56" s="59"/>
      <c r="IQ56" s="59"/>
      <c r="IR56" s="59"/>
      <c r="IS56" s="59"/>
      <c r="IT56" s="59"/>
      <c r="IU56" s="59"/>
      <c r="IV56" s="59"/>
      <c r="IW56" s="59"/>
      <c r="IX56" s="59"/>
      <c r="IY56" s="59"/>
      <c r="IZ56" s="59"/>
      <c r="JA56" s="59"/>
      <c r="JB56" s="59"/>
      <c r="JC56" s="59"/>
      <c r="JD56" s="59"/>
      <c r="JE56" s="59"/>
      <c r="JF56" s="59"/>
      <c r="JG56" s="59"/>
      <c r="JH56" s="59"/>
      <c r="JI56" s="59"/>
      <c r="JJ56" s="59"/>
      <c r="JK56" s="59"/>
      <c r="JL56" s="59"/>
      <c r="JM56" s="59"/>
      <c r="JN56" s="59"/>
      <c r="JO56" s="59"/>
      <c r="JP56" s="59"/>
      <c r="JQ56" s="59"/>
      <c r="JR56" s="59"/>
      <c r="JS56" s="59"/>
      <c r="JT56" s="59"/>
      <c r="JU56" s="59"/>
      <c r="JV56" s="59"/>
      <c r="JW56" s="59"/>
      <c r="JX56" s="59"/>
      <c r="JY56" s="59"/>
      <c r="JZ56" s="59"/>
      <c r="KA56" s="59"/>
      <c r="KB56" s="59"/>
      <c r="KC56" s="59"/>
      <c r="KD56" s="59"/>
      <c r="KE56" s="59"/>
      <c r="KF56" s="59"/>
      <c r="KG56" s="59"/>
      <c r="KH56" s="59"/>
      <c r="KI56" s="59"/>
      <c r="KJ56" s="59"/>
      <c r="KK56" s="59"/>
      <c r="KL56" s="59"/>
      <c r="KM56" s="59"/>
      <c r="KN56" s="59"/>
      <c r="KO56" s="59"/>
      <c r="KP56" s="59"/>
      <c r="KQ56" s="59"/>
      <c r="KR56" s="59"/>
      <c r="KS56" s="59"/>
      <c r="KT56" s="59"/>
      <c r="KU56" s="59"/>
      <c r="KV56" s="59"/>
      <c r="KW56" s="59"/>
      <c r="KX56" s="59"/>
      <c r="KY56" s="59"/>
      <c r="KZ56" s="59"/>
      <c r="LA56" s="59"/>
      <c r="LB56" s="59"/>
      <c r="LC56" s="59"/>
      <c r="LD56" s="59"/>
      <c r="LE56" s="59"/>
      <c r="LF56" s="59"/>
      <c r="LG56" s="59"/>
      <c r="LH56" s="59"/>
      <c r="LI56" s="59"/>
      <c r="LJ56" s="59"/>
      <c r="LK56" s="59"/>
      <c r="LL56" s="59"/>
      <c r="LM56" s="59"/>
      <c r="LN56" s="59"/>
      <c r="LO56" s="59"/>
      <c r="LP56" s="59"/>
      <c r="LQ56" s="59"/>
      <c r="LR56" s="59"/>
      <c r="LS56" s="59"/>
      <c r="LT56" s="59"/>
      <c r="LU56" s="59"/>
      <c r="LV56" s="59"/>
      <c r="LW56" s="59"/>
      <c r="LX56" s="59"/>
      <c r="LY56" s="59"/>
      <c r="LZ56" s="59"/>
      <c r="MA56" s="59"/>
      <c r="MB56" s="59"/>
      <c r="MC56" s="59"/>
      <c r="MD56" s="59"/>
      <c r="ME56" s="59"/>
      <c r="MF56" s="59"/>
      <c r="MG56" s="59"/>
      <c r="MH56" s="59"/>
      <c r="MI56" s="59"/>
      <c r="MJ56" s="59"/>
      <c r="MK56" s="59"/>
      <c r="ML56" s="59"/>
      <c r="MM56" s="59"/>
      <c r="MN56" s="59"/>
      <c r="MO56" s="59"/>
      <c r="MP56" s="59"/>
      <c r="MQ56" s="59"/>
      <c r="MR56" s="59"/>
      <c r="MS56" s="59"/>
      <c r="MT56" s="59"/>
      <c r="MU56" s="59"/>
      <c r="MV56" s="59"/>
      <c r="MW56" s="59"/>
      <c r="MX56" s="59"/>
      <c r="MY56" s="59"/>
      <c r="MZ56" s="59"/>
      <c r="NA56" s="59"/>
      <c r="NB56" s="59"/>
      <c r="NC56" s="59"/>
      <c r="ND56" s="59"/>
      <c r="NE56" s="59"/>
      <c r="NF56" s="59"/>
      <c r="NG56" s="59"/>
      <c r="NH56" s="59"/>
      <c r="NI56" s="59"/>
      <c r="NJ56" s="59"/>
      <c r="NK56" s="59"/>
      <c r="NL56" s="60"/>
    </row>
    <row r="57" spans="1:376" x14ac:dyDescent="0.15">
      <c r="A57" s="23">
        <v>23</v>
      </c>
      <c r="B57" s="24" t="s">
        <v>131</v>
      </c>
      <c r="C57" s="45" t="s">
        <v>134</v>
      </c>
      <c r="D57" s="26" t="s">
        <v>165</v>
      </c>
      <c r="E57" s="27" t="s">
        <v>13</v>
      </c>
      <c r="F57" s="28">
        <v>42933</v>
      </c>
      <c r="G57" s="28">
        <v>42973</v>
      </c>
      <c r="H57" s="29">
        <f t="shared" si="229"/>
        <v>24</v>
      </c>
      <c r="I57" s="30"/>
      <c r="J57" s="31"/>
      <c r="K57" s="32"/>
      <c r="L57" s="32"/>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3"/>
      <c r="AQ57" s="33"/>
      <c r="AR57" s="33"/>
      <c r="AS57" s="33"/>
      <c r="AT57" s="33"/>
      <c r="AU57" s="33"/>
      <c r="AV57" s="33"/>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33"/>
      <c r="CG57" s="33"/>
      <c r="CH57" s="33"/>
      <c r="CI57" s="33"/>
      <c r="CJ57" s="33"/>
      <c r="CK57" s="33"/>
      <c r="CL57" s="33"/>
      <c r="CM57" s="33"/>
      <c r="CN57" s="33"/>
      <c r="CO57" s="33"/>
      <c r="CP57" s="33"/>
      <c r="CQ57" s="33"/>
      <c r="CR57" s="33"/>
      <c r="CS57" s="33"/>
      <c r="CT57" s="33"/>
      <c r="CU57" s="33"/>
      <c r="CV57" s="33"/>
      <c r="CW57" s="33"/>
      <c r="CX57" s="33"/>
      <c r="CY57" s="33"/>
      <c r="CZ57" s="33"/>
      <c r="DA57" s="33"/>
      <c r="DB57" s="33"/>
      <c r="DC57" s="33"/>
      <c r="DD57" s="33"/>
      <c r="DE57" s="33"/>
      <c r="DF57" s="33"/>
      <c r="DG57" s="33"/>
      <c r="DH57" s="33"/>
      <c r="DI57" s="33"/>
      <c r="DJ57" s="33"/>
      <c r="DK57" s="33"/>
      <c r="DL57" s="33"/>
      <c r="DM57" s="33"/>
      <c r="DN57" s="33"/>
      <c r="DO57" s="33"/>
      <c r="DP57" s="33">
        <v>4</v>
      </c>
      <c r="DQ57" s="33"/>
      <c r="DR57" s="33"/>
      <c r="DS57" s="33"/>
      <c r="DT57" s="33"/>
      <c r="DU57" s="33"/>
      <c r="DV57" s="33"/>
      <c r="DW57" s="33">
        <v>4</v>
      </c>
      <c r="DX57" s="33"/>
      <c r="DY57" s="33"/>
      <c r="DZ57" s="33"/>
      <c r="EA57" s="33"/>
      <c r="EB57" s="33"/>
      <c r="EC57" s="33"/>
      <c r="ED57" s="33">
        <v>4</v>
      </c>
      <c r="EE57" s="33"/>
      <c r="EF57" s="33"/>
      <c r="EG57" s="33"/>
      <c r="EH57" s="33"/>
      <c r="EI57" s="33"/>
      <c r="EJ57" s="33"/>
      <c r="EK57" s="33">
        <v>4</v>
      </c>
      <c r="EL57" s="33"/>
      <c r="EM57" s="33"/>
      <c r="EN57" s="33"/>
      <c r="EO57" s="33"/>
      <c r="EP57" s="33"/>
      <c r="EQ57" s="33"/>
      <c r="ER57" s="33">
        <v>4</v>
      </c>
      <c r="ES57" s="33"/>
      <c r="ET57" s="33"/>
      <c r="EU57" s="33"/>
      <c r="EV57" s="33"/>
      <c r="EW57" s="33"/>
      <c r="EX57" s="33"/>
      <c r="EY57" s="33">
        <v>4</v>
      </c>
      <c r="EZ57" s="33"/>
      <c r="FA57" s="33"/>
      <c r="FB57" s="33"/>
      <c r="FC57" s="33"/>
      <c r="FD57" s="33"/>
      <c r="FE57" s="33"/>
      <c r="FF57" s="33"/>
      <c r="FG57" s="33"/>
      <c r="FH57" s="33"/>
      <c r="FI57" s="33"/>
      <c r="FJ57" s="33"/>
      <c r="FK57" s="33"/>
      <c r="FL57" s="33"/>
      <c r="FM57" s="33"/>
      <c r="FN57" s="33"/>
      <c r="FO57" s="33"/>
      <c r="FP57" s="33"/>
      <c r="FQ57" s="33"/>
      <c r="FR57" s="33"/>
      <c r="FS57" s="33"/>
      <c r="FT57" s="33"/>
      <c r="FU57" s="33"/>
      <c r="FV57" s="33"/>
      <c r="FW57" s="33"/>
      <c r="FX57" s="33"/>
      <c r="FY57" s="33"/>
      <c r="FZ57" s="33"/>
      <c r="GA57" s="33"/>
      <c r="GB57" s="33"/>
      <c r="GC57" s="33"/>
      <c r="GD57" s="33"/>
      <c r="GE57" s="33"/>
      <c r="GF57" s="33"/>
      <c r="GG57" s="33"/>
      <c r="GH57" s="33"/>
      <c r="GI57" s="33"/>
      <c r="GJ57" s="33"/>
      <c r="GK57" s="33"/>
      <c r="GL57" s="33"/>
      <c r="GM57" s="33"/>
      <c r="GN57" s="33"/>
      <c r="GO57" s="33"/>
      <c r="GP57" s="33"/>
      <c r="GQ57" s="33"/>
      <c r="GR57" s="33"/>
      <c r="GS57" s="33"/>
      <c r="GT57" s="33"/>
      <c r="GU57" s="33"/>
      <c r="GV57" s="33"/>
      <c r="GW57" s="33"/>
      <c r="GX57" s="33"/>
      <c r="GY57" s="33"/>
      <c r="GZ57" s="33"/>
      <c r="HA57" s="33"/>
      <c r="HB57" s="33"/>
      <c r="HC57" s="33"/>
      <c r="HD57" s="33"/>
      <c r="HE57" s="33"/>
      <c r="HF57" s="33"/>
      <c r="HG57" s="33"/>
      <c r="HH57" s="33"/>
      <c r="HI57" s="33"/>
      <c r="HJ57" s="33"/>
      <c r="HK57" s="33"/>
      <c r="HL57" s="33"/>
      <c r="HM57" s="33"/>
      <c r="HN57" s="33"/>
      <c r="HO57" s="33"/>
      <c r="HP57" s="33"/>
      <c r="HQ57" s="33"/>
      <c r="HR57" s="33"/>
      <c r="HS57" s="33"/>
      <c r="HT57" s="33"/>
      <c r="HU57" s="33"/>
      <c r="HV57" s="33"/>
      <c r="HW57" s="33"/>
      <c r="HX57" s="33"/>
      <c r="HY57" s="33"/>
      <c r="HZ57" s="33"/>
      <c r="IA57" s="33"/>
      <c r="IB57" s="33"/>
      <c r="IC57" s="33"/>
      <c r="ID57" s="33"/>
      <c r="IE57" s="33"/>
      <c r="IF57" s="33"/>
      <c r="IG57" s="33"/>
      <c r="IH57" s="33"/>
      <c r="II57" s="33"/>
      <c r="IJ57" s="33"/>
      <c r="IK57" s="33"/>
      <c r="IL57" s="33"/>
      <c r="IM57" s="33"/>
      <c r="IN57" s="33"/>
      <c r="IO57" s="33"/>
      <c r="IP57" s="33"/>
      <c r="IQ57" s="33"/>
      <c r="IR57" s="33"/>
      <c r="IS57" s="33"/>
      <c r="IT57" s="33"/>
      <c r="IU57" s="33"/>
      <c r="IV57" s="33"/>
      <c r="IW57" s="33"/>
      <c r="IX57" s="33"/>
      <c r="IY57" s="33"/>
      <c r="IZ57" s="33"/>
      <c r="JA57" s="33"/>
      <c r="JB57" s="33"/>
      <c r="JC57" s="33"/>
      <c r="JD57" s="33"/>
      <c r="JE57" s="33"/>
      <c r="JF57" s="33"/>
      <c r="JG57" s="33"/>
      <c r="JH57" s="33"/>
      <c r="JI57" s="33"/>
      <c r="JJ57" s="33"/>
      <c r="JK57" s="33"/>
      <c r="JL57" s="33"/>
      <c r="JM57" s="33"/>
      <c r="JN57" s="33"/>
      <c r="JO57" s="33"/>
      <c r="JP57" s="33"/>
      <c r="JQ57" s="33"/>
      <c r="JR57" s="33"/>
      <c r="JS57" s="33"/>
      <c r="JT57" s="33"/>
      <c r="JU57" s="33"/>
      <c r="JV57" s="33"/>
      <c r="JW57" s="33"/>
      <c r="JX57" s="33"/>
      <c r="JY57" s="33"/>
      <c r="JZ57" s="33"/>
      <c r="KA57" s="33"/>
      <c r="KB57" s="33"/>
      <c r="KC57" s="33"/>
      <c r="KD57" s="33"/>
      <c r="KE57" s="33"/>
      <c r="KF57" s="33"/>
      <c r="KG57" s="33"/>
      <c r="KH57" s="33"/>
      <c r="KI57" s="33"/>
      <c r="KJ57" s="33"/>
      <c r="KK57" s="33"/>
      <c r="KL57" s="33"/>
      <c r="KM57" s="33"/>
      <c r="KN57" s="33"/>
      <c r="KO57" s="33"/>
      <c r="KP57" s="33"/>
      <c r="KQ57" s="33"/>
      <c r="KR57" s="33"/>
      <c r="KS57" s="33"/>
      <c r="KT57" s="33"/>
      <c r="KU57" s="33"/>
      <c r="KV57" s="33"/>
      <c r="KW57" s="33"/>
      <c r="KX57" s="33"/>
      <c r="KY57" s="33"/>
      <c r="KZ57" s="33"/>
      <c r="LA57" s="33"/>
      <c r="LB57" s="33"/>
      <c r="LC57" s="33"/>
      <c r="LD57" s="33"/>
      <c r="LE57" s="33"/>
      <c r="LF57" s="33"/>
      <c r="LG57" s="33"/>
      <c r="LH57" s="33"/>
      <c r="LI57" s="33"/>
      <c r="LJ57" s="33"/>
      <c r="LK57" s="33"/>
      <c r="LL57" s="33"/>
      <c r="LM57" s="33"/>
      <c r="LN57" s="33"/>
      <c r="LO57" s="33"/>
      <c r="LP57" s="33"/>
      <c r="LQ57" s="33"/>
      <c r="LR57" s="33"/>
      <c r="LS57" s="33"/>
      <c r="LT57" s="33"/>
      <c r="LU57" s="33"/>
      <c r="LV57" s="33"/>
      <c r="LW57" s="33"/>
      <c r="LX57" s="33"/>
      <c r="LY57" s="33"/>
      <c r="LZ57" s="33"/>
      <c r="MA57" s="33"/>
      <c r="MB57" s="33"/>
      <c r="MC57" s="33"/>
      <c r="MD57" s="33"/>
      <c r="ME57" s="33"/>
      <c r="MF57" s="33"/>
      <c r="MG57" s="33"/>
      <c r="MH57" s="33"/>
      <c r="MI57" s="33"/>
      <c r="MJ57" s="33"/>
      <c r="MK57" s="33"/>
      <c r="ML57" s="33"/>
      <c r="MM57" s="33"/>
      <c r="MN57" s="33"/>
      <c r="MO57" s="33"/>
      <c r="MP57" s="33"/>
      <c r="MQ57" s="33"/>
      <c r="MR57" s="33"/>
      <c r="MS57" s="33"/>
      <c r="MT57" s="33"/>
      <c r="MU57" s="33"/>
      <c r="MV57" s="33"/>
      <c r="MW57" s="33"/>
      <c r="MX57" s="33"/>
      <c r="MY57" s="33"/>
      <c r="MZ57" s="33"/>
      <c r="NA57" s="33"/>
      <c r="NB57" s="33"/>
      <c r="NC57" s="33"/>
      <c r="ND57" s="33"/>
      <c r="NE57" s="33"/>
      <c r="NF57" s="33"/>
      <c r="NG57" s="33"/>
      <c r="NH57" s="33"/>
      <c r="NI57" s="33"/>
      <c r="NJ57" s="33"/>
      <c r="NK57" s="33"/>
      <c r="NL57" s="34"/>
    </row>
    <row r="58" spans="1:376" x14ac:dyDescent="0.15">
      <c r="A58" s="35">
        <f>A57</f>
        <v>23</v>
      </c>
      <c r="B58" s="36" t="str">
        <f>B57</f>
        <v>SD</v>
      </c>
      <c r="C58" s="36" t="str">
        <f>C57</f>
        <v>Webアプリ構造評価仕様書作成</v>
      </c>
      <c r="D58" s="37" t="str">
        <f>D57</f>
        <v>高澤</v>
      </c>
      <c r="E58" s="53" t="s">
        <v>0</v>
      </c>
      <c r="F58" s="54"/>
      <c r="G58" s="54"/>
      <c r="H58" s="55">
        <f t="shared" si="229"/>
        <v>0</v>
      </c>
      <c r="I58" s="56">
        <f>IF(OR(H57="",H58=""),"",H58-H57)</f>
        <v>-24</v>
      </c>
      <c r="J58" s="57"/>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c r="BS58" s="59"/>
      <c r="BT58" s="59"/>
      <c r="BU58" s="59"/>
      <c r="BV58" s="59"/>
      <c r="BW58" s="59"/>
      <c r="BX58" s="59"/>
      <c r="BY58" s="59"/>
      <c r="BZ58" s="59"/>
      <c r="CA58" s="59"/>
      <c r="CB58" s="59"/>
      <c r="CC58" s="59"/>
      <c r="CD58" s="59"/>
      <c r="CE58" s="59"/>
      <c r="CF58" s="59"/>
      <c r="CG58" s="59"/>
      <c r="CH58" s="59"/>
      <c r="CI58" s="59"/>
      <c r="CJ58" s="59"/>
      <c r="CK58" s="59"/>
      <c r="CL58" s="59"/>
      <c r="CM58" s="59"/>
      <c r="CN58" s="59"/>
      <c r="CO58" s="59"/>
      <c r="CP58" s="59"/>
      <c r="CQ58" s="59"/>
      <c r="CR58" s="59"/>
      <c r="CS58" s="59"/>
      <c r="CT58" s="59"/>
      <c r="CU58" s="59"/>
      <c r="CV58" s="59"/>
      <c r="CW58" s="59"/>
      <c r="CX58" s="59"/>
      <c r="CY58" s="59"/>
      <c r="CZ58" s="59"/>
      <c r="DA58" s="59"/>
      <c r="DB58" s="59"/>
      <c r="DC58" s="59"/>
      <c r="DD58" s="59"/>
      <c r="DE58" s="59"/>
      <c r="DF58" s="59"/>
      <c r="DG58" s="59"/>
      <c r="DH58" s="59"/>
      <c r="DI58" s="59"/>
      <c r="DJ58" s="59"/>
      <c r="DK58" s="59"/>
      <c r="DL58" s="59"/>
      <c r="DM58" s="59"/>
      <c r="DN58" s="59"/>
      <c r="DO58" s="59"/>
      <c r="DP58" s="59"/>
      <c r="DQ58" s="59"/>
      <c r="DR58" s="59"/>
      <c r="DS58" s="59"/>
      <c r="DT58" s="59"/>
      <c r="DU58" s="59"/>
      <c r="DV58" s="59"/>
      <c r="DW58" s="59"/>
      <c r="DX58" s="59"/>
      <c r="DY58" s="59"/>
      <c r="DZ58" s="59"/>
      <c r="EA58" s="59"/>
      <c r="EB58" s="59"/>
      <c r="EC58" s="59"/>
      <c r="ED58" s="59"/>
      <c r="EE58" s="59"/>
      <c r="EF58" s="59"/>
      <c r="EG58" s="59"/>
      <c r="EH58" s="59"/>
      <c r="EI58" s="59"/>
      <c r="EJ58" s="59"/>
      <c r="EK58" s="59"/>
      <c r="EL58" s="59"/>
      <c r="EM58" s="59"/>
      <c r="EN58" s="59"/>
      <c r="EO58" s="59"/>
      <c r="EP58" s="59"/>
      <c r="EQ58" s="59"/>
      <c r="ER58" s="59"/>
      <c r="ES58" s="59"/>
      <c r="ET58" s="59"/>
      <c r="EU58" s="59"/>
      <c r="EV58" s="59"/>
      <c r="EW58" s="59"/>
      <c r="EX58" s="59"/>
      <c r="EY58" s="59"/>
      <c r="EZ58" s="59"/>
      <c r="FA58" s="59"/>
      <c r="FB58" s="59"/>
      <c r="FC58" s="59"/>
      <c r="FD58" s="59"/>
      <c r="FE58" s="59"/>
      <c r="FF58" s="59"/>
      <c r="FG58" s="59"/>
      <c r="FH58" s="59"/>
      <c r="FI58" s="59"/>
      <c r="FJ58" s="59"/>
      <c r="FK58" s="59"/>
      <c r="FL58" s="59"/>
      <c r="FM58" s="59"/>
      <c r="FN58" s="59"/>
      <c r="FO58" s="59"/>
      <c r="FP58" s="59"/>
      <c r="FQ58" s="59"/>
      <c r="FR58" s="59"/>
      <c r="FS58" s="59"/>
      <c r="FT58" s="59"/>
      <c r="FU58" s="59"/>
      <c r="FV58" s="59"/>
      <c r="FW58" s="59"/>
      <c r="FX58" s="59"/>
      <c r="FY58" s="59"/>
      <c r="FZ58" s="59"/>
      <c r="GA58" s="59"/>
      <c r="GB58" s="59"/>
      <c r="GC58" s="59"/>
      <c r="GD58" s="59"/>
      <c r="GE58" s="59"/>
      <c r="GF58" s="59"/>
      <c r="GG58" s="59"/>
      <c r="GH58" s="59"/>
      <c r="GI58" s="59"/>
      <c r="GJ58" s="59"/>
      <c r="GK58" s="59"/>
      <c r="GL58" s="59"/>
      <c r="GM58" s="59"/>
      <c r="GN58" s="59"/>
      <c r="GO58" s="59"/>
      <c r="GP58" s="59"/>
      <c r="GQ58" s="59"/>
      <c r="GR58" s="59"/>
      <c r="GS58" s="59"/>
      <c r="GT58" s="59"/>
      <c r="GU58" s="59"/>
      <c r="GV58" s="59"/>
      <c r="GW58" s="59"/>
      <c r="GX58" s="59"/>
      <c r="GY58" s="59"/>
      <c r="GZ58" s="59"/>
      <c r="HA58" s="59"/>
      <c r="HB58" s="59"/>
      <c r="HC58" s="59"/>
      <c r="HD58" s="59"/>
      <c r="HE58" s="59"/>
      <c r="HF58" s="59"/>
      <c r="HG58" s="59"/>
      <c r="HH58" s="59"/>
      <c r="HI58" s="59"/>
      <c r="HJ58" s="59"/>
      <c r="HK58" s="59"/>
      <c r="HL58" s="59"/>
      <c r="HM58" s="59"/>
      <c r="HN58" s="59"/>
      <c r="HO58" s="59"/>
      <c r="HP58" s="59"/>
      <c r="HQ58" s="59"/>
      <c r="HR58" s="59"/>
      <c r="HS58" s="59"/>
      <c r="HT58" s="59"/>
      <c r="HU58" s="59"/>
      <c r="HV58" s="59"/>
      <c r="HW58" s="59"/>
      <c r="HX58" s="59"/>
      <c r="HY58" s="59"/>
      <c r="HZ58" s="59"/>
      <c r="IA58" s="59"/>
      <c r="IB58" s="59"/>
      <c r="IC58" s="59"/>
      <c r="ID58" s="59"/>
      <c r="IE58" s="59"/>
      <c r="IF58" s="59"/>
      <c r="IG58" s="59"/>
      <c r="IH58" s="59"/>
      <c r="II58" s="59"/>
      <c r="IJ58" s="59"/>
      <c r="IK58" s="59"/>
      <c r="IL58" s="59"/>
      <c r="IM58" s="59"/>
      <c r="IN58" s="59"/>
      <c r="IO58" s="59"/>
      <c r="IP58" s="59"/>
      <c r="IQ58" s="59"/>
      <c r="IR58" s="59"/>
      <c r="IS58" s="59"/>
      <c r="IT58" s="59"/>
      <c r="IU58" s="59"/>
      <c r="IV58" s="59"/>
      <c r="IW58" s="59"/>
      <c r="IX58" s="59"/>
      <c r="IY58" s="59"/>
      <c r="IZ58" s="59"/>
      <c r="JA58" s="59"/>
      <c r="JB58" s="59"/>
      <c r="JC58" s="59"/>
      <c r="JD58" s="59"/>
      <c r="JE58" s="59"/>
      <c r="JF58" s="59"/>
      <c r="JG58" s="59"/>
      <c r="JH58" s="59"/>
      <c r="JI58" s="59"/>
      <c r="JJ58" s="59"/>
      <c r="JK58" s="59"/>
      <c r="JL58" s="59"/>
      <c r="JM58" s="59"/>
      <c r="JN58" s="59"/>
      <c r="JO58" s="59"/>
      <c r="JP58" s="59"/>
      <c r="JQ58" s="59"/>
      <c r="JR58" s="59"/>
      <c r="JS58" s="59"/>
      <c r="JT58" s="59"/>
      <c r="JU58" s="59"/>
      <c r="JV58" s="59"/>
      <c r="JW58" s="59"/>
      <c r="JX58" s="59"/>
      <c r="JY58" s="59"/>
      <c r="JZ58" s="59"/>
      <c r="KA58" s="59"/>
      <c r="KB58" s="59"/>
      <c r="KC58" s="59"/>
      <c r="KD58" s="59"/>
      <c r="KE58" s="59"/>
      <c r="KF58" s="59"/>
      <c r="KG58" s="59"/>
      <c r="KH58" s="59"/>
      <c r="KI58" s="59"/>
      <c r="KJ58" s="59"/>
      <c r="KK58" s="59"/>
      <c r="KL58" s="59"/>
      <c r="KM58" s="59"/>
      <c r="KN58" s="59"/>
      <c r="KO58" s="59"/>
      <c r="KP58" s="59"/>
      <c r="KQ58" s="59"/>
      <c r="KR58" s="59"/>
      <c r="KS58" s="59"/>
      <c r="KT58" s="59"/>
      <c r="KU58" s="59"/>
      <c r="KV58" s="59"/>
      <c r="KW58" s="59"/>
      <c r="KX58" s="59"/>
      <c r="KY58" s="59"/>
      <c r="KZ58" s="59"/>
      <c r="LA58" s="59"/>
      <c r="LB58" s="59"/>
      <c r="LC58" s="59"/>
      <c r="LD58" s="59"/>
      <c r="LE58" s="59"/>
      <c r="LF58" s="59"/>
      <c r="LG58" s="59"/>
      <c r="LH58" s="59"/>
      <c r="LI58" s="59"/>
      <c r="LJ58" s="59"/>
      <c r="LK58" s="59"/>
      <c r="LL58" s="59"/>
      <c r="LM58" s="59"/>
      <c r="LN58" s="59"/>
      <c r="LO58" s="59"/>
      <c r="LP58" s="59"/>
      <c r="LQ58" s="59"/>
      <c r="LR58" s="59"/>
      <c r="LS58" s="59"/>
      <c r="LT58" s="59"/>
      <c r="LU58" s="59"/>
      <c r="LV58" s="59"/>
      <c r="LW58" s="59"/>
      <c r="LX58" s="59"/>
      <c r="LY58" s="59"/>
      <c r="LZ58" s="59"/>
      <c r="MA58" s="59"/>
      <c r="MB58" s="59"/>
      <c r="MC58" s="59"/>
      <c r="MD58" s="59"/>
      <c r="ME58" s="59"/>
      <c r="MF58" s="59"/>
      <c r="MG58" s="59"/>
      <c r="MH58" s="59"/>
      <c r="MI58" s="59"/>
      <c r="MJ58" s="59"/>
      <c r="MK58" s="59"/>
      <c r="ML58" s="59"/>
      <c r="MM58" s="59"/>
      <c r="MN58" s="59"/>
      <c r="MO58" s="59"/>
      <c r="MP58" s="59"/>
      <c r="MQ58" s="59"/>
      <c r="MR58" s="59"/>
      <c r="MS58" s="59"/>
      <c r="MT58" s="59"/>
      <c r="MU58" s="59"/>
      <c r="MV58" s="59"/>
      <c r="MW58" s="59"/>
      <c r="MX58" s="59"/>
      <c r="MY58" s="59"/>
      <c r="MZ58" s="59"/>
      <c r="NA58" s="59"/>
      <c r="NB58" s="59"/>
      <c r="NC58" s="59"/>
      <c r="ND58" s="59"/>
      <c r="NE58" s="59"/>
      <c r="NF58" s="59"/>
      <c r="NG58" s="59"/>
      <c r="NH58" s="59"/>
      <c r="NI58" s="59"/>
      <c r="NJ58" s="59"/>
      <c r="NK58" s="59"/>
      <c r="NL58" s="60"/>
    </row>
    <row r="59" spans="1:376" x14ac:dyDescent="0.15">
      <c r="A59" s="23">
        <v>24</v>
      </c>
      <c r="B59" s="24" t="s">
        <v>131</v>
      </c>
      <c r="C59" s="45" t="s">
        <v>135</v>
      </c>
      <c r="D59" s="26" t="s">
        <v>164</v>
      </c>
      <c r="E59" s="27" t="s">
        <v>13</v>
      </c>
      <c r="F59" s="28">
        <v>42973</v>
      </c>
      <c r="G59" s="28">
        <v>42973</v>
      </c>
      <c r="H59" s="29">
        <f t="shared" si="229"/>
        <v>4</v>
      </c>
      <c r="I59" s="30"/>
      <c r="J59" s="31"/>
      <c r="K59" s="32"/>
      <c r="L59" s="32"/>
      <c r="M59" s="32"/>
      <c r="N59" s="32"/>
      <c r="O59" s="32"/>
      <c r="P59" s="32"/>
      <c r="Q59" s="32"/>
      <c r="R59" s="32"/>
      <c r="S59" s="32"/>
      <c r="T59" s="32"/>
      <c r="U59" s="32"/>
      <c r="V59" s="32"/>
      <c r="W59" s="32"/>
      <c r="X59" s="32"/>
      <c r="Y59" s="32"/>
      <c r="Z59" s="32"/>
      <c r="AA59" s="32"/>
      <c r="AB59" s="32"/>
      <c r="AC59" s="32"/>
      <c r="AD59" s="32"/>
      <c r="AE59" s="32"/>
      <c r="AF59" s="32"/>
      <c r="AG59" s="32"/>
      <c r="AH59" s="32"/>
      <c r="AI59" s="32"/>
      <c r="AJ59" s="32"/>
      <c r="AK59" s="32"/>
      <c r="AL59" s="32"/>
      <c r="AM59" s="32"/>
      <c r="AN59" s="32"/>
      <c r="AO59" s="32"/>
      <c r="AP59" s="33"/>
      <c r="AQ59" s="33"/>
      <c r="AR59" s="33"/>
      <c r="AS59" s="33"/>
      <c r="AT59" s="33"/>
      <c r="AU59" s="33"/>
      <c r="AV59" s="33"/>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c r="CF59" s="33"/>
      <c r="CG59" s="33"/>
      <c r="CH59" s="33"/>
      <c r="CI59" s="33"/>
      <c r="CJ59" s="33"/>
      <c r="CK59" s="33"/>
      <c r="CL59" s="33"/>
      <c r="CM59" s="33"/>
      <c r="CN59" s="33"/>
      <c r="CO59" s="33"/>
      <c r="CP59" s="33"/>
      <c r="CQ59" s="33"/>
      <c r="CR59" s="33"/>
      <c r="CS59" s="33"/>
      <c r="CT59" s="33"/>
      <c r="CU59" s="33"/>
      <c r="CV59" s="33"/>
      <c r="CW59" s="33"/>
      <c r="CX59" s="33"/>
      <c r="CY59" s="33"/>
      <c r="CZ59" s="33"/>
      <c r="DA59" s="33"/>
      <c r="DB59" s="33"/>
      <c r="DC59" s="33"/>
      <c r="DD59" s="33"/>
      <c r="DE59" s="33"/>
      <c r="DF59" s="33"/>
      <c r="DG59" s="33"/>
      <c r="DH59" s="33"/>
      <c r="DI59" s="33"/>
      <c r="DJ59" s="33"/>
      <c r="DK59" s="33"/>
      <c r="DL59" s="33"/>
      <c r="DM59" s="33"/>
      <c r="DN59" s="33"/>
      <c r="DO59" s="33"/>
      <c r="DP59" s="33"/>
      <c r="DQ59" s="33"/>
      <c r="DR59" s="33"/>
      <c r="DS59" s="33"/>
      <c r="DT59" s="33"/>
      <c r="DU59" s="33"/>
      <c r="DV59" s="33"/>
      <c r="DW59" s="33"/>
      <c r="DX59" s="33"/>
      <c r="DY59" s="33"/>
      <c r="DZ59" s="33"/>
      <c r="EA59" s="33"/>
      <c r="EB59" s="33"/>
      <c r="EC59" s="33"/>
      <c r="ED59" s="33"/>
      <c r="EE59" s="33"/>
      <c r="EF59" s="33"/>
      <c r="EG59" s="33"/>
      <c r="EH59" s="33"/>
      <c r="EI59" s="33"/>
      <c r="EJ59" s="33"/>
      <c r="EK59" s="33"/>
      <c r="EL59" s="33"/>
      <c r="EM59" s="33"/>
      <c r="EN59" s="33"/>
      <c r="EO59" s="33"/>
      <c r="EP59" s="33"/>
      <c r="EQ59" s="33"/>
      <c r="ER59" s="33"/>
      <c r="ES59" s="33"/>
      <c r="ET59" s="33"/>
      <c r="EU59" s="33"/>
      <c r="EV59" s="33"/>
      <c r="EW59" s="33"/>
      <c r="EX59" s="33"/>
      <c r="EY59" s="33">
        <v>4</v>
      </c>
      <c r="EZ59" s="33"/>
      <c r="FA59" s="33"/>
      <c r="FB59" s="33"/>
      <c r="FC59" s="33"/>
      <c r="FD59" s="33"/>
      <c r="FE59" s="33"/>
      <c r="FF59" s="33"/>
      <c r="FG59" s="33"/>
      <c r="FH59" s="33"/>
      <c r="FI59" s="33"/>
      <c r="FJ59" s="33"/>
      <c r="FK59" s="33"/>
      <c r="FL59" s="33"/>
      <c r="FM59" s="33"/>
      <c r="FN59" s="33"/>
      <c r="FO59" s="33"/>
      <c r="FP59" s="33"/>
      <c r="FQ59" s="33"/>
      <c r="FR59" s="33"/>
      <c r="FS59" s="33"/>
      <c r="FT59" s="33"/>
      <c r="FU59" s="33"/>
      <c r="FV59" s="33"/>
      <c r="FW59" s="33"/>
      <c r="FX59" s="33"/>
      <c r="FY59" s="33"/>
      <c r="FZ59" s="33"/>
      <c r="GA59" s="33"/>
      <c r="GB59" s="33"/>
      <c r="GC59" s="33"/>
      <c r="GD59" s="33"/>
      <c r="GE59" s="33"/>
      <c r="GF59" s="33"/>
      <c r="GG59" s="33"/>
      <c r="GH59" s="33"/>
      <c r="GI59" s="33"/>
      <c r="GJ59" s="33"/>
      <c r="GK59" s="33"/>
      <c r="GL59" s="33"/>
      <c r="GM59" s="33"/>
      <c r="GN59" s="33"/>
      <c r="GO59" s="33"/>
      <c r="GP59" s="33"/>
      <c r="GQ59" s="33"/>
      <c r="GR59" s="33"/>
      <c r="GS59" s="33"/>
      <c r="GT59" s="33"/>
      <c r="GU59" s="33"/>
      <c r="GV59" s="33"/>
      <c r="GW59" s="33"/>
      <c r="GX59" s="33"/>
      <c r="GY59" s="33"/>
      <c r="GZ59" s="33"/>
      <c r="HA59" s="33"/>
      <c r="HB59" s="33"/>
      <c r="HC59" s="33"/>
      <c r="HD59" s="33"/>
      <c r="HE59" s="33"/>
      <c r="HF59" s="33"/>
      <c r="HG59" s="33"/>
      <c r="HH59" s="33"/>
      <c r="HI59" s="33"/>
      <c r="HJ59" s="33"/>
      <c r="HK59" s="33"/>
      <c r="HL59" s="33"/>
      <c r="HM59" s="33"/>
      <c r="HN59" s="33"/>
      <c r="HO59" s="33"/>
      <c r="HP59" s="33"/>
      <c r="HQ59" s="33"/>
      <c r="HR59" s="33"/>
      <c r="HS59" s="33"/>
      <c r="HT59" s="33"/>
      <c r="HU59" s="33"/>
      <c r="HV59" s="33"/>
      <c r="HW59" s="33"/>
      <c r="HX59" s="33"/>
      <c r="HY59" s="33"/>
      <c r="HZ59" s="33"/>
      <c r="IA59" s="33"/>
      <c r="IB59" s="33"/>
      <c r="IC59" s="33"/>
      <c r="ID59" s="33"/>
      <c r="IE59" s="33"/>
      <c r="IF59" s="33"/>
      <c r="IG59" s="33"/>
      <c r="IH59" s="33"/>
      <c r="II59" s="33"/>
      <c r="IJ59" s="33"/>
      <c r="IK59" s="33"/>
      <c r="IL59" s="33"/>
      <c r="IM59" s="33"/>
      <c r="IN59" s="33"/>
      <c r="IO59" s="33"/>
      <c r="IP59" s="33"/>
      <c r="IQ59" s="33"/>
      <c r="IR59" s="33"/>
      <c r="IS59" s="33"/>
      <c r="IT59" s="33"/>
      <c r="IU59" s="33"/>
      <c r="IV59" s="33"/>
      <c r="IW59" s="33"/>
      <c r="IX59" s="33"/>
      <c r="IY59" s="33"/>
      <c r="IZ59" s="33"/>
      <c r="JA59" s="33"/>
      <c r="JB59" s="33"/>
      <c r="JC59" s="33"/>
      <c r="JD59" s="33"/>
      <c r="JE59" s="33"/>
      <c r="JF59" s="33"/>
      <c r="JG59" s="33"/>
      <c r="JH59" s="33"/>
      <c r="JI59" s="33"/>
      <c r="JJ59" s="33"/>
      <c r="JK59" s="33"/>
      <c r="JL59" s="33"/>
      <c r="JM59" s="33"/>
      <c r="JN59" s="33"/>
      <c r="JO59" s="33"/>
      <c r="JP59" s="33"/>
      <c r="JQ59" s="33"/>
      <c r="JR59" s="33"/>
      <c r="JS59" s="33"/>
      <c r="JT59" s="33"/>
      <c r="JU59" s="33"/>
      <c r="JV59" s="33"/>
      <c r="JW59" s="33"/>
      <c r="JX59" s="33"/>
      <c r="JY59" s="33"/>
      <c r="JZ59" s="33"/>
      <c r="KA59" s="33"/>
      <c r="KB59" s="33"/>
      <c r="KC59" s="33"/>
      <c r="KD59" s="33"/>
      <c r="KE59" s="33"/>
      <c r="KF59" s="33"/>
      <c r="KG59" s="33"/>
      <c r="KH59" s="33"/>
      <c r="KI59" s="33"/>
      <c r="KJ59" s="33"/>
      <c r="KK59" s="33"/>
      <c r="KL59" s="33"/>
      <c r="KM59" s="33"/>
      <c r="KN59" s="33"/>
      <c r="KO59" s="33"/>
      <c r="KP59" s="33"/>
      <c r="KQ59" s="33"/>
      <c r="KR59" s="33"/>
      <c r="KS59" s="33"/>
      <c r="KT59" s="33"/>
      <c r="KU59" s="33"/>
      <c r="KV59" s="33"/>
      <c r="KW59" s="33"/>
      <c r="KX59" s="33"/>
      <c r="KY59" s="33"/>
      <c r="KZ59" s="33"/>
      <c r="LA59" s="33"/>
      <c r="LB59" s="33"/>
      <c r="LC59" s="33"/>
      <c r="LD59" s="33"/>
      <c r="LE59" s="33"/>
      <c r="LF59" s="33"/>
      <c r="LG59" s="33"/>
      <c r="LH59" s="33"/>
      <c r="LI59" s="33"/>
      <c r="LJ59" s="33"/>
      <c r="LK59" s="33"/>
      <c r="LL59" s="33"/>
      <c r="LM59" s="33"/>
      <c r="LN59" s="33"/>
      <c r="LO59" s="33"/>
      <c r="LP59" s="33"/>
      <c r="LQ59" s="33"/>
      <c r="LR59" s="33"/>
      <c r="LS59" s="33"/>
      <c r="LT59" s="33"/>
      <c r="LU59" s="33"/>
      <c r="LV59" s="33"/>
      <c r="LW59" s="33"/>
      <c r="LX59" s="33"/>
      <c r="LY59" s="33"/>
      <c r="LZ59" s="33"/>
      <c r="MA59" s="33"/>
      <c r="MB59" s="33"/>
      <c r="MC59" s="33"/>
      <c r="MD59" s="33"/>
      <c r="ME59" s="33"/>
      <c r="MF59" s="33"/>
      <c r="MG59" s="33"/>
      <c r="MH59" s="33"/>
      <c r="MI59" s="33"/>
      <c r="MJ59" s="33"/>
      <c r="MK59" s="33"/>
      <c r="ML59" s="33"/>
      <c r="MM59" s="33"/>
      <c r="MN59" s="33"/>
      <c r="MO59" s="33"/>
      <c r="MP59" s="33"/>
      <c r="MQ59" s="33"/>
      <c r="MR59" s="33"/>
      <c r="MS59" s="33"/>
      <c r="MT59" s="33"/>
      <c r="MU59" s="33"/>
      <c r="MV59" s="33"/>
      <c r="MW59" s="33"/>
      <c r="MX59" s="33"/>
      <c r="MY59" s="33"/>
      <c r="MZ59" s="33"/>
      <c r="NA59" s="33"/>
      <c r="NB59" s="33"/>
      <c r="NC59" s="33"/>
      <c r="ND59" s="33"/>
      <c r="NE59" s="33"/>
      <c r="NF59" s="33"/>
      <c r="NG59" s="33"/>
      <c r="NH59" s="33"/>
      <c r="NI59" s="33"/>
      <c r="NJ59" s="33"/>
      <c r="NK59" s="33"/>
      <c r="NL59" s="34"/>
    </row>
    <row r="60" spans="1:376" x14ac:dyDescent="0.15">
      <c r="A60" s="35">
        <f>A59</f>
        <v>24</v>
      </c>
      <c r="B60" s="36" t="str">
        <f>B59</f>
        <v>SD</v>
      </c>
      <c r="C60" s="36" t="str">
        <f>C59</f>
        <v>Webアプリ構造評価仕様書レビュー</v>
      </c>
      <c r="D60" s="37" t="str">
        <f>D59</f>
        <v>伊藤</v>
      </c>
      <c r="E60" s="53" t="s">
        <v>0</v>
      </c>
      <c r="F60" s="54"/>
      <c r="G60" s="54"/>
      <c r="H60" s="55">
        <f t="shared" si="229"/>
        <v>0</v>
      </c>
      <c r="I60" s="56">
        <f>IF(OR(H59="",H60=""),"",H60-H59)</f>
        <v>-4</v>
      </c>
      <c r="J60" s="57"/>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c r="BS60" s="59"/>
      <c r="BT60" s="59"/>
      <c r="BU60" s="59"/>
      <c r="BV60" s="59"/>
      <c r="BW60" s="59"/>
      <c r="BX60" s="59"/>
      <c r="BY60" s="59"/>
      <c r="BZ60" s="59"/>
      <c r="CA60" s="59"/>
      <c r="CB60" s="59"/>
      <c r="CC60" s="59"/>
      <c r="CD60" s="59"/>
      <c r="CE60" s="59"/>
      <c r="CF60" s="59"/>
      <c r="CG60" s="59"/>
      <c r="CH60" s="59"/>
      <c r="CI60" s="59"/>
      <c r="CJ60" s="59"/>
      <c r="CK60" s="59"/>
      <c r="CL60" s="59"/>
      <c r="CM60" s="59"/>
      <c r="CN60" s="59"/>
      <c r="CO60" s="59"/>
      <c r="CP60" s="59"/>
      <c r="CQ60" s="59"/>
      <c r="CR60" s="59"/>
      <c r="CS60" s="59"/>
      <c r="CT60" s="59"/>
      <c r="CU60" s="59"/>
      <c r="CV60" s="59"/>
      <c r="CW60" s="59"/>
      <c r="CX60" s="59"/>
      <c r="CY60" s="59"/>
      <c r="CZ60" s="59"/>
      <c r="DA60" s="59"/>
      <c r="DB60" s="59"/>
      <c r="DC60" s="59"/>
      <c r="DD60" s="59"/>
      <c r="DE60" s="59"/>
      <c r="DF60" s="59"/>
      <c r="DG60" s="59"/>
      <c r="DH60" s="59"/>
      <c r="DI60" s="59"/>
      <c r="DJ60" s="59"/>
      <c r="DK60" s="59"/>
      <c r="DL60" s="59"/>
      <c r="DM60" s="59"/>
      <c r="DN60" s="59"/>
      <c r="DO60" s="59"/>
      <c r="DP60" s="59"/>
      <c r="DQ60" s="59"/>
      <c r="DR60" s="59"/>
      <c r="DS60" s="59"/>
      <c r="DT60" s="59"/>
      <c r="DU60" s="59"/>
      <c r="DV60" s="59"/>
      <c r="DW60" s="59"/>
      <c r="DX60" s="59"/>
      <c r="DY60" s="59"/>
      <c r="DZ60" s="59"/>
      <c r="EA60" s="59"/>
      <c r="EB60" s="59"/>
      <c r="EC60" s="59"/>
      <c r="ED60" s="59"/>
      <c r="EE60" s="59"/>
      <c r="EF60" s="59"/>
      <c r="EG60" s="59"/>
      <c r="EH60" s="59"/>
      <c r="EI60" s="59"/>
      <c r="EJ60" s="59"/>
      <c r="EK60" s="59"/>
      <c r="EL60" s="59"/>
      <c r="EM60" s="59"/>
      <c r="EN60" s="59"/>
      <c r="EO60" s="59"/>
      <c r="EP60" s="59"/>
      <c r="EQ60" s="59"/>
      <c r="ER60" s="59"/>
      <c r="ES60" s="59"/>
      <c r="ET60" s="59"/>
      <c r="EU60" s="59"/>
      <c r="EV60" s="59"/>
      <c r="EW60" s="59"/>
      <c r="EX60" s="59"/>
      <c r="EY60" s="59"/>
      <c r="EZ60" s="59"/>
      <c r="FA60" s="59"/>
      <c r="FB60" s="59"/>
      <c r="FC60" s="59"/>
      <c r="FD60" s="59"/>
      <c r="FE60" s="59"/>
      <c r="FF60" s="59"/>
      <c r="FG60" s="59"/>
      <c r="FH60" s="59"/>
      <c r="FI60" s="59"/>
      <c r="FJ60" s="59"/>
      <c r="FK60" s="59"/>
      <c r="FL60" s="59"/>
      <c r="FM60" s="59"/>
      <c r="FN60" s="59"/>
      <c r="FO60" s="59"/>
      <c r="FP60" s="59"/>
      <c r="FQ60" s="59"/>
      <c r="FR60" s="59"/>
      <c r="FS60" s="59"/>
      <c r="FT60" s="59"/>
      <c r="FU60" s="59"/>
      <c r="FV60" s="59"/>
      <c r="FW60" s="59"/>
      <c r="FX60" s="59"/>
      <c r="FY60" s="59"/>
      <c r="FZ60" s="59"/>
      <c r="GA60" s="59"/>
      <c r="GB60" s="59"/>
      <c r="GC60" s="59"/>
      <c r="GD60" s="59"/>
      <c r="GE60" s="59"/>
      <c r="GF60" s="59"/>
      <c r="GG60" s="59"/>
      <c r="GH60" s="59"/>
      <c r="GI60" s="59"/>
      <c r="GJ60" s="59"/>
      <c r="GK60" s="59"/>
      <c r="GL60" s="59"/>
      <c r="GM60" s="59"/>
      <c r="GN60" s="59"/>
      <c r="GO60" s="59"/>
      <c r="GP60" s="59"/>
      <c r="GQ60" s="59"/>
      <c r="GR60" s="59"/>
      <c r="GS60" s="59"/>
      <c r="GT60" s="59"/>
      <c r="GU60" s="59"/>
      <c r="GV60" s="59"/>
      <c r="GW60" s="59"/>
      <c r="GX60" s="59"/>
      <c r="GY60" s="59"/>
      <c r="GZ60" s="59"/>
      <c r="HA60" s="59"/>
      <c r="HB60" s="59"/>
      <c r="HC60" s="59"/>
      <c r="HD60" s="59"/>
      <c r="HE60" s="59"/>
      <c r="HF60" s="59"/>
      <c r="HG60" s="59"/>
      <c r="HH60" s="59"/>
      <c r="HI60" s="59"/>
      <c r="HJ60" s="59"/>
      <c r="HK60" s="59"/>
      <c r="HL60" s="59"/>
      <c r="HM60" s="59"/>
      <c r="HN60" s="59"/>
      <c r="HO60" s="59"/>
      <c r="HP60" s="59"/>
      <c r="HQ60" s="59"/>
      <c r="HR60" s="59"/>
      <c r="HS60" s="59"/>
      <c r="HT60" s="59"/>
      <c r="HU60" s="59"/>
      <c r="HV60" s="59"/>
      <c r="HW60" s="59"/>
      <c r="HX60" s="59"/>
      <c r="HY60" s="59"/>
      <c r="HZ60" s="59"/>
      <c r="IA60" s="59"/>
      <c r="IB60" s="59"/>
      <c r="IC60" s="59"/>
      <c r="ID60" s="59"/>
      <c r="IE60" s="59"/>
      <c r="IF60" s="59"/>
      <c r="IG60" s="59"/>
      <c r="IH60" s="59"/>
      <c r="II60" s="59"/>
      <c r="IJ60" s="59"/>
      <c r="IK60" s="59"/>
      <c r="IL60" s="59"/>
      <c r="IM60" s="59"/>
      <c r="IN60" s="59"/>
      <c r="IO60" s="59"/>
      <c r="IP60" s="59"/>
      <c r="IQ60" s="59"/>
      <c r="IR60" s="59"/>
      <c r="IS60" s="59"/>
      <c r="IT60" s="59"/>
      <c r="IU60" s="59"/>
      <c r="IV60" s="59"/>
      <c r="IW60" s="59"/>
      <c r="IX60" s="59"/>
      <c r="IY60" s="59"/>
      <c r="IZ60" s="59"/>
      <c r="JA60" s="59"/>
      <c r="JB60" s="59"/>
      <c r="JC60" s="59"/>
      <c r="JD60" s="59"/>
      <c r="JE60" s="59"/>
      <c r="JF60" s="59"/>
      <c r="JG60" s="59"/>
      <c r="JH60" s="59"/>
      <c r="JI60" s="59"/>
      <c r="JJ60" s="59"/>
      <c r="JK60" s="59"/>
      <c r="JL60" s="59"/>
      <c r="JM60" s="59"/>
      <c r="JN60" s="59"/>
      <c r="JO60" s="59"/>
      <c r="JP60" s="59"/>
      <c r="JQ60" s="59"/>
      <c r="JR60" s="59"/>
      <c r="JS60" s="59"/>
      <c r="JT60" s="59"/>
      <c r="JU60" s="59"/>
      <c r="JV60" s="59"/>
      <c r="JW60" s="59"/>
      <c r="JX60" s="59"/>
      <c r="JY60" s="59"/>
      <c r="JZ60" s="59"/>
      <c r="KA60" s="59"/>
      <c r="KB60" s="59"/>
      <c r="KC60" s="59"/>
      <c r="KD60" s="59"/>
      <c r="KE60" s="59"/>
      <c r="KF60" s="59"/>
      <c r="KG60" s="59"/>
      <c r="KH60" s="59"/>
      <c r="KI60" s="59"/>
      <c r="KJ60" s="59"/>
      <c r="KK60" s="59"/>
      <c r="KL60" s="59"/>
      <c r="KM60" s="59"/>
      <c r="KN60" s="59"/>
      <c r="KO60" s="59"/>
      <c r="KP60" s="59"/>
      <c r="KQ60" s="59"/>
      <c r="KR60" s="59"/>
      <c r="KS60" s="59"/>
      <c r="KT60" s="59"/>
      <c r="KU60" s="59"/>
      <c r="KV60" s="59"/>
      <c r="KW60" s="59"/>
      <c r="KX60" s="59"/>
      <c r="KY60" s="59"/>
      <c r="KZ60" s="59"/>
      <c r="LA60" s="59"/>
      <c r="LB60" s="59"/>
      <c r="LC60" s="59"/>
      <c r="LD60" s="59"/>
      <c r="LE60" s="59"/>
      <c r="LF60" s="59"/>
      <c r="LG60" s="59"/>
      <c r="LH60" s="59"/>
      <c r="LI60" s="59"/>
      <c r="LJ60" s="59"/>
      <c r="LK60" s="59"/>
      <c r="LL60" s="59"/>
      <c r="LM60" s="59"/>
      <c r="LN60" s="59"/>
      <c r="LO60" s="59"/>
      <c r="LP60" s="59"/>
      <c r="LQ60" s="59"/>
      <c r="LR60" s="59"/>
      <c r="LS60" s="59"/>
      <c r="LT60" s="59"/>
      <c r="LU60" s="59"/>
      <c r="LV60" s="59"/>
      <c r="LW60" s="59"/>
      <c r="LX60" s="59"/>
      <c r="LY60" s="59"/>
      <c r="LZ60" s="59"/>
      <c r="MA60" s="59"/>
      <c r="MB60" s="59"/>
      <c r="MC60" s="59"/>
      <c r="MD60" s="59"/>
      <c r="ME60" s="59"/>
      <c r="MF60" s="59"/>
      <c r="MG60" s="59"/>
      <c r="MH60" s="59"/>
      <c r="MI60" s="59"/>
      <c r="MJ60" s="59"/>
      <c r="MK60" s="59"/>
      <c r="ML60" s="59"/>
      <c r="MM60" s="59"/>
      <c r="MN60" s="59"/>
      <c r="MO60" s="59"/>
      <c r="MP60" s="59"/>
      <c r="MQ60" s="59"/>
      <c r="MR60" s="59"/>
      <c r="MS60" s="59"/>
      <c r="MT60" s="59"/>
      <c r="MU60" s="59"/>
      <c r="MV60" s="59"/>
      <c r="MW60" s="59"/>
      <c r="MX60" s="59"/>
      <c r="MY60" s="59"/>
      <c r="MZ60" s="59"/>
      <c r="NA60" s="59"/>
      <c r="NB60" s="59"/>
      <c r="NC60" s="59"/>
      <c r="ND60" s="59"/>
      <c r="NE60" s="59"/>
      <c r="NF60" s="59"/>
      <c r="NG60" s="59"/>
      <c r="NH60" s="59"/>
      <c r="NI60" s="59"/>
      <c r="NJ60" s="59"/>
      <c r="NK60" s="59"/>
      <c r="NL60" s="60"/>
    </row>
    <row r="61" spans="1:376" x14ac:dyDescent="0.15">
      <c r="A61" s="23">
        <v>25</v>
      </c>
      <c r="B61" s="24" t="s">
        <v>131</v>
      </c>
      <c r="C61" s="45" t="s">
        <v>136</v>
      </c>
      <c r="D61" s="26" t="s">
        <v>165</v>
      </c>
      <c r="E61" s="27" t="s">
        <v>13</v>
      </c>
      <c r="F61" s="28">
        <v>42974</v>
      </c>
      <c r="G61" s="28">
        <v>42981</v>
      </c>
      <c r="H61" s="29">
        <f t="shared" si="229"/>
        <v>6</v>
      </c>
      <c r="I61" s="30"/>
      <c r="J61" s="31"/>
      <c r="K61" s="32"/>
      <c r="L61" s="32"/>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3"/>
      <c r="AQ61" s="33"/>
      <c r="AR61" s="33"/>
      <c r="AS61" s="33"/>
      <c r="AT61" s="33"/>
      <c r="AU61" s="33"/>
      <c r="AV61" s="33"/>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33"/>
      <c r="CG61" s="33"/>
      <c r="CH61" s="33"/>
      <c r="CI61" s="33"/>
      <c r="CJ61" s="33"/>
      <c r="CK61" s="33"/>
      <c r="CL61" s="33"/>
      <c r="CM61" s="33"/>
      <c r="CN61" s="33"/>
      <c r="CO61" s="33"/>
      <c r="CP61" s="33"/>
      <c r="CQ61" s="33"/>
      <c r="CR61" s="33"/>
      <c r="CS61" s="33"/>
      <c r="CT61" s="33"/>
      <c r="CU61" s="33"/>
      <c r="CV61" s="33"/>
      <c r="CW61" s="33"/>
      <c r="CX61" s="33"/>
      <c r="CY61" s="33"/>
      <c r="CZ61" s="33"/>
      <c r="DA61" s="33"/>
      <c r="DB61" s="33"/>
      <c r="DC61" s="33"/>
      <c r="DD61" s="33"/>
      <c r="DE61" s="33"/>
      <c r="DF61" s="33"/>
      <c r="DG61" s="33"/>
      <c r="DH61" s="33"/>
      <c r="DI61" s="33"/>
      <c r="DJ61" s="33"/>
      <c r="DK61" s="33"/>
      <c r="DL61" s="33"/>
      <c r="DM61" s="33"/>
      <c r="DN61" s="33"/>
      <c r="DO61" s="33"/>
      <c r="DP61" s="33"/>
      <c r="DQ61" s="33"/>
      <c r="DR61" s="33"/>
      <c r="DS61" s="33"/>
      <c r="DT61" s="33"/>
      <c r="DU61" s="33"/>
      <c r="DV61" s="33"/>
      <c r="DW61" s="33"/>
      <c r="DX61" s="33"/>
      <c r="DY61" s="33"/>
      <c r="DZ61" s="33"/>
      <c r="EA61" s="33"/>
      <c r="EB61" s="33"/>
      <c r="EC61" s="33"/>
      <c r="ED61" s="33"/>
      <c r="EE61" s="33"/>
      <c r="EF61" s="33"/>
      <c r="EG61" s="33"/>
      <c r="EH61" s="33"/>
      <c r="EI61" s="33"/>
      <c r="EJ61" s="33"/>
      <c r="EK61" s="33"/>
      <c r="EL61" s="33"/>
      <c r="EM61" s="33"/>
      <c r="EN61" s="33"/>
      <c r="EO61" s="33"/>
      <c r="EP61" s="33"/>
      <c r="EQ61" s="33"/>
      <c r="ER61" s="33"/>
      <c r="ES61" s="33"/>
      <c r="ET61" s="33"/>
      <c r="EU61" s="33"/>
      <c r="EV61" s="33"/>
      <c r="EW61" s="33"/>
      <c r="EX61" s="33"/>
      <c r="EY61" s="33"/>
      <c r="EZ61" s="33">
        <v>2</v>
      </c>
      <c r="FA61" s="33"/>
      <c r="FB61" s="33"/>
      <c r="FC61" s="33"/>
      <c r="FD61" s="33"/>
      <c r="FE61" s="33"/>
      <c r="FF61" s="33">
        <v>4</v>
      </c>
      <c r="FG61" s="33"/>
      <c r="FH61" s="33"/>
      <c r="FI61" s="33"/>
      <c r="FJ61" s="33"/>
      <c r="FK61" s="33"/>
      <c r="FL61" s="33"/>
      <c r="FM61" s="33"/>
      <c r="FN61" s="33"/>
      <c r="FO61" s="33"/>
      <c r="FP61" s="33"/>
      <c r="FQ61" s="33"/>
      <c r="FR61" s="33"/>
      <c r="FS61" s="33"/>
      <c r="FT61" s="33"/>
      <c r="FU61" s="33"/>
      <c r="FV61" s="33"/>
      <c r="FW61" s="33"/>
      <c r="FX61" s="33"/>
      <c r="FY61" s="33"/>
      <c r="FZ61" s="33"/>
      <c r="GA61" s="33"/>
      <c r="GB61" s="33"/>
      <c r="GC61" s="33"/>
      <c r="GD61" s="33"/>
      <c r="GE61" s="33"/>
      <c r="GF61" s="33"/>
      <c r="GG61" s="33"/>
      <c r="GH61" s="33"/>
      <c r="GI61" s="33"/>
      <c r="GJ61" s="33"/>
      <c r="GK61" s="33"/>
      <c r="GL61" s="33"/>
      <c r="GM61" s="33"/>
      <c r="GN61" s="33"/>
      <c r="GO61" s="33"/>
      <c r="GP61" s="33"/>
      <c r="GQ61" s="33"/>
      <c r="GR61" s="33"/>
      <c r="GS61" s="33"/>
      <c r="GT61" s="33"/>
      <c r="GU61" s="33"/>
      <c r="GV61" s="33"/>
      <c r="GW61" s="33"/>
      <c r="GX61" s="33"/>
      <c r="GY61" s="33"/>
      <c r="GZ61" s="33"/>
      <c r="HA61" s="33"/>
      <c r="HB61" s="33"/>
      <c r="HC61" s="33"/>
      <c r="HD61" s="33"/>
      <c r="HE61" s="33"/>
      <c r="HF61" s="33"/>
      <c r="HG61" s="33"/>
      <c r="HH61" s="33"/>
      <c r="HI61" s="33"/>
      <c r="HJ61" s="33"/>
      <c r="HK61" s="33"/>
      <c r="HL61" s="33"/>
      <c r="HM61" s="33"/>
      <c r="HN61" s="33"/>
      <c r="HO61" s="33"/>
      <c r="HP61" s="33"/>
      <c r="HQ61" s="33"/>
      <c r="HR61" s="33"/>
      <c r="HS61" s="33"/>
      <c r="HT61" s="33"/>
      <c r="HU61" s="33"/>
      <c r="HV61" s="33"/>
      <c r="HW61" s="33"/>
      <c r="HX61" s="33"/>
      <c r="HY61" s="33"/>
      <c r="HZ61" s="33"/>
      <c r="IA61" s="33"/>
      <c r="IB61" s="33"/>
      <c r="IC61" s="33"/>
      <c r="ID61" s="33"/>
      <c r="IE61" s="33"/>
      <c r="IF61" s="33"/>
      <c r="IG61" s="33"/>
      <c r="IH61" s="33"/>
      <c r="II61" s="33"/>
      <c r="IJ61" s="33"/>
      <c r="IK61" s="33"/>
      <c r="IL61" s="33"/>
      <c r="IM61" s="33"/>
      <c r="IN61" s="33"/>
      <c r="IO61" s="33"/>
      <c r="IP61" s="33"/>
      <c r="IQ61" s="33"/>
      <c r="IR61" s="33"/>
      <c r="IS61" s="33"/>
      <c r="IT61" s="33"/>
      <c r="IU61" s="33"/>
      <c r="IV61" s="33"/>
      <c r="IW61" s="33"/>
      <c r="IX61" s="33"/>
      <c r="IY61" s="33"/>
      <c r="IZ61" s="33"/>
      <c r="JA61" s="33"/>
      <c r="JB61" s="33"/>
      <c r="JC61" s="33"/>
      <c r="JD61" s="33"/>
      <c r="JE61" s="33"/>
      <c r="JF61" s="33"/>
      <c r="JG61" s="33"/>
      <c r="JH61" s="33"/>
      <c r="JI61" s="33"/>
      <c r="JJ61" s="33"/>
      <c r="JK61" s="33"/>
      <c r="JL61" s="33"/>
      <c r="JM61" s="33"/>
      <c r="JN61" s="33"/>
      <c r="JO61" s="33"/>
      <c r="JP61" s="33"/>
      <c r="JQ61" s="33"/>
      <c r="JR61" s="33"/>
      <c r="JS61" s="33"/>
      <c r="JT61" s="33"/>
      <c r="JU61" s="33"/>
      <c r="JV61" s="33"/>
      <c r="JW61" s="33"/>
      <c r="JX61" s="33"/>
      <c r="JY61" s="33"/>
      <c r="JZ61" s="33"/>
      <c r="KA61" s="33"/>
      <c r="KB61" s="33"/>
      <c r="KC61" s="33"/>
      <c r="KD61" s="33"/>
      <c r="KE61" s="33"/>
      <c r="KF61" s="33"/>
      <c r="KG61" s="33"/>
      <c r="KH61" s="33"/>
      <c r="KI61" s="33"/>
      <c r="KJ61" s="33"/>
      <c r="KK61" s="33"/>
      <c r="KL61" s="33"/>
      <c r="KM61" s="33"/>
      <c r="KN61" s="33"/>
      <c r="KO61" s="33"/>
      <c r="KP61" s="33"/>
      <c r="KQ61" s="33"/>
      <c r="KR61" s="33"/>
      <c r="KS61" s="33"/>
      <c r="KT61" s="33"/>
      <c r="KU61" s="33"/>
      <c r="KV61" s="33"/>
      <c r="KW61" s="33"/>
      <c r="KX61" s="33"/>
      <c r="KY61" s="33"/>
      <c r="KZ61" s="33"/>
      <c r="LA61" s="33"/>
      <c r="LB61" s="33"/>
      <c r="LC61" s="33"/>
      <c r="LD61" s="33"/>
      <c r="LE61" s="33"/>
      <c r="LF61" s="33"/>
      <c r="LG61" s="33"/>
      <c r="LH61" s="33"/>
      <c r="LI61" s="33"/>
      <c r="LJ61" s="33"/>
      <c r="LK61" s="33"/>
      <c r="LL61" s="33"/>
      <c r="LM61" s="33"/>
      <c r="LN61" s="33"/>
      <c r="LO61" s="33"/>
      <c r="LP61" s="33"/>
      <c r="LQ61" s="33"/>
      <c r="LR61" s="33"/>
      <c r="LS61" s="33"/>
      <c r="LT61" s="33"/>
      <c r="LU61" s="33"/>
      <c r="LV61" s="33"/>
      <c r="LW61" s="33"/>
      <c r="LX61" s="33"/>
      <c r="LY61" s="33"/>
      <c r="LZ61" s="33"/>
      <c r="MA61" s="33"/>
      <c r="MB61" s="33"/>
      <c r="MC61" s="33"/>
      <c r="MD61" s="33"/>
      <c r="ME61" s="33"/>
      <c r="MF61" s="33"/>
      <c r="MG61" s="33"/>
      <c r="MH61" s="33"/>
      <c r="MI61" s="33"/>
      <c r="MJ61" s="33"/>
      <c r="MK61" s="33"/>
      <c r="ML61" s="33"/>
      <c r="MM61" s="33"/>
      <c r="MN61" s="33"/>
      <c r="MO61" s="33"/>
      <c r="MP61" s="33"/>
      <c r="MQ61" s="33"/>
      <c r="MR61" s="33"/>
      <c r="MS61" s="33"/>
      <c r="MT61" s="33"/>
      <c r="MU61" s="33"/>
      <c r="MV61" s="33"/>
      <c r="MW61" s="33"/>
      <c r="MX61" s="33"/>
      <c r="MY61" s="33"/>
      <c r="MZ61" s="33"/>
      <c r="NA61" s="33"/>
      <c r="NB61" s="33"/>
      <c r="NC61" s="33"/>
      <c r="ND61" s="33"/>
      <c r="NE61" s="33"/>
      <c r="NF61" s="33"/>
      <c r="NG61" s="33"/>
      <c r="NH61" s="33"/>
      <c r="NI61" s="33"/>
      <c r="NJ61" s="33"/>
      <c r="NK61" s="33"/>
      <c r="NL61" s="34"/>
    </row>
    <row r="62" spans="1:376" x14ac:dyDescent="0.15">
      <c r="A62" s="35">
        <f>A61</f>
        <v>25</v>
      </c>
      <c r="B62" s="36" t="str">
        <f>B61</f>
        <v>SD</v>
      </c>
      <c r="C62" s="36" t="str">
        <f>C61</f>
        <v>Webアプリ構造評価仕様書レビュー指摘対応</v>
      </c>
      <c r="D62" s="37" t="str">
        <f>D61</f>
        <v>高澤</v>
      </c>
      <c r="E62" s="53" t="s">
        <v>0</v>
      </c>
      <c r="F62" s="54"/>
      <c r="G62" s="54"/>
      <c r="H62" s="55">
        <f t="shared" si="229"/>
        <v>0</v>
      </c>
      <c r="I62" s="56">
        <f>IF(OR(H61="",H62=""),"",H62-H61)</f>
        <v>-6</v>
      </c>
      <c r="J62" s="57"/>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c r="BS62" s="59"/>
      <c r="BT62" s="59"/>
      <c r="BU62" s="59"/>
      <c r="BV62" s="59"/>
      <c r="BW62" s="59"/>
      <c r="BX62" s="59"/>
      <c r="BY62" s="59"/>
      <c r="BZ62" s="59"/>
      <c r="CA62" s="59"/>
      <c r="CB62" s="59"/>
      <c r="CC62" s="59"/>
      <c r="CD62" s="59"/>
      <c r="CE62" s="59"/>
      <c r="CF62" s="59"/>
      <c r="CG62" s="59"/>
      <c r="CH62" s="59"/>
      <c r="CI62" s="59"/>
      <c r="CJ62" s="59"/>
      <c r="CK62" s="59"/>
      <c r="CL62" s="59"/>
      <c r="CM62" s="59"/>
      <c r="CN62" s="59"/>
      <c r="CO62" s="59"/>
      <c r="CP62" s="59"/>
      <c r="CQ62" s="59"/>
      <c r="CR62" s="59"/>
      <c r="CS62" s="59"/>
      <c r="CT62" s="59"/>
      <c r="CU62" s="59"/>
      <c r="CV62" s="59"/>
      <c r="CW62" s="59"/>
      <c r="CX62" s="59"/>
      <c r="CY62" s="59"/>
      <c r="CZ62" s="59"/>
      <c r="DA62" s="59"/>
      <c r="DB62" s="59"/>
      <c r="DC62" s="59"/>
      <c r="DD62" s="59"/>
      <c r="DE62" s="59"/>
      <c r="DF62" s="59"/>
      <c r="DG62" s="59"/>
      <c r="DH62" s="59"/>
      <c r="DI62" s="59"/>
      <c r="DJ62" s="59"/>
      <c r="DK62" s="59"/>
      <c r="DL62" s="59"/>
      <c r="DM62" s="59"/>
      <c r="DN62" s="59"/>
      <c r="DO62" s="59"/>
      <c r="DP62" s="59"/>
      <c r="DQ62" s="59"/>
      <c r="DR62" s="59"/>
      <c r="DS62" s="59"/>
      <c r="DT62" s="59"/>
      <c r="DU62" s="59"/>
      <c r="DV62" s="59"/>
      <c r="DW62" s="59"/>
      <c r="DX62" s="59"/>
      <c r="DY62" s="59"/>
      <c r="DZ62" s="59"/>
      <c r="EA62" s="59"/>
      <c r="EB62" s="59"/>
      <c r="EC62" s="59"/>
      <c r="ED62" s="59"/>
      <c r="EE62" s="59"/>
      <c r="EF62" s="59"/>
      <c r="EG62" s="59"/>
      <c r="EH62" s="59"/>
      <c r="EI62" s="59"/>
      <c r="EJ62" s="59"/>
      <c r="EK62" s="59"/>
      <c r="EL62" s="59"/>
      <c r="EM62" s="59"/>
      <c r="EN62" s="59"/>
      <c r="EO62" s="59"/>
      <c r="EP62" s="59"/>
      <c r="EQ62" s="59"/>
      <c r="ER62" s="59"/>
      <c r="ES62" s="59"/>
      <c r="ET62" s="59"/>
      <c r="EU62" s="59"/>
      <c r="EV62" s="59"/>
      <c r="EW62" s="59"/>
      <c r="EX62" s="59"/>
      <c r="EY62" s="59"/>
      <c r="EZ62" s="59"/>
      <c r="FA62" s="59"/>
      <c r="FB62" s="59"/>
      <c r="FC62" s="59"/>
      <c r="FD62" s="59"/>
      <c r="FE62" s="59"/>
      <c r="FF62" s="59"/>
      <c r="FG62" s="59"/>
      <c r="FH62" s="59"/>
      <c r="FI62" s="59"/>
      <c r="FJ62" s="59"/>
      <c r="FK62" s="59"/>
      <c r="FL62" s="59"/>
      <c r="FM62" s="59"/>
      <c r="FN62" s="59"/>
      <c r="FO62" s="59"/>
      <c r="FP62" s="59"/>
      <c r="FQ62" s="59"/>
      <c r="FR62" s="59"/>
      <c r="FS62" s="59"/>
      <c r="FT62" s="59"/>
      <c r="FU62" s="59"/>
      <c r="FV62" s="59"/>
      <c r="FW62" s="59"/>
      <c r="FX62" s="59"/>
      <c r="FY62" s="59"/>
      <c r="FZ62" s="59"/>
      <c r="GA62" s="59"/>
      <c r="GB62" s="59"/>
      <c r="GC62" s="59"/>
      <c r="GD62" s="59"/>
      <c r="GE62" s="59"/>
      <c r="GF62" s="59"/>
      <c r="GG62" s="59"/>
      <c r="GH62" s="59"/>
      <c r="GI62" s="59"/>
      <c r="GJ62" s="59"/>
      <c r="GK62" s="59"/>
      <c r="GL62" s="59"/>
      <c r="GM62" s="59"/>
      <c r="GN62" s="59"/>
      <c r="GO62" s="59"/>
      <c r="GP62" s="59"/>
      <c r="GQ62" s="59"/>
      <c r="GR62" s="59"/>
      <c r="GS62" s="59"/>
      <c r="GT62" s="59"/>
      <c r="GU62" s="59"/>
      <c r="GV62" s="59"/>
      <c r="GW62" s="59"/>
      <c r="GX62" s="59"/>
      <c r="GY62" s="59"/>
      <c r="GZ62" s="59"/>
      <c r="HA62" s="59"/>
      <c r="HB62" s="59"/>
      <c r="HC62" s="59"/>
      <c r="HD62" s="59"/>
      <c r="HE62" s="59"/>
      <c r="HF62" s="59"/>
      <c r="HG62" s="59"/>
      <c r="HH62" s="59"/>
      <c r="HI62" s="59"/>
      <c r="HJ62" s="59"/>
      <c r="HK62" s="59"/>
      <c r="HL62" s="59"/>
      <c r="HM62" s="59"/>
      <c r="HN62" s="59"/>
      <c r="HO62" s="59"/>
      <c r="HP62" s="59"/>
      <c r="HQ62" s="59"/>
      <c r="HR62" s="59"/>
      <c r="HS62" s="59"/>
      <c r="HT62" s="59"/>
      <c r="HU62" s="59"/>
      <c r="HV62" s="59"/>
      <c r="HW62" s="59"/>
      <c r="HX62" s="59"/>
      <c r="HY62" s="59"/>
      <c r="HZ62" s="59"/>
      <c r="IA62" s="59"/>
      <c r="IB62" s="59"/>
      <c r="IC62" s="59"/>
      <c r="ID62" s="59"/>
      <c r="IE62" s="59"/>
      <c r="IF62" s="59"/>
      <c r="IG62" s="59"/>
      <c r="IH62" s="59"/>
      <c r="II62" s="59"/>
      <c r="IJ62" s="59"/>
      <c r="IK62" s="59"/>
      <c r="IL62" s="59"/>
      <c r="IM62" s="59"/>
      <c r="IN62" s="59"/>
      <c r="IO62" s="59"/>
      <c r="IP62" s="59"/>
      <c r="IQ62" s="59"/>
      <c r="IR62" s="59"/>
      <c r="IS62" s="59"/>
      <c r="IT62" s="59"/>
      <c r="IU62" s="59"/>
      <c r="IV62" s="59"/>
      <c r="IW62" s="59"/>
      <c r="IX62" s="59"/>
      <c r="IY62" s="59"/>
      <c r="IZ62" s="59"/>
      <c r="JA62" s="59"/>
      <c r="JB62" s="59"/>
      <c r="JC62" s="59"/>
      <c r="JD62" s="59"/>
      <c r="JE62" s="59"/>
      <c r="JF62" s="59"/>
      <c r="JG62" s="59"/>
      <c r="JH62" s="59"/>
      <c r="JI62" s="59"/>
      <c r="JJ62" s="59"/>
      <c r="JK62" s="59"/>
      <c r="JL62" s="59"/>
      <c r="JM62" s="59"/>
      <c r="JN62" s="59"/>
      <c r="JO62" s="59"/>
      <c r="JP62" s="59"/>
      <c r="JQ62" s="59"/>
      <c r="JR62" s="59"/>
      <c r="JS62" s="59"/>
      <c r="JT62" s="59"/>
      <c r="JU62" s="59"/>
      <c r="JV62" s="59"/>
      <c r="JW62" s="59"/>
      <c r="JX62" s="59"/>
      <c r="JY62" s="59"/>
      <c r="JZ62" s="59"/>
      <c r="KA62" s="59"/>
      <c r="KB62" s="59"/>
      <c r="KC62" s="59"/>
      <c r="KD62" s="59"/>
      <c r="KE62" s="59"/>
      <c r="KF62" s="59"/>
      <c r="KG62" s="59"/>
      <c r="KH62" s="59"/>
      <c r="KI62" s="59"/>
      <c r="KJ62" s="59"/>
      <c r="KK62" s="59"/>
      <c r="KL62" s="59"/>
      <c r="KM62" s="59"/>
      <c r="KN62" s="59"/>
      <c r="KO62" s="59"/>
      <c r="KP62" s="59"/>
      <c r="KQ62" s="59"/>
      <c r="KR62" s="59"/>
      <c r="KS62" s="59"/>
      <c r="KT62" s="59"/>
      <c r="KU62" s="59"/>
      <c r="KV62" s="59"/>
      <c r="KW62" s="59"/>
      <c r="KX62" s="59"/>
      <c r="KY62" s="59"/>
      <c r="KZ62" s="59"/>
      <c r="LA62" s="59"/>
      <c r="LB62" s="59"/>
      <c r="LC62" s="59"/>
      <c r="LD62" s="59"/>
      <c r="LE62" s="59"/>
      <c r="LF62" s="59"/>
      <c r="LG62" s="59"/>
      <c r="LH62" s="59"/>
      <c r="LI62" s="59"/>
      <c r="LJ62" s="59"/>
      <c r="LK62" s="59"/>
      <c r="LL62" s="59"/>
      <c r="LM62" s="59"/>
      <c r="LN62" s="59"/>
      <c r="LO62" s="59"/>
      <c r="LP62" s="59"/>
      <c r="LQ62" s="59"/>
      <c r="LR62" s="59"/>
      <c r="LS62" s="59"/>
      <c r="LT62" s="59"/>
      <c r="LU62" s="59"/>
      <c r="LV62" s="59"/>
      <c r="LW62" s="59"/>
      <c r="LX62" s="59"/>
      <c r="LY62" s="59"/>
      <c r="LZ62" s="59"/>
      <c r="MA62" s="59"/>
      <c r="MB62" s="59"/>
      <c r="MC62" s="59"/>
      <c r="MD62" s="59"/>
      <c r="ME62" s="59"/>
      <c r="MF62" s="59"/>
      <c r="MG62" s="59"/>
      <c r="MH62" s="59"/>
      <c r="MI62" s="59"/>
      <c r="MJ62" s="59"/>
      <c r="MK62" s="59"/>
      <c r="ML62" s="59"/>
      <c r="MM62" s="59"/>
      <c r="MN62" s="59"/>
      <c r="MO62" s="59"/>
      <c r="MP62" s="59"/>
      <c r="MQ62" s="59"/>
      <c r="MR62" s="59"/>
      <c r="MS62" s="59"/>
      <c r="MT62" s="59"/>
      <c r="MU62" s="59"/>
      <c r="MV62" s="59"/>
      <c r="MW62" s="59"/>
      <c r="MX62" s="59"/>
      <c r="MY62" s="59"/>
      <c r="MZ62" s="59"/>
      <c r="NA62" s="59"/>
      <c r="NB62" s="59"/>
      <c r="NC62" s="59"/>
      <c r="ND62" s="59"/>
      <c r="NE62" s="59"/>
      <c r="NF62" s="59"/>
      <c r="NG62" s="59"/>
      <c r="NH62" s="59"/>
      <c r="NI62" s="59"/>
      <c r="NJ62" s="59"/>
      <c r="NK62" s="59"/>
      <c r="NL62" s="60"/>
    </row>
    <row r="63" spans="1:376" x14ac:dyDescent="0.15">
      <c r="A63" s="23">
        <v>26</v>
      </c>
      <c r="B63" s="24" t="s">
        <v>131</v>
      </c>
      <c r="C63" s="45" t="s">
        <v>137</v>
      </c>
      <c r="D63" s="26" t="s">
        <v>166</v>
      </c>
      <c r="E63" s="27" t="s">
        <v>13</v>
      </c>
      <c r="F63" s="28">
        <v>42933</v>
      </c>
      <c r="G63" s="28">
        <v>42973</v>
      </c>
      <c r="H63" s="29">
        <f t="shared" si="229"/>
        <v>24</v>
      </c>
      <c r="I63" s="30"/>
      <c r="J63" s="31"/>
      <c r="K63" s="32"/>
      <c r="L63" s="32"/>
      <c r="M63" s="32"/>
      <c r="N63" s="32"/>
      <c r="O63" s="32"/>
      <c r="P63" s="32"/>
      <c r="Q63" s="32"/>
      <c r="R63" s="32"/>
      <c r="S63" s="32"/>
      <c r="T63" s="32"/>
      <c r="U63" s="32"/>
      <c r="V63" s="32"/>
      <c r="W63" s="32"/>
      <c r="X63" s="32"/>
      <c r="Y63" s="32"/>
      <c r="Z63" s="32"/>
      <c r="AA63" s="32"/>
      <c r="AB63" s="32"/>
      <c r="AC63" s="32"/>
      <c r="AD63" s="32"/>
      <c r="AE63" s="32"/>
      <c r="AF63" s="32"/>
      <c r="AG63" s="32"/>
      <c r="AH63" s="32"/>
      <c r="AI63" s="32"/>
      <c r="AJ63" s="32"/>
      <c r="AK63" s="32"/>
      <c r="AL63" s="32"/>
      <c r="AM63" s="32"/>
      <c r="AN63" s="32"/>
      <c r="AO63" s="32"/>
      <c r="AP63" s="33"/>
      <c r="AQ63" s="33"/>
      <c r="AR63" s="33"/>
      <c r="AS63" s="33"/>
      <c r="AT63" s="33"/>
      <c r="AU63" s="33"/>
      <c r="AV63" s="33"/>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33"/>
      <c r="CG63" s="33"/>
      <c r="CH63" s="33"/>
      <c r="CI63" s="33"/>
      <c r="CJ63" s="33"/>
      <c r="CK63" s="33"/>
      <c r="CL63" s="33"/>
      <c r="CM63" s="33"/>
      <c r="CN63" s="33"/>
      <c r="CO63" s="33"/>
      <c r="CP63" s="33"/>
      <c r="CQ63" s="33"/>
      <c r="CR63" s="33"/>
      <c r="CS63" s="33"/>
      <c r="CT63" s="33"/>
      <c r="CU63" s="33"/>
      <c r="CV63" s="33"/>
      <c r="CW63" s="33"/>
      <c r="CX63" s="33"/>
      <c r="CY63" s="33"/>
      <c r="CZ63" s="33"/>
      <c r="DA63" s="33"/>
      <c r="DB63" s="33"/>
      <c r="DC63" s="33"/>
      <c r="DD63" s="33"/>
      <c r="DE63" s="33"/>
      <c r="DF63" s="33"/>
      <c r="DG63" s="33"/>
      <c r="DH63" s="33"/>
      <c r="DI63" s="33"/>
      <c r="DJ63" s="33"/>
      <c r="DK63" s="33"/>
      <c r="DL63" s="33"/>
      <c r="DM63" s="33"/>
      <c r="DN63" s="33"/>
      <c r="DO63" s="33"/>
      <c r="DP63" s="33">
        <v>4</v>
      </c>
      <c r="DQ63" s="33"/>
      <c r="DR63" s="33"/>
      <c r="DS63" s="33"/>
      <c r="DT63" s="33"/>
      <c r="DU63" s="33"/>
      <c r="DV63" s="33"/>
      <c r="DW63" s="33">
        <v>4</v>
      </c>
      <c r="DX63" s="33"/>
      <c r="DY63" s="33"/>
      <c r="DZ63" s="33"/>
      <c r="EA63" s="33"/>
      <c r="EB63" s="33"/>
      <c r="EC63" s="33"/>
      <c r="ED63" s="33">
        <v>4</v>
      </c>
      <c r="EE63" s="33"/>
      <c r="EF63" s="33"/>
      <c r="EG63" s="33"/>
      <c r="EH63" s="33"/>
      <c r="EI63" s="33"/>
      <c r="EJ63" s="33"/>
      <c r="EK63" s="33">
        <v>4</v>
      </c>
      <c r="EL63" s="33"/>
      <c r="EM63" s="33"/>
      <c r="EN63" s="33"/>
      <c r="EO63" s="33"/>
      <c r="EP63" s="33"/>
      <c r="EQ63" s="33"/>
      <c r="ER63" s="33">
        <v>4</v>
      </c>
      <c r="ES63" s="33"/>
      <c r="ET63" s="33"/>
      <c r="EU63" s="33"/>
      <c r="EV63" s="33"/>
      <c r="EW63" s="33"/>
      <c r="EX63" s="33"/>
      <c r="EY63" s="33">
        <v>4</v>
      </c>
      <c r="EZ63" s="33"/>
      <c r="FA63" s="33"/>
      <c r="FB63" s="33"/>
      <c r="FC63" s="33"/>
      <c r="FD63" s="33"/>
      <c r="FE63" s="33"/>
      <c r="FF63" s="33"/>
      <c r="FG63" s="33"/>
      <c r="FH63" s="33"/>
      <c r="FI63" s="33"/>
      <c r="FJ63" s="33"/>
      <c r="FK63" s="33"/>
      <c r="FL63" s="33"/>
      <c r="FM63" s="33"/>
      <c r="FN63" s="33"/>
      <c r="FO63" s="33"/>
      <c r="FP63" s="33"/>
      <c r="FQ63" s="33"/>
      <c r="FR63" s="33"/>
      <c r="FS63" s="33"/>
      <c r="FT63" s="33"/>
      <c r="FU63" s="33"/>
      <c r="FV63" s="33"/>
      <c r="FW63" s="33"/>
      <c r="FX63" s="33"/>
      <c r="FY63" s="33"/>
      <c r="FZ63" s="33"/>
      <c r="GA63" s="33"/>
      <c r="GB63" s="33"/>
      <c r="GC63" s="33"/>
      <c r="GD63" s="33"/>
      <c r="GE63" s="33"/>
      <c r="GF63" s="33"/>
      <c r="GG63" s="33"/>
      <c r="GH63" s="33"/>
      <c r="GI63" s="33"/>
      <c r="GJ63" s="33"/>
      <c r="GK63" s="33"/>
      <c r="GL63" s="33"/>
      <c r="GM63" s="33"/>
      <c r="GN63" s="33"/>
      <c r="GO63" s="33"/>
      <c r="GP63" s="33"/>
      <c r="GQ63" s="33"/>
      <c r="GR63" s="33"/>
      <c r="GS63" s="33"/>
      <c r="GT63" s="33"/>
      <c r="GU63" s="33"/>
      <c r="GV63" s="33"/>
      <c r="GW63" s="33"/>
      <c r="GX63" s="33"/>
      <c r="GY63" s="33"/>
      <c r="GZ63" s="33"/>
      <c r="HA63" s="33"/>
      <c r="HB63" s="33"/>
      <c r="HC63" s="33"/>
      <c r="HD63" s="33"/>
      <c r="HE63" s="33"/>
      <c r="HF63" s="33"/>
      <c r="HG63" s="33"/>
      <c r="HH63" s="33"/>
      <c r="HI63" s="33"/>
      <c r="HJ63" s="33"/>
      <c r="HK63" s="33"/>
      <c r="HL63" s="33"/>
      <c r="HM63" s="33"/>
      <c r="HN63" s="33"/>
      <c r="HO63" s="33"/>
      <c r="HP63" s="33"/>
      <c r="HQ63" s="33"/>
      <c r="HR63" s="33"/>
      <c r="HS63" s="33"/>
      <c r="HT63" s="33"/>
      <c r="HU63" s="33"/>
      <c r="HV63" s="33"/>
      <c r="HW63" s="33"/>
      <c r="HX63" s="33"/>
      <c r="HY63" s="33"/>
      <c r="HZ63" s="33"/>
      <c r="IA63" s="33"/>
      <c r="IB63" s="33"/>
      <c r="IC63" s="33"/>
      <c r="ID63" s="33"/>
      <c r="IE63" s="33"/>
      <c r="IF63" s="33"/>
      <c r="IG63" s="33"/>
      <c r="IH63" s="33"/>
      <c r="II63" s="33"/>
      <c r="IJ63" s="33"/>
      <c r="IK63" s="33"/>
      <c r="IL63" s="33"/>
      <c r="IM63" s="33"/>
      <c r="IN63" s="33"/>
      <c r="IO63" s="33"/>
      <c r="IP63" s="33"/>
      <c r="IQ63" s="33"/>
      <c r="IR63" s="33"/>
      <c r="IS63" s="33"/>
      <c r="IT63" s="33"/>
      <c r="IU63" s="33"/>
      <c r="IV63" s="33"/>
      <c r="IW63" s="33"/>
      <c r="IX63" s="33"/>
      <c r="IY63" s="33"/>
      <c r="IZ63" s="33"/>
      <c r="JA63" s="33"/>
      <c r="JB63" s="33"/>
      <c r="JC63" s="33"/>
      <c r="JD63" s="33"/>
      <c r="JE63" s="33"/>
      <c r="JF63" s="33"/>
      <c r="JG63" s="33"/>
      <c r="JH63" s="33"/>
      <c r="JI63" s="33"/>
      <c r="JJ63" s="33"/>
      <c r="JK63" s="33"/>
      <c r="JL63" s="33"/>
      <c r="JM63" s="33"/>
      <c r="JN63" s="33"/>
      <c r="JO63" s="33"/>
      <c r="JP63" s="33"/>
      <c r="JQ63" s="33"/>
      <c r="JR63" s="33"/>
      <c r="JS63" s="33"/>
      <c r="JT63" s="33"/>
      <c r="JU63" s="33"/>
      <c r="JV63" s="33"/>
      <c r="JW63" s="33"/>
      <c r="JX63" s="33"/>
      <c r="JY63" s="33"/>
      <c r="JZ63" s="33"/>
      <c r="KA63" s="33"/>
      <c r="KB63" s="33"/>
      <c r="KC63" s="33"/>
      <c r="KD63" s="33"/>
      <c r="KE63" s="33"/>
      <c r="KF63" s="33"/>
      <c r="KG63" s="33"/>
      <c r="KH63" s="33"/>
      <c r="KI63" s="33"/>
      <c r="KJ63" s="33"/>
      <c r="KK63" s="33"/>
      <c r="KL63" s="33"/>
      <c r="KM63" s="33"/>
      <c r="KN63" s="33"/>
      <c r="KO63" s="33"/>
      <c r="KP63" s="33"/>
      <c r="KQ63" s="33"/>
      <c r="KR63" s="33"/>
      <c r="KS63" s="33"/>
      <c r="KT63" s="33"/>
      <c r="KU63" s="33"/>
      <c r="KV63" s="33"/>
      <c r="KW63" s="33"/>
      <c r="KX63" s="33"/>
      <c r="KY63" s="33"/>
      <c r="KZ63" s="33"/>
      <c r="LA63" s="33"/>
      <c r="LB63" s="33"/>
      <c r="LC63" s="33"/>
      <c r="LD63" s="33"/>
      <c r="LE63" s="33"/>
      <c r="LF63" s="33"/>
      <c r="LG63" s="33"/>
      <c r="LH63" s="33"/>
      <c r="LI63" s="33"/>
      <c r="LJ63" s="33"/>
      <c r="LK63" s="33"/>
      <c r="LL63" s="33"/>
      <c r="LM63" s="33"/>
      <c r="LN63" s="33"/>
      <c r="LO63" s="33"/>
      <c r="LP63" s="33"/>
      <c r="LQ63" s="33"/>
      <c r="LR63" s="33"/>
      <c r="LS63" s="33"/>
      <c r="LT63" s="33"/>
      <c r="LU63" s="33"/>
      <c r="LV63" s="33"/>
      <c r="LW63" s="33"/>
      <c r="LX63" s="33"/>
      <c r="LY63" s="33"/>
      <c r="LZ63" s="33"/>
      <c r="MA63" s="33"/>
      <c r="MB63" s="33"/>
      <c r="MC63" s="33"/>
      <c r="MD63" s="33"/>
      <c r="ME63" s="33"/>
      <c r="MF63" s="33"/>
      <c r="MG63" s="33"/>
      <c r="MH63" s="33"/>
      <c r="MI63" s="33"/>
      <c r="MJ63" s="33"/>
      <c r="MK63" s="33"/>
      <c r="ML63" s="33"/>
      <c r="MM63" s="33"/>
      <c r="MN63" s="33"/>
      <c r="MO63" s="33"/>
      <c r="MP63" s="33"/>
      <c r="MQ63" s="33"/>
      <c r="MR63" s="33"/>
      <c r="MS63" s="33"/>
      <c r="MT63" s="33"/>
      <c r="MU63" s="33"/>
      <c r="MV63" s="33"/>
      <c r="MW63" s="33"/>
      <c r="MX63" s="33"/>
      <c r="MY63" s="33"/>
      <c r="MZ63" s="33"/>
      <c r="NA63" s="33"/>
      <c r="NB63" s="33"/>
      <c r="NC63" s="33"/>
      <c r="ND63" s="33"/>
      <c r="NE63" s="33"/>
      <c r="NF63" s="33"/>
      <c r="NG63" s="33"/>
      <c r="NH63" s="33"/>
      <c r="NI63" s="33"/>
      <c r="NJ63" s="33"/>
      <c r="NK63" s="33"/>
      <c r="NL63" s="34"/>
    </row>
    <row r="64" spans="1:376" x14ac:dyDescent="0.15">
      <c r="A64" s="35">
        <f>A63</f>
        <v>26</v>
      </c>
      <c r="B64" s="36" t="str">
        <f>B63</f>
        <v>SD</v>
      </c>
      <c r="C64" s="36" t="str">
        <f>C63</f>
        <v>監視端末構造評価仕様書作成</v>
      </c>
      <c r="D64" s="37" t="str">
        <f>D63</f>
        <v>長田</v>
      </c>
      <c r="E64" s="53" t="s">
        <v>0</v>
      </c>
      <c r="F64" s="54"/>
      <c r="G64" s="54"/>
      <c r="H64" s="55">
        <f t="shared" si="229"/>
        <v>0</v>
      </c>
      <c r="I64" s="56">
        <f>IF(OR(H63="",H64=""),"",H64-H63)</f>
        <v>-24</v>
      </c>
      <c r="J64" s="57"/>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c r="BS64" s="59"/>
      <c r="BT64" s="59"/>
      <c r="BU64" s="59"/>
      <c r="BV64" s="59"/>
      <c r="BW64" s="59"/>
      <c r="BX64" s="59"/>
      <c r="BY64" s="59"/>
      <c r="BZ64" s="59"/>
      <c r="CA64" s="59"/>
      <c r="CB64" s="59"/>
      <c r="CC64" s="59"/>
      <c r="CD64" s="59"/>
      <c r="CE64" s="59"/>
      <c r="CF64" s="59"/>
      <c r="CG64" s="59"/>
      <c r="CH64" s="59"/>
      <c r="CI64" s="59"/>
      <c r="CJ64" s="59"/>
      <c r="CK64" s="59"/>
      <c r="CL64" s="59"/>
      <c r="CM64" s="59"/>
      <c r="CN64" s="59"/>
      <c r="CO64" s="59"/>
      <c r="CP64" s="59"/>
      <c r="CQ64" s="59"/>
      <c r="CR64" s="59"/>
      <c r="CS64" s="59"/>
      <c r="CT64" s="59"/>
      <c r="CU64" s="59"/>
      <c r="CV64" s="59"/>
      <c r="CW64" s="59"/>
      <c r="CX64" s="59"/>
      <c r="CY64" s="59"/>
      <c r="CZ64" s="59"/>
      <c r="DA64" s="59"/>
      <c r="DB64" s="59"/>
      <c r="DC64" s="59"/>
      <c r="DD64" s="59"/>
      <c r="DE64" s="59"/>
      <c r="DF64" s="59"/>
      <c r="DG64" s="59"/>
      <c r="DH64" s="59"/>
      <c r="DI64" s="59"/>
      <c r="DJ64" s="59"/>
      <c r="DK64" s="59"/>
      <c r="DL64" s="59"/>
      <c r="DM64" s="59"/>
      <c r="DN64" s="59"/>
      <c r="DO64" s="59"/>
      <c r="DP64" s="59"/>
      <c r="DQ64" s="59"/>
      <c r="DR64" s="59"/>
      <c r="DS64" s="59"/>
      <c r="DT64" s="59"/>
      <c r="DU64" s="59"/>
      <c r="DV64" s="59"/>
      <c r="DW64" s="59"/>
      <c r="DX64" s="59"/>
      <c r="DY64" s="59"/>
      <c r="DZ64" s="59"/>
      <c r="EA64" s="59"/>
      <c r="EB64" s="59"/>
      <c r="EC64" s="59"/>
      <c r="ED64" s="59"/>
      <c r="EE64" s="59"/>
      <c r="EF64" s="59"/>
      <c r="EG64" s="59"/>
      <c r="EH64" s="59"/>
      <c r="EI64" s="59"/>
      <c r="EJ64" s="59"/>
      <c r="EK64" s="59"/>
      <c r="EL64" s="59"/>
      <c r="EM64" s="59"/>
      <c r="EN64" s="59"/>
      <c r="EO64" s="59"/>
      <c r="EP64" s="59"/>
      <c r="EQ64" s="59"/>
      <c r="ER64" s="59"/>
      <c r="ES64" s="59"/>
      <c r="ET64" s="59"/>
      <c r="EU64" s="59"/>
      <c r="EV64" s="59"/>
      <c r="EW64" s="59"/>
      <c r="EX64" s="59"/>
      <c r="EY64" s="59"/>
      <c r="EZ64" s="59"/>
      <c r="FA64" s="59"/>
      <c r="FB64" s="59"/>
      <c r="FC64" s="59"/>
      <c r="FD64" s="59"/>
      <c r="FE64" s="59"/>
      <c r="FF64" s="59"/>
      <c r="FG64" s="59"/>
      <c r="FH64" s="59"/>
      <c r="FI64" s="59"/>
      <c r="FJ64" s="59"/>
      <c r="FK64" s="59"/>
      <c r="FL64" s="59"/>
      <c r="FM64" s="59"/>
      <c r="FN64" s="59"/>
      <c r="FO64" s="59"/>
      <c r="FP64" s="59"/>
      <c r="FQ64" s="59"/>
      <c r="FR64" s="59"/>
      <c r="FS64" s="59"/>
      <c r="FT64" s="59"/>
      <c r="FU64" s="59"/>
      <c r="FV64" s="59"/>
      <c r="FW64" s="59"/>
      <c r="FX64" s="59"/>
      <c r="FY64" s="59"/>
      <c r="FZ64" s="59"/>
      <c r="GA64" s="59"/>
      <c r="GB64" s="59"/>
      <c r="GC64" s="59"/>
      <c r="GD64" s="59"/>
      <c r="GE64" s="59"/>
      <c r="GF64" s="59"/>
      <c r="GG64" s="59"/>
      <c r="GH64" s="59"/>
      <c r="GI64" s="59"/>
      <c r="GJ64" s="59"/>
      <c r="GK64" s="59"/>
      <c r="GL64" s="59"/>
      <c r="GM64" s="59"/>
      <c r="GN64" s="59"/>
      <c r="GO64" s="59"/>
      <c r="GP64" s="59"/>
      <c r="GQ64" s="59"/>
      <c r="GR64" s="59"/>
      <c r="GS64" s="59"/>
      <c r="GT64" s="59"/>
      <c r="GU64" s="59"/>
      <c r="GV64" s="59"/>
      <c r="GW64" s="59"/>
      <c r="GX64" s="59"/>
      <c r="GY64" s="59"/>
      <c r="GZ64" s="59"/>
      <c r="HA64" s="59"/>
      <c r="HB64" s="59"/>
      <c r="HC64" s="59"/>
      <c r="HD64" s="59"/>
      <c r="HE64" s="59"/>
      <c r="HF64" s="59"/>
      <c r="HG64" s="59"/>
      <c r="HH64" s="59"/>
      <c r="HI64" s="59"/>
      <c r="HJ64" s="59"/>
      <c r="HK64" s="59"/>
      <c r="HL64" s="59"/>
      <c r="HM64" s="59"/>
      <c r="HN64" s="59"/>
      <c r="HO64" s="59"/>
      <c r="HP64" s="59"/>
      <c r="HQ64" s="59"/>
      <c r="HR64" s="59"/>
      <c r="HS64" s="59"/>
      <c r="HT64" s="59"/>
      <c r="HU64" s="59"/>
      <c r="HV64" s="59"/>
      <c r="HW64" s="59"/>
      <c r="HX64" s="59"/>
      <c r="HY64" s="59"/>
      <c r="HZ64" s="59"/>
      <c r="IA64" s="59"/>
      <c r="IB64" s="59"/>
      <c r="IC64" s="59"/>
      <c r="ID64" s="59"/>
      <c r="IE64" s="59"/>
      <c r="IF64" s="59"/>
      <c r="IG64" s="59"/>
      <c r="IH64" s="59"/>
      <c r="II64" s="59"/>
      <c r="IJ64" s="59"/>
      <c r="IK64" s="59"/>
      <c r="IL64" s="59"/>
      <c r="IM64" s="59"/>
      <c r="IN64" s="59"/>
      <c r="IO64" s="59"/>
      <c r="IP64" s="59"/>
      <c r="IQ64" s="59"/>
      <c r="IR64" s="59"/>
      <c r="IS64" s="59"/>
      <c r="IT64" s="59"/>
      <c r="IU64" s="59"/>
      <c r="IV64" s="59"/>
      <c r="IW64" s="59"/>
      <c r="IX64" s="59"/>
      <c r="IY64" s="59"/>
      <c r="IZ64" s="59"/>
      <c r="JA64" s="59"/>
      <c r="JB64" s="59"/>
      <c r="JC64" s="59"/>
      <c r="JD64" s="59"/>
      <c r="JE64" s="59"/>
      <c r="JF64" s="59"/>
      <c r="JG64" s="59"/>
      <c r="JH64" s="59"/>
      <c r="JI64" s="59"/>
      <c r="JJ64" s="59"/>
      <c r="JK64" s="59"/>
      <c r="JL64" s="59"/>
      <c r="JM64" s="59"/>
      <c r="JN64" s="59"/>
      <c r="JO64" s="59"/>
      <c r="JP64" s="59"/>
      <c r="JQ64" s="59"/>
      <c r="JR64" s="59"/>
      <c r="JS64" s="59"/>
      <c r="JT64" s="59"/>
      <c r="JU64" s="59"/>
      <c r="JV64" s="59"/>
      <c r="JW64" s="59"/>
      <c r="JX64" s="59"/>
      <c r="JY64" s="59"/>
      <c r="JZ64" s="59"/>
      <c r="KA64" s="59"/>
      <c r="KB64" s="59"/>
      <c r="KC64" s="59"/>
      <c r="KD64" s="59"/>
      <c r="KE64" s="59"/>
      <c r="KF64" s="59"/>
      <c r="KG64" s="59"/>
      <c r="KH64" s="59"/>
      <c r="KI64" s="59"/>
      <c r="KJ64" s="59"/>
      <c r="KK64" s="59"/>
      <c r="KL64" s="59"/>
      <c r="KM64" s="59"/>
      <c r="KN64" s="59"/>
      <c r="KO64" s="59"/>
      <c r="KP64" s="59"/>
      <c r="KQ64" s="59"/>
      <c r="KR64" s="59"/>
      <c r="KS64" s="59"/>
      <c r="KT64" s="59"/>
      <c r="KU64" s="59"/>
      <c r="KV64" s="59"/>
      <c r="KW64" s="59"/>
      <c r="KX64" s="59"/>
      <c r="KY64" s="59"/>
      <c r="KZ64" s="59"/>
      <c r="LA64" s="59"/>
      <c r="LB64" s="59"/>
      <c r="LC64" s="59"/>
      <c r="LD64" s="59"/>
      <c r="LE64" s="59"/>
      <c r="LF64" s="59"/>
      <c r="LG64" s="59"/>
      <c r="LH64" s="59"/>
      <c r="LI64" s="59"/>
      <c r="LJ64" s="59"/>
      <c r="LK64" s="59"/>
      <c r="LL64" s="59"/>
      <c r="LM64" s="59"/>
      <c r="LN64" s="59"/>
      <c r="LO64" s="59"/>
      <c r="LP64" s="59"/>
      <c r="LQ64" s="59"/>
      <c r="LR64" s="59"/>
      <c r="LS64" s="59"/>
      <c r="LT64" s="59"/>
      <c r="LU64" s="59"/>
      <c r="LV64" s="59"/>
      <c r="LW64" s="59"/>
      <c r="LX64" s="59"/>
      <c r="LY64" s="59"/>
      <c r="LZ64" s="59"/>
      <c r="MA64" s="59"/>
      <c r="MB64" s="59"/>
      <c r="MC64" s="59"/>
      <c r="MD64" s="59"/>
      <c r="ME64" s="59"/>
      <c r="MF64" s="59"/>
      <c r="MG64" s="59"/>
      <c r="MH64" s="59"/>
      <c r="MI64" s="59"/>
      <c r="MJ64" s="59"/>
      <c r="MK64" s="59"/>
      <c r="ML64" s="59"/>
      <c r="MM64" s="59"/>
      <c r="MN64" s="59"/>
      <c r="MO64" s="59"/>
      <c r="MP64" s="59"/>
      <c r="MQ64" s="59"/>
      <c r="MR64" s="59"/>
      <c r="MS64" s="59"/>
      <c r="MT64" s="59"/>
      <c r="MU64" s="59"/>
      <c r="MV64" s="59"/>
      <c r="MW64" s="59"/>
      <c r="MX64" s="59"/>
      <c r="MY64" s="59"/>
      <c r="MZ64" s="59"/>
      <c r="NA64" s="59"/>
      <c r="NB64" s="59"/>
      <c r="NC64" s="59"/>
      <c r="ND64" s="59"/>
      <c r="NE64" s="59"/>
      <c r="NF64" s="59"/>
      <c r="NG64" s="59"/>
      <c r="NH64" s="59"/>
      <c r="NI64" s="59"/>
      <c r="NJ64" s="59"/>
      <c r="NK64" s="59"/>
      <c r="NL64" s="60"/>
    </row>
    <row r="65" spans="1:376" x14ac:dyDescent="0.15">
      <c r="A65" s="23">
        <v>27</v>
      </c>
      <c r="B65" s="24" t="s">
        <v>131</v>
      </c>
      <c r="C65" s="45" t="s">
        <v>138</v>
      </c>
      <c r="D65" s="26" t="s">
        <v>164</v>
      </c>
      <c r="E65" s="27" t="s">
        <v>13</v>
      </c>
      <c r="F65" s="28">
        <v>42973</v>
      </c>
      <c r="G65" s="28">
        <v>42973</v>
      </c>
      <c r="H65" s="29">
        <f t="shared" si="229"/>
        <v>4</v>
      </c>
      <c r="I65" s="30"/>
      <c r="J65" s="31"/>
      <c r="K65" s="32"/>
      <c r="L65" s="32"/>
      <c r="M65" s="32"/>
      <c r="N65" s="32"/>
      <c r="O65" s="32"/>
      <c r="P65" s="32"/>
      <c r="Q65" s="32"/>
      <c r="R65" s="32"/>
      <c r="S65" s="32"/>
      <c r="T65" s="32"/>
      <c r="U65" s="32"/>
      <c r="V65" s="32"/>
      <c r="W65" s="32"/>
      <c r="X65" s="32"/>
      <c r="Y65" s="32"/>
      <c r="Z65" s="32"/>
      <c r="AA65" s="32"/>
      <c r="AB65" s="32"/>
      <c r="AC65" s="32"/>
      <c r="AD65" s="32"/>
      <c r="AE65" s="32"/>
      <c r="AF65" s="32"/>
      <c r="AG65" s="32"/>
      <c r="AH65" s="32"/>
      <c r="AI65" s="32"/>
      <c r="AJ65" s="32"/>
      <c r="AK65" s="32"/>
      <c r="AL65" s="32"/>
      <c r="AM65" s="32"/>
      <c r="AN65" s="32"/>
      <c r="AO65" s="32"/>
      <c r="AP65" s="33"/>
      <c r="AQ65" s="33"/>
      <c r="AR65" s="33"/>
      <c r="AS65" s="33"/>
      <c r="AT65" s="33"/>
      <c r="AU65" s="33"/>
      <c r="AV65" s="33"/>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33"/>
      <c r="CG65" s="33"/>
      <c r="CH65" s="33"/>
      <c r="CI65" s="33"/>
      <c r="CJ65" s="33"/>
      <c r="CK65" s="33"/>
      <c r="CL65" s="33"/>
      <c r="CM65" s="33"/>
      <c r="CN65" s="33"/>
      <c r="CO65" s="33"/>
      <c r="CP65" s="33"/>
      <c r="CQ65" s="33"/>
      <c r="CR65" s="33"/>
      <c r="CS65" s="33"/>
      <c r="CT65" s="33"/>
      <c r="CU65" s="33"/>
      <c r="CV65" s="33"/>
      <c r="CW65" s="33"/>
      <c r="CX65" s="33"/>
      <c r="CY65" s="33"/>
      <c r="CZ65" s="33"/>
      <c r="DA65" s="33"/>
      <c r="DB65" s="33"/>
      <c r="DC65" s="33"/>
      <c r="DD65" s="33"/>
      <c r="DE65" s="33"/>
      <c r="DF65" s="33"/>
      <c r="DG65" s="33"/>
      <c r="DH65" s="33"/>
      <c r="DI65" s="33"/>
      <c r="DJ65" s="33"/>
      <c r="DK65" s="33"/>
      <c r="DL65" s="33"/>
      <c r="DM65" s="33"/>
      <c r="DN65" s="33"/>
      <c r="DO65" s="33"/>
      <c r="DP65" s="33"/>
      <c r="DQ65" s="33"/>
      <c r="DR65" s="33"/>
      <c r="DS65" s="33"/>
      <c r="DT65" s="33"/>
      <c r="DU65" s="33"/>
      <c r="DV65" s="33"/>
      <c r="DW65" s="33"/>
      <c r="DX65" s="33"/>
      <c r="DY65" s="33"/>
      <c r="DZ65" s="33"/>
      <c r="EA65" s="33"/>
      <c r="EB65" s="33"/>
      <c r="EC65" s="33"/>
      <c r="ED65" s="33"/>
      <c r="EE65" s="33"/>
      <c r="EF65" s="33"/>
      <c r="EG65" s="33"/>
      <c r="EH65" s="33"/>
      <c r="EI65" s="33"/>
      <c r="EJ65" s="33"/>
      <c r="EK65" s="33"/>
      <c r="EL65" s="33"/>
      <c r="EM65" s="33"/>
      <c r="EN65" s="33"/>
      <c r="EO65" s="33"/>
      <c r="EP65" s="33"/>
      <c r="EQ65" s="33"/>
      <c r="ER65" s="33"/>
      <c r="ES65" s="33"/>
      <c r="ET65" s="33"/>
      <c r="EU65" s="33"/>
      <c r="EV65" s="33"/>
      <c r="EW65" s="33"/>
      <c r="EX65" s="33"/>
      <c r="EY65" s="33">
        <v>4</v>
      </c>
      <c r="EZ65" s="33"/>
      <c r="FA65" s="33"/>
      <c r="FB65" s="33"/>
      <c r="FC65" s="33"/>
      <c r="FD65" s="33"/>
      <c r="FE65" s="33"/>
      <c r="FF65" s="33"/>
      <c r="FG65" s="33"/>
      <c r="FH65" s="33"/>
      <c r="FI65" s="33"/>
      <c r="FJ65" s="33"/>
      <c r="FK65" s="33"/>
      <c r="FL65" s="33"/>
      <c r="FM65" s="33"/>
      <c r="FN65" s="33"/>
      <c r="FO65" s="33"/>
      <c r="FP65" s="33"/>
      <c r="FQ65" s="33"/>
      <c r="FR65" s="33"/>
      <c r="FS65" s="33"/>
      <c r="FT65" s="33"/>
      <c r="FU65" s="33"/>
      <c r="FV65" s="33"/>
      <c r="FW65" s="33"/>
      <c r="FX65" s="33"/>
      <c r="FY65" s="33"/>
      <c r="FZ65" s="33"/>
      <c r="GA65" s="33"/>
      <c r="GB65" s="33"/>
      <c r="GC65" s="33"/>
      <c r="GD65" s="33"/>
      <c r="GE65" s="33"/>
      <c r="GF65" s="33"/>
      <c r="GG65" s="33"/>
      <c r="GH65" s="33"/>
      <c r="GI65" s="33"/>
      <c r="GJ65" s="33"/>
      <c r="GK65" s="33"/>
      <c r="GL65" s="33"/>
      <c r="GM65" s="33"/>
      <c r="GN65" s="33"/>
      <c r="GO65" s="33"/>
      <c r="GP65" s="33"/>
      <c r="GQ65" s="33"/>
      <c r="GR65" s="33"/>
      <c r="GS65" s="33"/>
      <c r="GT65" s="33"/>
      <c r="GU65" s="33"/>
      <c r="GV65" s="33"/>
      <c r="GW65" s="33"/>
      <c r="GX65" s="33"/>
      <c r="GY65" s="33"/>
      <c r="GZ65" s="33"/>
      <c r="HA65" s="33"/>
      <c r="HB65" s="33"/>
      <c r="HC65" s="33"/>
      <c r="HD65" s="33"/>
      <c r="HE65" s="33"/>
      <c r="HF65" s="33"/>
      <c r="HG65" s="33"/>
      <c r="HH65" s="33"/>
      <c r="HI65" s="33"/>
      <c r="HJ65" s="33"/>
      <c r="HK65" s="33"/>
      <c r="HL65" s="33"/>
      <c r="HM65" s="33"/>
      <c r="HN65" s="33"/>
      <c r="HO65" s="33"/>
      <c r="HP65" s="33"/>
      <c r="HQ65" s="33"/>
      <c r="HR65" s="33"/>
      <c r="HS65" s="33"/>
      <c r="HT65" s="33"/>
      <c r="HU65" s="33"/>
      <c r="HV65" s="33"/>
      <c r="HW65" s="33"/>
      <c r="HX65" s="33"/>
      <c r="HY65" s="33"/>
      <c r="HZ65" s="33"/>
      <c r="IA65" s="33"/>
      <c r="IB65" s="33"/>
      <c r="IC65" s="33"/>
      <c r="ID65" s="33"/>
      <c r="IE65" s="33"/>
      <c r="IF65" s="33"/>
      <c r="IG65" s="33"/>
      <c r="IH65" s="33"/>
      <c r="II65" s="33"/>
      <c r="IJ65" s="33"/>
      <c r="IK65" s="33"/>
      <c r="IL65" s="33"/>
      <c r="IM65" s="33"/>
      <c r="IN65" s="33"/>
      <c r="IO65" s="33"/>
      <c r="IP65" s="33"/>
      <c r="IQ65" s="33"/>
      <c r="IR65" s="33"/>
      <c r="IS65" s="33"/>
      <c r="IT65" s="33"/>
      <c r="IU65" s="33"/>
      <c r="IV65" s="33"/>
      <c r="IW65" s="33"/>
      <c r="IX65" s="33"/>
      <c r="IY65" s="33"/>
      <c r="IZ65" s="33"/>
      <c r="JA65" s="33"/>
      <c r="JB65" s="33"/>
      <c r="JC65" s="33"/>
      <c r="JD65" s="33"/>
      <c r="JE65" s="33"/>
      <c r="JF65" s="33"/>
      <c r="JG65" s="33"/>
      <c r="JH65" s="33"/>
      <c r="JI65" s="33"/>
      <c r="JJ65" s="33"/>
      <c r="JK65" s="33"/>
      <c r="JL65" s="33"/>
      <c r="JM65" s="33"/>
      <c r="JN65" s="33"/>
      <c r="JO65" s="33"/>
      <c r="JP65" s="33"/>
      <c r="JQ65" s="33"/>
      <c r="JR65" s="33"/>
      <c r="JS65" s="33"/>
      <c r="JT65" s="33"/>
      <c r="JU65" s="33"/>
      <c r="JV65" s="33"/>
      <c r="JW65" s="33"/>
      <c r="JX65" s="33"/>
      <c r="JY65" s="33"/>
      <c r="JZ65" s="33"/>
      <c r="KA65" s="33"/>
      <c r="KB65" s="33"/>
      <c r="KC65" s="33"/>
      <c r="KD65" s="33"/>
      <c r="KE65" s="33"/>
      <c r="KF65" s="33"/>
      <c r="KG65" s="33"/>
      <c r="KH65" s="33"/>
      <c r="KI65" s="33"/>
      <c r="KJ65" s="33"/>
      <c r="KK65" s="33"/>
      <c r="KL65" s="33"/>
      <c r="KM65" s="33"/>
      <c r="KN65" s="33"/>
      <c r="KO65" s="33"/>
      <c r="KP65" s="33"/>
      <c r="KQ65" s="33"/>
      <c r="KR65" s="33"/>
      <c r="KS65" s="33"/>
      <c r="KT65" s="33"/>
      <c r="KU65" s="33"/>
      <c r="KV65" s="33"/>
      <c r="KW65" s="33"/>
      <c r="KX65" s="33"/>
      <c r="KY65" s="33"/>
      <c r="KZ65" s="33"/>
      <c r="LA65" s="33"/>
      <c r="LB65" s="33"/>
      <c r="LC65" s="33"/>
      <c r="LD65" s="33"/>
      <c r="LE65" s="33"/>
      <c r="LF65" s="33"/>
      <c r="LG65" s="33"/>
      <c r="LH65" s="33"/>
      <c r="LI65" s="33"/>
      <c r="LJ65" s="33"/>
      <c r="LK65" s="33"/>
      <c r="LL65" s="33"/>
      <c r="LM65" s="33"/>
      <c r="LN65" s="33"/>
      <c r="LO65" s="33"/>
      <c r="LP65" s="33"/>
      <c r="LQ65" s="33"/>
      <c r="LR65" s="33"/>
      <c r="LS65" s="33"/>
      <c r="LT65" s="33"/>
      <c r="LU65" s="33"/>
      <c r="LV65" s="33"/>
      <c r="LW65" s="33"/>
      <c r="LX65" s="33"/>
      <c r="LY65" s="33"/>
      <c r="LZ65" s="33"/>
      <c r="MA65" s="33"/>
      <c r="MB65" s="33"/>
      <c r="MC65" s="33"/>
      <c r="MD65" s="33"/>
      <c r="ME65" s="33"/>
      <c r="MF65" s="33"/>
      <c r="MG65" s="33"/>
      <c r="MH65" s="33"/>
      <c r="MI65" s="33"/>
      <c r="MJ65" s="33"/>
      <c r="MK65" s="33"/>
      <c r="ML65" s="33"/>
      <c r="MM65" s="33"/>
      <c r="MN65" s="33"/>
      <c r="MO65" s="33"/>
      <c r="MP65" s="33"/>
      <c r="MQ65" s="33"/>
      <c r="MR65" s="33"/>
      <c r="MS65" s="33"/>
      <c r="MT65" s="33"/>
      <c r="MU65" s="33"/>
      <c r="MV65" s="33"/>
      <c r="MW65" s="33"/>
      <c r="MX65" s="33"/>
      <c r="MY65" s="33"/>
      <c r="MZ65" s="33"/>
      <c r="NA65" s="33"/>
      <c r="NB65" s="33"/>
      <c r="NC65" s="33"/>
      <c r="ND65" s="33"/>
      <c r="NE65" s="33"/>
      <c r="NF65" s="33"/>
      <c r="NG65" s="33"/>
      <c r="NH65" s="33"/>
      <c r="NI65" s="33"/>
      <c r="NJ65" s="33"/>
      <c r="NK65" s="33"/>
      <c r="NL65" s="34"/>
    </row>
    <row r="66" spans="1:376" x14ac:dyDescent="0.15">
      <c r="A66" s="35">
        <f>A65</f>
        <v>27</v>
      </c>
      <c r="B66" s="36" t="str">
        <f>B65</f>
        <v>SD</v>
      </c>
      <c r="C66" s="36" t="str">
        <f>C65</f>
        <v>監視端末構造評価仕様書レビュー</v>
      </c>
      <c r="D66" s="37" t="str">
        <f>D65</f>
        <v>伊藤</v>
      </c>
      <c r="E66" s="53" t="s">
        <v>0</v>
      </c>
      <c r="F66" s="54"/>
      <c r="G66" s="54"/>
      <c r="H66" s="55">
        <f t="shared" si="229"/>
        <v>0</v>
      </c>
      <c r="I66" s="56">
        <f>IF(OR(H65="",H66=""),"",H66-H65)</f>
        <v>-4</v>
      </c>
      <c r="J66" s="57"/>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c r="BS66" s="59"/>
      <c r="BT66" s="59"/>
      <c r="BU66" s="59"/>
      <c r="BV66" s="59"/>
      <c r="BW66" s="59"/>
      <c r="BX66" s="59"/>
      <c r="BY66" s="59"/>
      <c r="BZ66" s="59"/>
      <c r="CA66" s="59"/>
      <c r="CB66" s="59"/>
      <c r="CC66" s="59"/>
      <c r="CD66" s="59"/>
      <c r="CE66" s="59"/>
      <c r="CF66" s="59"/>
      <c r="CG66" s="59"/>
      <c r="CH66" s="59"/>
      <c r="CI66" s="59"/>
      <c r="CJ66" s="59"/>
      <c r="CK66" s="59"/>
      <c r="CL66" s="59"/>
      <c r="CM66" s="59"/>
      <c r="CN66" s="59"/>
      <c r="CO66" s="59"/>
      <c r="CP66" s="59"/>
      <c r="CQ66" s="59"/>
      <c r="CR66" s="59"/>
      <c r="CS66" s="59"/>
      <c r="CT66" s="59"/>
      <c r="CU66" s="59"/>
      <c r="CV66" s="59"/>
      <c r="CW66" s="59"/>
      <c r="CX66" s="59"/>
      <c r="CY66" s="59"/>
      <c r="CZ66" s="59"/>
      <c r="DA66" s="59"/>
      <c r="DB66" s="59"/>
      <c r="DC66" s="59"/>
      <c r="DD66" s="59"/>
      <c r="DE66" s="59"/>
      <c r="DF66" s="59"/>
      <c r="DG66" s="59"/>
      <c r="DH66" s="59"/>
      <c r="DI66" s="59"/>
      <c r="DJ66" s="59"/>
      <c r="DK66" s="59"/>
      <c r="DL66" s="59"/>
      <c r="DM66" s="59"/>
      <c r="DN66" s="59"/>
      <c r="DO66" s="59"/>
      <c r="DP66" s="59"/>
      <c r="DQ66" s="59"/>
      <c r="DR66" s="59"/>
      <c r="DS66" s="59"/>
      <c r="DT66" s="59"/>
      <c r="DU66" s="59"/>
      <c r="DV66" s="59"/>
      <c r="DW66" s="59"/>
      <c r="DX66" s="59"/>
      <c r="DY66" s="59"/>
      <c r="DZ66" s="59"/>
      <c r="EA66" s="59"/>
      <c r="EB66" s="59"/>
      <c r="EC66" s="59"/>
      <c r="ED66" s="59"/>
      <c r="EE66" s="59"/>
      <c r="EF66" s="59"/>
      <c r="EG66" s="59"/>
      <c r="EH66" s="59"/>
      <c r="EI66" s="59"/>
      <c r="EJ66" s="59"/>
      <c r="EK66" s="59"/>
      <c r="EL66" s="59"/>
      <c r="EM66" s="59"/>
      <c r="EN66" s="59"/>
      <c r="EO66" s="59"/>
      <c r="EP66" s="59"/>
      <c r="EQ66" s="59"/>
      <c r="ER66" s="59"/>
      <c r="ES66" s="59"/>
      <c r="ET66" s="59"/>
      <c r="EU66" s="59"/>
      <c r="EV66" s="59"/>
      <c r="EW66" s="59"/>
      <c r="EX66" s="59"/>
      <c r="EY66" s="59"/>
      <c r="EZ66" s="59"/>
      <c r="FA66" s="59"/>
      <c r="FB66" s="59"/>
      <c r="FC66" s="59"/>
      <c r="FD66" s="59"/>
      <c r="FE66" s="59"/>
      <c r="FF66" s="59"/>
      <c r="FG66" s="59"/>
      <c r="FH66" s="59"/>
      <c r="FI66" s="59"/>
      <c r="FJ66" s="59"/>
      <c r="FK66" s="59"/>
      <c r="FL66" s="59"/>
      <c r="FM66" s="59"/>
      <c r="FN66" s="59"/>
      <c r="FO66" s="59"/>
      <c r="FP66" s="59"/>
      <c r="FQ66" s="59"/>
      <c r="FR66" s="59"/>
      <c r="FS66" s="59"/>
      <c r="FT66" s="59"/>
      <c r="FU66" s="59"/>
      <c r="FV66" s="59"/>
      <c r="FW66" s="59"/>
      <c r="FX66" s="59"/>
      <c r="FY66" s="59"/>
      <c r="FZ66" s="59"/>
      <c r="GA66" s="59"/>
      <c r="GB66" s="59"/>
      <c r="GC66" s="59"/>
      <c r="GD66" s="59"/>
      <c r="GE66" s="59"/>
      <c r="GF66" s="59"/>
      <c r="GG66" s="59"/>
      <c r="GH66" s="59"/>
      <c r="GI66" s="59"/>
      <c r="GJ66" s="59"/>
      <c r="GK66" s="59"/>
      <c r="GL66" s="59"/>
      <c r="GM66" s="59"/>
      <c r="GN66" s="59"/>
      <c r="GO66" s="59"/>
      <c r="GP66" s="59"/>
      <c r="GQ66" s="59"/>
      <c r="GR66" s="59"/>
      <c r="GS66" s="59"/>
      <c r="GT66" s="59"/>
      <c r="GU66" s="59"/>
      <c r="GV66" s="59"/>
      <c r="GW66" s="59"/>
      <c r="GX66" s="59"/>
      <c r="GY66" s="59"/>
      <c r="GZ66" s="59"/>
      <c r="HA66" s="59"/>
      <c r="HB66" s="59"/>
      <c r="HC66" s="59"/>
      <c r="HD66" s="59"/>
      <c r="HE66" s="59"/>
      <c r="HF66" s="59"/>
      <c r="HG66" s="59"/>
      <c r="HH66" s="59"/>
      <c r="HI66" s="59"/>
      <c r="HJ66" s="59"/>
      <c r="HK66" s="59"/>
      <c r="HL66" s="59"/>
      <c r="HM66" s="59"/>
      <c r="HN66" s="59"/>
      <c r="HO66" s="59"/>
      <c r="HP66" s="59"/>
      <c r="HQ66" s="59"/>
      <c r="HR66" s="59"/>
      <c r="HS66" s="59"/>
      <c r="HT66" s="59"/>
      <c r="HU66" s="59"/>
      <c r="HV66" s="59"/>
      <c r="HW66" s="59"/>
      <c r="HX66" s="59"/>
      <c r="HY66" s="59"/>
      <c r="HZ66" s="59"/>
      <c r="IA66" s="59"/>
      <c r="IB66" s="59"/>
      <c r="IC66" s="59"/>
      <c r="ID66" s="59"/>
      <c r="IE66" s="59"/>
      <c r="IF66" s="59"/>
      <c r="IG66" s="59"/>
      <c r="IH66" s="59"/>
      <c r="II66" s="59"/>
      <c r="IJ66" s="59"/>
      <c r="IK66" s="59"/>
      <c r="IL66" s="59"/>
      <c r="IM66" s="59"/>
      <c r="IN66" s="59"/>
      <c r="IO66" s="59"/>
      <c r="IP66" s="59"/>
      <c r="IQ66" s="59"/>
      <c r="IR66" s="59"/>
      <c r="IS66" s="59"/>
      <c r="IT66" s="59"/>
      <c r="IU66" s="59"/>
      <c r="IV66" s="59"/>
      <c r="IW66" s="59"/>
      <c r="IX66" s="59"/>
      <c r="IY66" s="59"/>
      <c r="IZ66" s="59"/>
      <c r="JA66" s="59"/>
      <c r="JB66" s="59"/>
      <c r="JC66" s="59"/>
      <c r="JD66" s="59"/>
      <c r="JE66" s="59"/>
      <c r="JF66" s="59"/>
      <c r="JG66" s="59"/>
      <c r="JH66" s="59"/>
      <c r="JI66" s="59"/>
      <c r="JJ66" s="59"/>
      <c r="JK66" s="59"/>
      <c r="JL66" s="59"/>
      <c r="JM66" s="59"/>
      <c r="JN66" s="59"/>
      <c r="JO66" s="59"/>
      <c r="JP66" s="59"/>
      <c r="JQ66" s="59"/>
      <c r="JR66" s="59"/>
      <c r="JS66" s="59"/>
      <c r="JT66" s="59"/>
      <c r="JU66" s="59"/>
      <c r="JV66" s="59"/>
      <c r="JW66" s="59"/>
      <c r="JX66" s="59"/>
      <c r="JY66" s="59"/>
      <c r="JZ66" s="59"/>
      <c r="KA66" s="59"/>
      <c r="KB66" s="59"/>
      <c r="KC66" s="59"/>
      <c r="KD66" s="59"/>
      <c r="KE66" s="59"/>
      <c r="KF66" s="59"/>
      <c r="KG66" s="59"/>
      <c r="KH66" s="59"/>
      <c r="KI66" s="59"/>
      <c r="KJ66" s="59"/>
      <c r="KK66" s="59"/>
      <c r="KL66" s="59"/>
      <c r="KM66" s="59"/>
      <c r="KN66" s="59"/>
      <c r="KO66" s="59"/>
      <c r="KP66" s="59"/>
      <c r="KQ66" s="59"/>
      <c r="KR66" s="59"/>
      <c r="KS66" s="59"/>
      <c r="KT66" s="59"/>
      <c r="KU66" s="59"/>
      <c r="KV66" s="59"/>
      <c r="KW66" s="59"/>
      <c r="KX66" s="59"/>
      <c r="KY66" s="59"/>
      <c r="KZ66" s="59"/>
      <c r="LA66" s="59"/>
      <c r="LB66" s="59"/>
      <c r="LC66" s="59"/>
      <c r="LD66" s="59"/>
      <c r="LE66" s="59"/>
      <c r="LF66" s="59"/>
      <c r="LG66" s="59"/>
      <c r="LH66" s="59"/>
      <c r="LI66" s="59"/>
      <c r="LJ66" s="59"/>
      <c r="LK66" s="59"/>
      <c r="LL66" s="59"/>
      <c r="LM66" s="59"/>
      <c r="LN66" s="59"/>
      <c r="LO66" s="59"/>
      <c r="LP66" s="59"/>
      <c r="LQ66" s="59"/>
      <c r="LR66" s="59"/>
      <c r="LS66" s="59"/>
      <c r="LT66" s="59"/>
      <c r="LU66" s="59"/>
      <c r="LV66" s="59"/>
      <c r="LW66" s="59"/>
      <c r="LX66" s="59"/>
      <c r="LY66" s="59"/>
      <c r="LZ66" s="59"/>
      <c r="MA66" s="59"/>
      <c r="MB66" s="59"/>
      <c r="MC66" s="59"/>
      <c r="MD66" s="59"/>
      <c r="ME66" s="59"/>
      <c r="MF66" s="59"/>
      <c r="MG66" s="59"/>
      <c r="MH66" s="59"/>
      <c r="MI66" s="59"/>
      <c r="MJ66" s="59"/>
      <c r="MK66" s="59"/>
      <c r="ML66" s="59"/>
      <c r="MM66" s="59"/>
      <c r="MN66" s="59"/>
      <c r="MO66" s="59"/>
      <c r="MP66" s="59"/>
      <c r="MQ66" s="59"/>
      <c r="MR66" s="59"/>
      <c r="MS66" s="59"/>
      <c r="MT66" s="59"/>
      <c r="MU66" s="59"/>
      <c r="MV66" s="59"/>
      <c r="MW66" s="59"/>
      <c r="MX66" s="59"/>
      <c r="MY66" s="59"/>
      <c r="MZ66" s="59"/>
      <c r="NA66" s="59"/>
      <c r="NB66" s="59"/>
      <c r="NC66" s="59"/>
      <c r="ND66" s="59"/>
      <c r="NE66" s="59"/>
      <c r="NF66" s="59"/>
      <c r="NG66" s="59"/>
      <c r="NH66" s="59"/>
      <c r="NI66" s="59"/>
      <c r="NJ66" s="59"/>
      <c r="NK66" s="59"/>
      <c r="NL66" s="60"/>
    </row>
    <row r="67" spans="1:376" x14ac:dyDescent="0.15">
      <c r="A67" s="23">
        <v>28</v>
      </c>
      <c r="B67" s="24" t="s">
        <v>131</v>
      </c>
      <c r="C67" s="45" t="s">
        <v>139</v>
      </c>
      <c r="D67" s="26" t="s">
        <v>166</v>
      </c>
      <c r="E67" s="27" t="s">
        <v>13</v>
      </c>
      <c r="F67" s="28">
        <v>42974</v>
      </c>
      <c r="G67" s="28">
        <v>42981</v>
      </c>
      <c r="H67" s="29">
        <f t="shared" si="229"/>
        <v>6</v>
      </c>
      <c r="I67" s="30"/>
      <c r="J67" s="31"/>
      <c r="K67" s="32"/>
      <c r="L67" s="32"/>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33"/>
      <c r="BX67" s="33"/>
      <c r="BY67" s="33"/>
      <c r="BZ67" s="33"/>
      <c r="CA67" s="33"/>
      <c r="CB67" s="33"/>
      <c r="CC67" s="33"/>
      <c r="CD67" s="33"/>
      <c r="CE67" s="33"/>
      <c r="CF67" s="33"/>
      <c r="CG67" s="33"/>
      <c r="CH67" s="33"/>
      <c r="CI67" s="33"/>
      <c r="CJ67" s="33"/>
      <c r="CK67" s="33"/>
      <c r="CL67" s="33"/>
      <c r="CM67" s="33"/>
      <c r="CN67" s="33"/>
      <c r="CO67" s="33"/>
      <c r="CP67" s="33"/>
      <c r="CQ67" s="33"/>
      <c r="CR67" s="33"/>
      <c r="CS67" s="33"/>
      <c r="CT67" s="33"/>
      <c r="CU67" s="33"/>
      <c r="CV67" s="33"/>
      <c r="CW67" s="33"/>
      <c r="CX67" s="33"/>
      <c r="CY67" s="33"/>
      <c r="CZ67" s="33"/>
      <c r="DA67" s="33"/>
      <c r="DB67" s="33"/>
      <c r="DC67" s="33"/>
      <c r="DD67" s="33"/>
      <c r="DE67" s="33"/>
      <c r="DF67" s="33"/>
      <c r="DG67" s="33"/>
      <c r="DH67" s="33"/>
      <c r="DI67" s="33"/>
      <c r="DJ67" s="33"/>
      <c r="DK67" s="33"/>
      <c r="DL67" s="33"/>
      <c r="DM67" s="33"/>
      <c r="DN67" s="33"/>
      <c r="DO67" s="33"/>
      <c r="DP67" s="33"/>
      <c r="DQ67" s="33"/>
      <c r="DR67" s="33"/>
      <c r="DS67" s="33"/>
      <c r="DT67" s="33"/>
      <c r="DU67" s="33"/>
      <c r="DV67" s="33"/>
      <c r="DW67" s="33"/>
      <c r="DX67" s="33"/>
      <c r="DY67" s="33"/>
      <c r="DZ67" s="33"/>
      <c r="EA67" s="33"/>
      <c r="EB67" s="33"/>
      <c r="EC67" s="33"/>
      <c r="ED67" s="33"/>
      <c r="EE67" s="33"/>
      <c r="EF67" s="33"/>
      <c r="EG67" s="33"/>
      <c r="EH67" s="33"/>
      <c r="EI67" s="33"/>
      <c r="EJ67" s="33"/>
      <c r="EK67" s="33"/>
      <c r="EL67" s="33"/>
      <c r="EM67" s="33"/>
      <c r="EN67" s="33"/>
      <c r="EO67" s="33"/>
      <c r="EP67" s="33"/>
      <c r="EQ67" s="33"/>
      <c r="ER67" s="33"/>
      <c r="ES67" s="33"/>
      <c r="ET67" s="33"/>
      <c r="EU67" s="33"/>
      <c r="EV67" s="33"/>
      <c r="EW67" s="33"/>
      <c r="EX67" s="33"/>
      <c r="EY67" s="33"/>
      <c r="EZ67" s="33">
        <v>2</v>
      </c>
      <c r="FA67" s="33"/>
      <c r="FB67" s="33"/>
      <c r="FC67" s="33"/>
      <c r="FD67" s="33"/>
      <c r="FE67" s="33"/>
      <c r="FF67" s="33">
        <v>4</v>
      </c>
      <c r="FG67" s="33"/>
      <c r="FH67" s="33"/>
      <c r="FI67" s="33"/>
      <c r="FJ67" s="33"/>
      <c r="FK67" s="33"/>
      <c r="FL67" s="33"/>
      <c r="FM67" s="33"/>
      <c r="FN67" s="33"/>
      <c r="FO67" s="33"/>
      <c r="FP67" s="33"/>
      <c r="FQ67" s="33"/>
      <c r="FR67" s="33"/>
      <c r="FS67" s="33"/>
      <c r="FT67" s="33"/>
      <c r="FU67" s="33"/>
      <c r="FV67" s="33"/>
      <c r="FW67" s="33"/>
      <c r="FX67" s="33"/>
      <c r="FY67" s="33"/>
      <c r="FZ67" s="33"/>
      <c r="GA67" s="33"/>
      <c r="GB67" s="33"/>
      <c r="GC67" s="33"/>
      <c r="GD67" s="33"/>
      <c r="GE67" s="33"/>
      <c r="GF67" s="33"/>
      <c r="GG67" s="33"/>
      <c r="GH67" s="33"/>
      <c r="GI67" s="33"/>
      <c r="GJ67" s="33"/>
      <c r="GK67" s="33"/>
      <c r="GL67" s="33"/>
      <c r="GM67" s="33"/>
      <c r="GN67" s="33"/>
      <c r="GO67" s="33"/>
      <c r="GP67" s="33"/>
      <c r="GQ67" s="33"/>
      <c r="GR67" s="33"/>
      <c r="GS67" s="33"/>
      <c r="GT67" s="33"/>
      <c r="GU67" s="33"/>
      <c r="GV67" s="33"/>
      <c r="GW67" s="33"/>
      <c r="GX67" s="33"/>
      <c r="GY67" s="33"/>
      <c r="GZ67" s="33"/>
      <c r="HA67" s="33"/>
      <c r="HB67" s="33"/>
      <c r="HC67" s="33"/>
      <c r="HD67" s="33"/>
      <c r="HE67" s="33"/>
      <c r="HF67" s="33"/>
      <c r="HG67" s="33"/>
      <c r="HH67" s="33"/>
      <c r="HI67" s="33"/>
      <c r="HJ67" s="33"/>
      <c r="HK67" s="33"/>
      <c r="HL67" s="33"/>
      <c r="HM67" s="33"/>
      <c r="HN67" s="33"/>
      <c r="HO67" s="33"/>
      <c r="HP67" s="33"/>
      <c r="HQ67" s="33"/>
      <c r="HR67" s="33"/>
      <c r="HS67" s="33"/>
      <c r="HT67" s="33"/>
      <c r="HU67" s="33"/>
      <c r="HV67" s="33"/>
      <c r="HW67" s="33"/>
      <c r="HX67" s="33"/>
      <c r="HY67" s="33"/>
      <c r="HZ67" s="33"/>
      <c r="IA67" s="33"/>
      <c r="IB67" s="33"/>
      <c r="IC67" s="33"/>
      <c r="ID67" s="33"/>
      <c r="IE67" s="33"/>
      <c r="IF67" s="33"/>
      <c r="IG67" s="33"/>
      <c r="IH67" s="33"/>
      <c r="II67" s="33"/>
      <c r="IJ67" s="33"/>
      <c r="IK67" s="33"/>
      <c r="IL67" s="33"/>
      <c r="IM67" s="33"/>
      <c r="IN67" s="33"/>
      <c r="IO67" s="33"/>
      <c r="IP67" s="33"/>
      <c r="IQ67" s="33"/>
      <c r="IR67" s="33"/>
      <c r="IS67" s="33"/>
      <c r="IT67" s="33"/>
      <c r="IU67" s="33"/>
      <c r="IV67" s="33"/>
      <c r="IW67" s="33"/>
      <c r="IX67" s="33"/>
      <c r="IY67" s="33"/>
      <c r="IZ67" s="33"/>
      <c r="JA67" s="33"/>
      <c r="JB67" s="33"/>
      <c r="JC67" s="33"/>
      <c r="JD67" s="33"/>
      <c r="JE67" s="33"/>
      <c r="JF67" s="33"/>
      <c r="JG67" s="33"/>
      <c r="JH67" s="33"/>
      <c r="JI67" s="33"/>
      <c r="JJ67" s="33"/>
      <c r="JK67" s="33"/>
      <c r="JL67" s="33"/>
      <c r="JM67" s="33"/>
      <c r="JN67" s="33"/>
      <c r="JO67" s="33"/>
      <c r="JP67" s="33"/>
      <c r="JQ67" s="33"/>
      <c r="JR67" s="33"/>
      <c r="JS67" s="33"/>
      <c r="JT67" s="33"/>
      <c r="JU67" s="33"/>
      <c r="JV67" s="33"/>
      <c r="JW67" s="33"/>
      <c r="JX67" s="33"/>
      <c r="JY67" s="33"/>
      <c r="JZ67" s="33"/>
      <c r="KA67" s="33"/>
      <c r="KB67" s="33"/>
      <c r="KC67" s="33"/>
      <c r="KD67" s="33"/>
      <c r="KE67" s="33"/>
      <c r="KF67" s="33"/>
      <c r="KG67" s="33"/>
      <c r="KH67" s="33"/>
      <c r="KI67" s="33"/>
      <c r="KJ67" s="33"/>
      <c r="KK67" s="33"/>
      <c r="KL67" s="33"/>
      <c r="KM67" s="33"/>
      <c r="KN67" s="33"/>
      <c r="KO67" s="33"/>
      <c r="KP67" s="33"/>
      <c r="KQ67" s="33"/>
      <c r="KR67" s="33"/>
      <c r="KS67" s="33"/>
      <c r="KT67" s="33"/>
      <c r="KU67" s="33"/>
      <c r="KV67" s="33"/>
      <c r="KW67" s="33"/>
      <c r="KX67" s="33"/>
      <c r="KY67" s="33"/>
      <c r="KZ67" s="33"/>
      <c r="LA67" s="33"/>
      <c r="LB67" s="33"/>
      <c r="LC67" s="33"/>
      <c r="LD67" s="33"/>
      <c r="LE67" s="33"/>
      <c r="LF67" s="33"/>
      <c r="LG67" s="33"/>
      <c r="LH67" s="33"/>
      <c r="LI67" s="33"/>
      <c r="LJ67" s="33"/>
      <c r="LK67" s="33"/>
      <c r="LL67" s="33"/>
      <c r="LM67" s="33"/>
      <c r="LN67" s="33"/>
      <c r="LO67" s="33"/>
      <c r="LP67" s="33"/>
      <c r="LQ67" s="33"/>
      <c r="LR67" s="33"/>
      <c r="LS67" s="33"/>
      <c r="LT67" s="33"/>
      <c r="LU67" s="33"/>
      <c r="LV67" s="33"/>
      <c r="LW67" s="33"/>
      <c r="LX67" s="33"/>
      <c r="LY67" s="33"/>
      <c r="LZ67" s="33"/>
      <c r="MA67" s="33"/>
      <c r="MB67" s="33"/>
      <c r="MC67" s="33"/>
      <c r="MD67" s="33"/>
      <c r="ME67" s="33"/>
      <c r="MF67" s="33"/>
      <c r="MG67" s="33"/>
      <c r="MH67" s="33"/>
      <c r="MI67" s="33"/>
      <c r="MJ67" s="33"/>
      <c r="MK67" s="33"/>
      <c r="ML67" s="33"/>
      <c r="MM67" s="33"/>
      <c r="MN67" s="33"/>
      <c r="MO67" s="33"/>
      <c r="MP67" s="33"/>
      <c r="MQ67" s="33"/>
      <c r="MR67" s="33"/>
      <c r="MS67" s="33"/>
      <c r="MT67" s="33"/>
      <c r="MU67" s="33"/>
      <c r="MV67" s="33"/>
      <c r="MW67" s="33"/>
      <c r="MX67" s="33"/>
      <c r="MY67" s="33"/>
      <c r="MZ67" s="33"/>
      <c r="NA67" s="33"/>
      <c r="NB67" s="33"/>
      <c r="NC67" s="33"/>
      <c r="ND67" s="33"/>
      <c r="NE67" s="33"/>
      <c r="NF67" s="33"/>
      <c r="NG67" s="33"/>
      <c r="NH67" s="33"/>
      <c r="NI67" s="33"/>
      <c r="NJ67" s="33"/>
      <c r="NK67" s="33"/>
      <c r="NL67" s="34"/>
    </row>
    <row r="68" spans="1:376" x14ac:dyDescent="0.15">
      <c r="A68" s="35">
        <f>A67</f>
        <v>28</v>
      </c>
      <c r="B68" s="36" t="str">
        <f>B67</f>
        <v>SD</v>
      </c>
      <c r="C68" s="36" t="str">
        <f>C67</f>
        <v>監視端末構造評価仕様書レビュー指摘対応</v>
      </c>
      <c r="D68" s="37" t="str">
        <f>D67</f>
        <v>長田</v>
      </c>
      <c r="E68" s="53" t="s">
        <v>0</v>
      </c>
      <c r="F68" s="54"/>
      <c r="G68" s="54"/>
      <c r="H68" s="55">
        <f t="shared" si="229"/>
        <v>0</v>
      </c>
      <c r="I68" s="56">
        <f>IF(OR(H67="",H68=""),"",H68-H67)</f>
        <v>-6</v>
      </c>
      <c r="J68" s="57"/>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c r="BS68" s="59"/>
      <c r="BT68" s="59"/>
      <c r="BU68" s="59"/>
      <c r="BV68" s="59"/>
      <c r="BW68" s="59"/>
      <c r="BX68" s="59"/>
      <c r="BY68" s="59"/>
      <c r="BZ68" s="59"/>
      <c r="CA68" s="59"/>
      <c r="CB68" s="59"/>
      <c r="CC68" s="59"/>
      <c r="CD68" s="59"/>
      <c r="CE68" s="59"/>
      <c r="CF68" s="59"/>
      <c r="CG68" s="59"/>
      <c r="CH68" s="59"/>
      <c r="CI68" s="59"/>
      <c r="CJ68" s="59"/>
      <c r="CK68" s="59"/>
      <c r="CL68" s="59"/>
      <c r="CM68" s="59"/>
      <c r="CN68" s="59"/>
      <c r="CO68" s="59"/>
      <c r="CP68" s="59"/>
      <c r="CQ68" s="59"/>
      <c r="CR68" s="59"/>
      <c r="CS68" s="59"/>
      <c r="CT68" s="59"/>
      <c r="CU68" s="59"/>
      <c r="CV68" s="59"/>
      <c r="CW68" s="59"/>
      <c r="CX68" s="59"/>
      <c r="CY68" s="59"/>
      <c r="CZ68" s="59"/>
      <c r="DA68" s="59"/>
      <c r="DB68" s="59"/>
      <c r="DC68" s="59"/>
      <c r="DD68" s="59"/>
      <c r="DE68" s="59"/>
      <c r="DF68" s="59"/>
      <c r="DG68" s="59"/>
      <c r="DH68" s="59"/>
      <c r="DI68" s="59"/>
      <c r="DJ68" s="59"/>
      <c r="DK68" s="59"/>
      <c r="DL68" s="59"/>
      <c r="DM68" s="59"/>
      <c r="DN68" s="59"/>
      <c r="DO68" s="59"/>
      <c r="DP68" s="59"/>
      <c r="DQ68" s="59"/>
      <c r="DR68" s="59"/>
      <c r="DS68" s="59"/>
      <c r="DT68" s="59"/>
      <c r="DU68" s="59"/>
      <c r="DV68" s="59"/>
      <c r="DW68" s="59"/>
      <c r="DX68" s="59"/>
      <c r="DY68" s="59"/>
      <c r="DZ68" s="59"/>
      <c r="EA68" s="59"/>
      <c r="EB68" s="59"/>
      <c r="EC68" s="59"/>
      <c r="ED68" s="59"/>
      <c r="EE68" s="59"/>
      <c r="EF68" s="59"/>
      <c r="EG68" s="59"/>
      <c r="EH68" s="59"/>
      <c r="EI68" s="59"/>
      <c r="EJ68" s="59"/>
      <c r="EK68" s="59"/>
      <c r="EL68" s="59"/>
      <c r="EM68" s="59"/>
      <c r="EN68" s="59"/>
      <c r="EO68" s="59"/>
      <c r="EP68" s="59"/>
      <c r="EQ68" s="59"/>
      <c r="ER68" s="59"/>
      <c r="ES68" s="59"/>
      <c r="ET68" s="59"/>
      <c r="EU68" s="59"/>
      <c r="EV68" s="59"/>
      <c r="EW68" s="59"/>
      <c r="EX68" s="59"/>
      <c r="EY68" s="59"/>
      <c r="EZ68" s="59"/>
      <c r="FA68" s="59"/>
      <c r="FB68" s="59"/>
      <c r="FC68" s="59"/>
      <c r="FD68" s="59"/>
      <c r="FE68" s="59"/>
      <c r="FF68" s="59"/>
      <c r="FG68" s="59"/>
      <c r="FH68" s="59"/>
      <c r="FI68" s="59"/>
      <c r="FJ68" s="59"/>
      <c r="FK68" s="59"/>
      <c r="FL68" s="59"/>
      <c r="FM68" s="59"/>
      <c r="FN68" s="59"/>
      <c r="FO68" s="59"/>
      <c r="FP68" s="59"/>
      <c r="FQ68" s="59"/>
      <c r="FR68" s="59"/>
      <c r="FS68" s="59"/>
      <c r="FT68" s="59"/>
      <c r="FU68" s="59"/>
      <c r="FV68" s="59"/>
      <c r="FW68" s="59"/>
      <c r="FX68" s="59"/>
      <c r="FY68" s="59"/>
      <c r="FZ68" s="59"/>
      <c r="GA68" s="59"/>
      <c r="GB68" s="59"/>
      <c r="GC68" s="59"/>
      <c r="GD68" s="59"/>
      <c r="GE68" s="59"/>
      <c r="GF68" s="59"/>
      <c r="GG68" s="59"/>
      <c r="GH68" s="59"/>
      <c r="GI68" s="59"/>
      <c r="GJ68" s="59"/>
      <c r="GK68" s="59"/>
      <c r="GL68" s="59"/>
      <c r="GM68" s="59"/>
      <c r="GN68" s="59"/>
      <c r="GO68" s="59"/>
      <c r="GP68" s="59"/>
      <c r="GQ68" s="59"/>
      <c r="GR68" s="59"/>
      <c r="GS68" s="59"/>
      <c r="GT68" s="59"/>
      <c r="GU68" s="59"/>
      <c r="GV68" s="59"/>
      <c r="GW68" s="59"/>
      <c r="GX68" s="59"/>
      <c r="GY68" s="59"/>
      <c r="GZ68" s="59"/>
      <c r="HA68" s="59"/>
      <c r="HB68" s="59"/>
      <c r="HC68" s="59"/>
      <c r="HD68" s="59"/>
      <c r="HE68" s="59"/>
      <c r="HF68" s="59"/>
      <c r="HG68" s="59"/>
      <c r="HH68" s="59"/>
      <c r="HI68" s="59"/>
      <c r="HJ68" s="59"/>
      <c r="HK68" s="59"/>
      <c r="HL68" s="59"/>
      <c r="HM68" s="59"/>
      <c r="HN68" s="59"/>
      <c r="HO68" s="59"/>
      <c r="HP68" s="59"/>
      <c r="HQ68" s="59"/>
      <c r="HR68" s="59"/>
      <c r="HS68" s="59"/>
      <c r="HT68" s="59"/>
      <c r="HU68" s="59"/>
      <c r="HV68" s="59"/>
      <c r="HW68" s="59"/>
      <c r="HX68" s="59"/>
      <c r="HY68" s="59"/>
      <c r="HZ68" s="59"/>
      <c r="IA68" s="59"/>
      <c r="IB68" s="59"/>
      <c r="IC68" s="59"/>
      <c r="ID68" s="59"/>
      <c r="IE68" s="59"/>
      <c r="IF68" s="59"/>
      <c r="IG68" s="59"/>
      <c r="IH68" s="59"/>
      <c r="II68" s="59"/>
      <c r="IJ68" s="59"/>
      <c r="IK68" s="59"/>
      <c r="IL68" s="59"/>
      <c r="IM68" s="59"/>
      <c r="IN68" s="59"/>
      <c r="IO68" s="59"/>
      <c r="IP68" s="59"/>
      <c r="IQ68" s="59"/>
      <c r="IR68" s="59"/>
      <c r="IS68" s="59"/>
      <c r="IT68" s="59"/>
      <c r="IU68" s="59"/>
      <c r="IV68" s="59"/>
      <c r="IW68" s="59"/>
      <c r="IX68" s="59"/>
      <c r="IY68" s="59"/>
      <c r="IZ68" s="59"/>
      <c r="JA68" s="59"/>
      <c r="JB68" s="59"/>
      <c r="JC68" s="59"/>
      <c r="JD68" s="59"/>
      <c r="JE68" s="59"/>
      <c r="JF68" s="59"/>
      <c r="JG68" s="59"/>
      <c r="JH68" s="59"/>
      <c r="JI68" s="59"/>
      <c r="JJ68" s="59"/>
      <c r="JK68" s="59"/>
      <c r="JL68" s="59"/>
      <c r="JM68" s="59"/>
      <c r="JN68" s="59"/>
      <c r="JO68" s="59"/>
      <c r="JP68" s="59"/>
      <c r="JQ68" s="59"/>
      <c r="JR68" s="59"/>
      <c r="JS68" s="59"/>
      <c r="JT68" s="59"/>
      <c r="JU68" s="59"/>
      <c r="JV68" s="59"/>
      <c r="JW68" s="59"/>
      <c r="JX68" s="59"/>
      <c r="JY68" s="59"/>
      <c r="JZ68" s="59"/>
      <c r="KA68" s="59"/>
      <c r="KB68" s="59"/>
      <c r="KC68" s="59"/>
      <c r="KD68" s="59"/>
      <c r="KE68" s="59"/>
      <c r="KF68" s="59"/>
      <c r="KG68" s="59"/>
      <c r="KH68" s="59"/>
      <c r="KI68" s="59"/>
      <c r="KJ68" s="59"/>
      <c r="KK68" s="59"/>
      <c r="KL68" s="59"/>
      <c r="KM68" s="59"/>
      <c r="KN68" s="59"/>
      <c r="KO68" s="59"/>
      <c r="KP68" s="59"/>
      <c r="KQ68" s="59"/>
      <c r="KR68" s="59"/>
      <c r="KS68" s="59"/>
      <c r="KT68" s="59"/>
      <c r="KU68" s="59"/>
      <c r="KV68" s="59"/>
      <c r="KW68" s="59"/>
      <c r="KX68" s="59"/>
      <c r="KY68" s="59"/>
      <c r="KZ68" s="59"/>
      <c r="LA68" s="59"/>
      <c r="LB68" s="59"/>
      <c r="LC68" s="59"/>
      <c r="LD68" s="59"/>
      <c r="LE68" s="59"/>
      <c r="LF68" s="59"/>
      <c r="LG68" s="59"/>
      <c r="LH68" s="59"/>
      <c r="LI68" s="59"/>
      <c r="LJ68" s="59"/>
      <c r="LK68" s="59"/>
      <c r="LL68" s="59"/>
      <c r="LM68" s="59"/>
      <c r="LN68" s="59"/>
      <c r="LO68" s="59"/>
      <c r="LP68" s="59"/>
      <c r="LQ68" s="59"/>
      <c r="LR68" s="59"/>
      <c r="LS68" s="59"/>
      <c r="LT68" s="59"/>
      <c r="LU68" s="59"/>
      <c r="LV68" s="59"/>
      <c r="LW68" s="59"/>
      <c r="LX68" s="59"/>
      <c r="LY68" s="59"/>
      <c r="LZ68" s="59"/>
      <c r="MA68" s="59"/>
      <c r="MB68" s="59"/>
      <c r="MC68" s="59"/>
      <c r="MD68" s="59"/>
      <c r="ME68" s="59"/>
      <c r="MF68" s="59"/>
      <c r="MG68" s="59"/>
      <c r="MH68" s="59"/>
      <c r="MI68" s="59"/>
      <c r="MJ68" s="59"/>
      <c r="MK68" s="59"/>
      <c r="ML68" s="59"/>
      <c r="MM68" s="59"/>
      <c r="MN68" s="59"/>
      <c r="MO68" s="59"/>
      <c r="MP68" s="59"/>
      <c r="MQ68" s="59"/>
      <c r="MR68" s="59"/>
      <c r="MS68" s="59"/>
      <c r="MT68" s="59"/>
      <c r="MU68" s="59"/>
      <c r="MV68" s="59"/>
      <c r="MW68" s="59"/>
      <c r="MX68" s="59"/>
      <c r="MY68" s="59"/>
      <c r="MZ68" s="59"/>
      <c r="NA68" s="59"/>
      <c r="NB68" s="59"/>
      <c r="NC68" s="59"/>
      <c r="ND68" s="59"/>
      <c r="NE68" s="59"/>
      <c r="NF68" s="59"/>
      <c r="NG68" s="59"/>
      <c r="NH68" s="59"/>
      <c r="NI68" s="59"/>
      <c r="NJ68" s="59"/>
      <c r="NK68" s="59"/>
      <c r="NL68" s="60"/>
    </row>
    <row r="69" spans="1:376" x14ac:dyDescent="0.15">
      <c r="A69" s="23">
        <v>29</v>
      </c>
      <c r="B69" s="24" t="s">
        <v>140</v>
      </c>
      <c r="C69" s="45" t="s">
        <v>141</v>
      </c>
      <c r="D69" s="26" t="s">
        <v>114</v>
      </c>
      <c r="E69" s="27" t="s">
        <v>13</v>
      </c>
      <c r="F69" s="28">
        <v>42933</v>
      </c>
      <c r="G69" s="28">
        <v>42973</v>
      </c>
      <c r="H69" s="29">
        <f t="shared" si="229"/>
        <v>24</v>
      </c>
      <c r="I69" s="30"/>
      <c r="J69" s="31"/>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3"/>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33"/>
      <c r="CA69" s="33"/>
      <c r="CB69" s="33"/>
      <c r="CC69" s="33"/>
      <c r="CD69" s="33"/>
      <c r="CE69" s="33"/>
      <c r="CF69" s="33"/>
      <c r="CG69" s="33"/>
      <c r="CH69" s="33"/>
      <c r="CI69" s="33"/>
      <c r="CJ69" s="33"/>
      <c r="CK69" s="33"/>
      <c r="CL69" s="33"/>
      <c r="CM69" s="33"/>
      <c r="CN69" s="33"/>
      <c r="CO69" s="33"/>
      <c r="CP69" s="33"/>
      <c r="CQ69" s="33"/>
      <c r="CR69" s="33"/>
      <c r="CS69" s="33"/>
      <c r="CT69" s="33"/>
      <c r="CU69" s="33"/>
      <c r="CV69" s="33"/>
      <c r="CW69" s="33"/>
      <c r="CX69" s="33"/>
      <c r="CY69" s="33"/>
      <c r="CZ69" s="33"/>
      <c r="DA69" s="33"/>
      <c r="DB69" s="33"/>
      <c r="DC69" s="33"/>
      <c r="DD69" s="33"/>
      <c r="DE69" s="33"/>
      <c r="DF69" s="33"/>
      <c r="DG69" s="33"/>
      <c r="DH69" s="33"/>
      <c r="DI69" s="33"/>
      <c r="DJ69" s="33"/>
      <c r="DK69" s="33"/>
      <c r="DL69" s="33"/>
      <c r="DM69" s="33"/>
      <c r="DN69" s="33"/>
      <c r="DO69" s="33"/>
      <c r="DP69" s="33">
        <v>4</v>
      </c>
      <c r="DQ69" s="33"/>
      <c r="DR69" s="33"/>
      <c r="DS69" s="33"/>
      <c r="DT69" s="33"/>
      <c r="DU69" s="33"/>
      <c r="DV69" s="33"/>
      <c r="DW69" s="33">
        <v>4</v>
      </c>
      <c r="DX69" s="33"/>
      <c r="DY69" s="33"/>
      <c r="DZ69" s="33"/>
      <c r="EA69" s="33"/>
      <c r="EB69" s="33"/>
      <c r="EC69" s="33"/>
      <c r="ED69" s="33">
        <v>4</v>
      </c>
      <c r="EE69" s="33"/>
      <c r="EF69" s="33"/>
      <c r="EG69" s="33"/>
      <c r="EH69" s="33"/>
      <c r="EI69" s="33"/>
      <c r="EJ69" s="33"/>
      <c r="EK69" s="33">
        <v>4</v>
      </c>
      <c r="EL69" s="33"/>
      <c r="EM69" s="33"/>
      <c r="EN69" s="33"/>
      <c r="EO69" s="33"/>
      <c r="EP69" s="33"/>
      <c r="EQ69" s="33"/>
      <c r="ER69" s="33">
        <v>4</v>
      </c>
      <c r="ES69" s="33"/>
      <c r="ET69" s="33"/>
      <c r="EU69" s="33"/>
      <c r="EV69" s="33"/>
      <c r="EW69" s="33"/>
      <c r="EX69" s="33"/>
      <c r="EY69" s="33">
        <v>4</v>
      </c>
      <c r="EZ69" s="33"/>
      <c r="FA69" s="33"/>
      <c r="FB69" s="33"/>
      <c r="FC69" s="33"/>
      <c r="FD69" s="33"/>
      <c r="FE69" s="33"/>
      <c r="FF69" s="33"/>
      <c r="FG69" s="33"/>
      <c r="FH69" s="33"/>
      <c r="FI69" s="33"/>
      <c r="FJ69" s="33"/>
      <c r="FK69" s="33"/>
      <c r="FL69" s="33"/>
      <c r="FM69" s="33"/>
      <c r="FN69" s="33"/>
      <c r="FO69" s="33"/>
      <c r="FP69" s="33"/>
      <c r="FQ69" s="33"/>
      <c r="FR69" s="33"/>
      <c r="FS69" s="33"/>
      <c r="FT69" s="33"/>
      <c r="FU69" s="33"/>
      <c r="FV69" s="33"/>
      <c r="FW69" s="33"/>
      <c r="FX69" s="33"/>
      <c r="FY69" s="33"/>
      <c r="FZ69" s="33"/>
      <c r="GA69" s="33"/>
      <c r="GB69" s="33"/>
      <c r="GC69" s="33"/>
      <c r="GD69" s="33"/>
      <c r="GE69" s="33"/>
      <c r="GF69" s="33"/>
      <c r="GG69" s="33"/>
      <c r="GH69" s="33"/>
      <c r="GI69" s="33"/>
      <c r="GJ69" s="33"/>
      <c r="GK69" s="33"/>
      <c r="GL69" s="33"/>
      <c r="GM69" s="33"/>
      <c r="GN69" s="33"/>
      <c r="GO69" s="33"/>
      <c r="GP69" s="33"/>
      <c r="GQ69" s="33"/>
      <c r="GR69" s="33"/>
      <c r="GS69" s="33"/>
      <c r="GT69" s="33"/>
      <c r="GU69" s="33"/>
      <c r="GV69" s="33"/>
      <c r="GW69" s="33"/>
      <c r="GX69" s="33"/>
      <c r="GY69" s="33"/>
      <c r="GZ69" s="33"/>
      <c r="HA69" s="33"/>
      <c r="HB69" s="33"/>
      <c r="HC69" s="33"/>
      <c r="HD69" s="33"/>
      <c r="HE69" s="33"/>
      <c r="HF69" s="33"/>
      <c r="HG69" s="33"/>
      <c r="HH69" s="33"/>
      <c r="HI69" s="33"/>
      <c r="HJ69" s="33"/>
      <c r="HK69" s="33"/>
      <c r="HL69" s="33"/>
      <c r="HM69" s="33"/>
      <c r="HN69" s="33"/>
      <c r="HO69" s="33"/>
      <c r="HP69" s="33"/>
      <c r="HQ69" s="33"/>
      <c r="HR69" s="33"/>
      <c r="HS69" s="33"/>
      <c r="HT69" s="33"/>
      <c r="HU69" s="33"/>
      <c r="HV69" s="33"/>
      <c r="HW69" s="33"/>
      <c r="HX69" s="33"/>
      <c r="HY69" s="33"/>
      <c r="HZ69" s="33"/>
      <c r="IA69" s="33"/>
      <c r="IB69" s="33"/>
      <c r="IC69" s="33"/>
      <c r="ID69" s="33"/>
      <c r="IE69" s="33"/>
      <c r="IF69" s="33"/>
      <c r="IG69" s="33"/>
      <c r="IH69" s="33"/>
      <c r="II69" s="33"/>
      <c r="IJ69" s="33"/>
      <c r="IK69" s="33"/>
      <c r="IL69" s="33"/>
      <c r="IM69" s="33"/>
      <c r="IN69" s="33"/>
      <c r="IO69" s="33"/>
      <c r="IP69" s="33"/>
      <c r="IQ69" s="33"/>
      <c r="IR69" s="33"/>
      <c r="IS69" s="33"/>
      <c r="IT69" s="33"/>
      <c r="IU69" s="33"/>
      <c r="IV69" s="33"/>
      <c r="IW69" s="33"/>
      <c r="IX69" s="33"/>
      <c r="IY69" s="33"/>
      <c r="IZ69" s="33"/>
      <c r="JA69" s="33"/>
      <c r="JB69" s="33"/>
      <c r="JC69" s="33"/>
      <c r="JD69" s="33"/>
      <c r="JE69" s="33"/>
      <c r="JF69" s="33"/>
      <c r="JG69" s="33"/>
      <c r="JH69" s="33"/>
      <c r="JI69" s="33"/>
      <c r="JJ69" s="33"/>
      <c r="JK69" s="33"/>
      <c r="JL69" s="33"/>
      <c r="JM69" s="33"/>
      <c r="JN69" s="33"/>
      <c r="JO69" s="33"/>
      <c r="JP69" s="33"/>
      <c r="JQ69" s="33"/>
      <c r="JR69" s="33"/>
      <c r="JS69" s="33"/>
      <c r="JT69" s="33"/>
      <c r="JU69" s="33"/>
      <c r="JV69" s="33"/>
      <c r="JW69" s="33"/>
      <c r="JX69" s="33"/>
      <c r="JY69" s="33"/>
      <c r="JZ69" s="33"/>
      <c r="KA69" s="33"/>
      <c r="KB69" s="33"/>
      <c r="KC69" s="33"/>
      <c r="KD69" s="33"/>
      <c r="KE69" s="33"/>
      <c r="KF69" s="33"/>
      <c r="KG69" s="33"/>
      <c r="KH69" s="33"/>
      <c r="KI69" s="33"/>
      <c r="KJ69" s="33"/>
      <c r="KK69" s="33"/>
      <c r="KL69" s="33"/>
      <c r="KM69" s="33"/>
      <c r="KN69" s="33"/>
      <c r="KO69" s="33"/>
      <c r="KP69" s="33"/>
      <c r="KQ69" s="33"/>
      <c r="KR69" s="33"/>
      <c r="KS69" s="33"/>
      <c r="KT69" s="33"/>
      <c r="KU69" s="33"/>
      <c r="KV69" s="33"/>
      <c r="KW69" s="33"/>
      <c r="KX69" s="33"/>
      <c r="KY69" s="33"/>
      <c r="KZ69" s="33"/>
      <c r="LA69" s="33"/>
      <c r="LB69" s="33"/>
      <c r="LC69" s="33"/>
      <c r="LD69" s="33"/>
      <c r="LE69" s="33"/>
      <c r="LF69" s="33"/>
      <c r="LG69" s="33"/>
      <c r="LH69" s="33"/>
      <c r="LI69" s="33"/>
      <c r="LJ69" s="33"/>
      <c r="LK69" s="33"/>
      <c r="LL69" s="33"/>
      <c r="LM69" s="33"/>
      <c r="LN69" s="33"/>
      <c r="LO69" s="33"/>
      <c r="LP69" s="33"/>
      <c r="LQ69" s="33"/>
      <c r="LR69" s="33"/>
      <c r="LS69" s="33"/>
      <c r="LT69" s="33"/>
      <c r="LU69" s="33"/>
      <c r="LV69" s="33"/>
      <c r="LW69" s="33"/>
      <c r="LX69" s="33"/>
      <c r="LY69" s="33"/>
      <c r="LZ69" s="33"/>
      <c r="MA69" s="33"/>
      <c r="MB69" s="33"/>
      <c r="MC69" s="33"/>
      <c r="MD69" s="33"/>
      <c r="ME69" s="33"/>
      <c r="MF69" s="33"/>
      <c r="MG69" s="33"/>
      <c r="MH69" s="33"/>
      <c r="MI69" s="33"/>
      <c r="MJ69" s="33"/>
      <c r="MK69" s="33"/>
      <c r="ML69" s="33"/>
      <c r="MM69" s="33"/>
      <c r="MN69" s="33"/>
      <c r="MO69" s="33"/>
      <c r="MP69" s="33"/>
      <c r="MQ69" s="33"/>
      <c r="MR69" s="33"/>
      <c r="MS69" s="33"/>
      <c r="MT69" s="33"/>
      <c r="MU69" s="33"/>
      <c r="MV69" s="33"/>
      <c r="MW69" s="33"/>
      <c r="MX69" s="33"/>
      <c r="MY69" s="33"/>
      <c r="MZ69" s="33"/>
      <c r="NA69" s="33"/>
      <c r="NB69" s="33"/>
      <c r="NC69" s="33"/>
      <c r="ND69" s="33"/>
      <c r="NE69" s="33"/>
      <c r="NF69" s="33"/>
      <c r="NG69" s="33"/>
      <c r="NH69" s="33"/>
      <c r="NI69" s="33"/>
      <c r="NJ69" s="33"/>
      <c r="NK69" s="33"/>
      <c r="NL69" s="34"/>
    </row>
    <row r="70" spans="1:376" x14ac:dyDescent="0.15">
      <c r="A70" s="35">
        <f>A69</f>
        <v>29</v>
      </c>
      <c r="B70" s="36" t="str">
        <f>B69</f>
        <v>DD</v>
      </c>
      <c r="C70" s="36" t="str">
        <f>C69</f>
        <v>Webアプリ詳細設計書作成</v>
      </c>
      <c r="D70" s="37" t="str">
        <f>D69</f>
        <v>那須</v>
      </c>
      <c r="E70" s="53" t="s">
        <v>0</v>
      </c>
      <c r="F70" s="54"/>
      <c r="G70" s="54"/>
      <c r="H70" s="55">
        <f t="shared" si="229"/>
        <v>0</v>
      </c>
      <c r="I70" s="56">
        <f>IF(OR(H69="",H70=""),"",H70-H69)</f>
        <v>-24</v>
      </c>
      <c r="J70" s="57"/>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c r="BS70" s="59"/>
      <c r="BT70" s="59"/>
      <c r="BU70" s="59"/>
      <c r="BV70" s="59"/>
      <c r="BW70" s="59"/>
      <c r="BX70" s="59"/>
      <c r="BY70" s="59"/>
      <c r="BZ70" s="59"/>
      <c r="CA70" s="59"/>
      <c r="CB70" s="59"/>
      <c r="CC70" s="59"/>
      <c r="CD70" s="59"/>
      <c r="CE70" s="59"/>
      <c r="CF70" s="59"/>
      <c r="CG70" s="59"/>
      <c r="CH70" s="59"/>
      <c r="CI70" s="59"/>
      <c r="CJ70" s="59"/>
      <c r="CK70" s="59"/>
      <c r="CL70" s="59"/>
      <c r="CM70" s="59"/>
      <c r="CN70" s="59"/>
      <c r="CO70" s="59"/>
      <c r="CP70" s="59"/>
      <c r="CQ70" s="59"/>
      <c r="CR70" s="59"/>
      <c r="CS70" s="59"/>
      <c r="CT70" s="59"/>
      <c r="CU70" s="59"/>
      <c r="CV70" s="59"/>
      <c r="CW70" s="59"/>
      <c r="CX70" s="59"/>
      <c r="CY70" s="59"/>
      <c r="CZ70" s="59"/>
      <c r="DA70" s="59"/>
      <c r="DB70" s="59"/>
      <c r="DC70" s="59"/>
      <c r="DD70" s="59"/>
      <c r="DE70" s="59"/>
      <c r="DF70" s="59"/>
      <c r="DG70" s="59"/>
      <c r="DH70" s="59"/>
      <c r="DI70" s="59"/>
      <c r="DJ70" s="59"/>
      <c r="DK70" s="59"/>
      <c r="DL70" s="59"/>
      <c r="DM70" s="59"/>
      <c r="DN70" s="59"/>
      <c r="DO70" s="59"/>
      <c r="DP70" s="59"/>
      <c r="DQ70" s="59"/>
      <c r="DR70" s="59"/>
      <c r="DS70" s="59"/>
      <c r="DT70" s="59"/>
      <c r="DU70" s="59"/>
      <c r="DV70" s="59"/>
      <c r="DW70" s="59"/>
      <c r="DX70" s="59"/>
      <c r="DY70" s="59"/>
      <c r="DZ70" s="59"/>
      <c r="EA70" s="59"/>
      <c r="EB70" s="59"/>
      <c r="EC70" s="59"/>
      <c r="ED70" s="59"/>
      <c r="EE70" s="59"/>
      <c r="EF70" s="59"/>
      <c r="EG70" s="59"/>
      <c r="EH70" s="59"/>
      <c r="EI70" s="59"/>
      <c r="EJ70" s="59"/>
      <c r="EK70" s="59"/>
      <c r="EL70" s="59"/>
      <c r="EM70" s="59"/>
      <c r="EN70" s="59"/>
      <c r="EO70" s="59"/>
      <c r="EP70" s="59"/>
      <c r="EQ70" s="59"/>
      <c r="ER70" s="59"/>
      <c r="ES70" s="59"/>
      <c r="ET70" s="59"/>
      <c r="EU70" s="59"/>
      <c r="EV70" s="59"/>
      <c r="EW70" s="59"/>
      <c r="EX70" s="59"/>
      <c r="EY70" s="59"/>
      <c r="EZ70" s="59"/>
      <c r="FA70" s="59"/>
      <c r="FB70" s="59"/>
      <c r="FC70" s="59"/>
      <c r="FD70" s="59"/>
      <c r="FE70" s="59"/>
      <c r="FF70" s="59"/>
      <c r="FG70" s="59"/>
      <c r="FH70" s="59"/>
      <c r="FI70" s="59"/>
      <c r="FJ70" s="59"/>
      <c r="FK70" s="59"/>
      <c r="FL70" s="59"/>
      <c r="FM70" s="59"/>
      <c r="FN70" s="59"/>
      <c r="FO70" s="59"/>
      <c r="FP70" s="59"/>
      <c r="FQ70" s="59"/>
      <c r="FR70" s="59"/>
      <c r="FS70" s="59"/>
      <c r="FT70" s="59"/>
      <c r="FU70" s="59"/>
      <c r="FV70" s="59"/>
      <c r="FW70" s="59"/>
      <c r="FX70" s="59"/>
      <c r="FY70" s="59"/>
      <c r="FZ70" s="59"/>
      <c r="GA70" s="59"/>
      <c r="GB70" s="59"/>
      <c r="GC70" s="59"/>
      <c r="GD70" s="59"/>
      <c r="GE70" s="59"/>
      <c r="GF70" s="59"/>
      <c r="GG70" s="59"/>
      <c r="GH70" s="59"/>
      <c r="GI70" s="59"/>
      <c r="GJ70" s="59"/>
      <c r="GK70" s="59"/>
      <c r="GL70" s="59"/>
      <c r="GM70" s="59"/>
      <c r="GN70" s="59"/>
      <c r="GO70" s="59"/>
      <c r="GP70" s="59"/>
      <c r="GQ70" s="59"/>
      <c r="GR70" s="59"/>
      <c r="GS70" s="59"/>
      <c r="GT70" s="59"/>
      <c r="GU70" s="59"/>
      <c r="GV70" s="59"/>
      <c r="GW70" s="59"/>
      <c r="GX70" s="59"/>
      <c r="GY70" s="59"/>
      <c r="GZ70" s="59"/>
      <c r="HA70" s="59"/>
      <c r="HB70" s="59"/>
      <c r="HC70" s="59"/>
      <c r="HD70" s="59"/>
      <c r="HE70" s="59"/>
      <c r="HF70" s="59"/>
      <c r="HG70" s="59"/>
      <c r="HH70" s="59"/>
      <c r="HI70" s="59"/>
      <c r="HJ70" s="59"/>
      <c r="HK70" s="59"/>
      <c r="HL70" s="59"/>
      <c r="HM70" s="59"/>
      <c r="HN70" s="59"/>
      <c r="HO70" s="59"/>
      <c r="HP70" s="59"/>
      <c r="HQ70" s="59"/>
      <c r="HR70" s="59"/>
      <c r="HS70" s="59"/>
      <c r="HT70" s="59"/>
      <c r="HU70" s="59"/>
      <c r="HV70" s="59"/>
      <c r="HW70" s="59"/>
      <c r="HX70" s="59"/>
      <c r="HY70" s="59"/>
      <c r="HZ70" s="59"/>
      <c r="IA70" s="59"/>
      <c r="IB70" s="59"/>
      <c r="IC70" s="59"/>
      <c r="ID70" s="59"/>
      <c r="IE70" s="59"/>
      <c r="IF70" s="59"/>
      <c r="IG70" s="59"/>
      <c r="IH70" s="59"/>
      <c r="II70" s="59"/>
      <c r="IJ70" s="59"/>
      <c r="IK70" s="59"/>
      <c r="IL70" s="59"/>
      <c r="IM70" s="59"/>
      <c r="IN70" s="59"/>
      <c r="IO70" s="59"/>
      <c r="IP70" s="59"/>
      <c r="IQ70" s="59"/>
      <c r="IR70" s="59"/>
      <c r="IS70" s="59"/>
      <c r="IT70" s="59"/>
      <c r="IU70" s="59"/>
      <c r="IV70" s="59"/>
      <c r="IW70" s="59"/>
      <c r="IX70" s="59"/>
      <c r="IY70" s="59"/>
      <c r="IZ70" s="59"/>
      <c r="JA70" s="59"/>
      <c r="JB70" s="59"/>
      <c r="JC70" s="59"/>
      <c r="JD70" s="59"/>
      <c r="JE70" s="59"/>
      <c r="JF70" s="59"/>
      <c r="JG70" s="59"/>
      <c r="JH70" s="59"/>
      <c r="JI70" s="59"/>
      <c r="JJ70" s="59"/>
      <c r="JK70" s="59"/>
      <c r="JL70" s="59"/>
      <c r="JM70" s="59"/>
      <c r="JN70" s="59"/>
      <c r="JO70" s="59"/>
      <c r="JP70" s="59"/>
      <c r="JQ70" s="59"/>
      <c r="JR70" s="59"/>
      <c r="JS70" s="59"/>
      <c r="JT70" s="59"/>
      <c r="JU70" s="59"/>
      <c r="JV70" s="59"/>
      <c r="JW70" s="59"/>
      <c r="JX70" s="59"/>
      <c r="JY70" s="59"/>
      <c r="JZ70" s="59"/>
      <c r="KA70" s="59"/>
      <c r="KB70" s="59"/>
      <c r="KC70" s="59"/>
      <c r="KD70" s="59"/>
      <c r="KE70" s="59"/>
      <c r="KF70" s="59"/>
      <c r="KG70" s="59"/>
      <c r="KH70" s="59"/>
      <c r="KI70" s="59"/>
      <c r="KJ70" s="59"/>
      <c r="KK70" s="59"/>
      <c r="KL70" s="59"/>
      <c r="KM70" s="59"/>
      <c r="KN70" s="59"/>
      <c r="KO70" s="59"/>
      <c r="KP70" s="59"/>
      <c r="KQ70" s="59"/>
      <c r="KR70" s="59"/>
      <c r="KS70" s="59"/>
      <c r="KT70" s="59"/>
      <c r="KU70" s="59"/>
      <c r="KV70" s="59"/>
      <c r="KW70" s="59"/>
      <c r="KX70" s="59"/>
      <c r="KY70" s="59"/>
      <c r="KZ70" s="59"/>
      <c r="LA70" s="59"/>
      <c r="LB70" s="59"/>
      <c r="LC70" s="59"/>
      <c r="LD70" s="59"/>
      <c r="LE70" s="59"/>
      <c r="LF70" s="59"/>
      <c r="LG70" s="59"/>
      <c r="LH70" s="59"/>
      <c r="LI70" s="59"/>
      <c r="LJ70" s="59"/>
      <c r="LK70" s="59"/>
      <c r="LL70" s="59"/>
      <c r="LM70" s="59"/>
      <c r="LN70" s="59"/>
      <c r="LO70" s="59"/>
      <c r="LP70" s="59"/>
      <c r="LQ70" s="59"/>
      <c r="LR70" s="59"/>
      <c r="LS70" s="59"/>
      <c r="LT70" s="59"/>
      <c r="LU70" s="59"/>
      <c r="LV70" s="59"/>
      <c r="LW70" s="59"/>
      <c r="LX70" s="59"/>
      <c r="LY70" s="59"/>
      <c r="LZ70" s="59"/>
      <c r="MA70" s="59"/>
      <c r="MB70" s="59"/>
      <c r="MC70" s="59"/>
      <c r="MD70" s="59"/>
      <c r="ME70" s="59"/>
      <c r="MF70" s="59"/>
      <c r="MG70" s="59"/>
      <c r="MH70" s="59"/>
      <c r="MI70" s="59"/>
      <c r="MJ70" s="59"/>
      <c r="MK70" s="59"/>
      <c r="ML70" s="59"/>
      <c r="MM70" s="59"/>
      <c r="MN70" s="59"/>
      <c r="MO70" s="59"/>
      <c r="MP70" s="59"/>
      <c r="MQ70" s="59"/>
      <c r="MR70" s="59"/>
      <c r="MS70" s="59"/>
      <c r="MT70" s="59"/>
      <c r="MU70" s="59"/>
      <c r="MV70" s="59"/>
      <c r="MW70" s="59"/>
      <c r="MX70" s="59"/>
      <c r="MY70" s="59"/>
      <c r="MZ70" s="59"/>
      <c r="NA70" s="59"/>
      <c r="NB70" s="59"/>
      <c r="NC70" s="59"/>
      <c r="ND70" s="59"/>
      <c r="NE70" s="59"/>
      <c r="NF70" s="59"/>
      <c r="NG70" s="59"/>
      <c r="NH70" s="59"/>
      <c r="NI70" s="59"/>
      <c r="NJ70" s="59"/>
      <c r="NK70" s="59"/>
      <c r="NL70" s="60"/>
    </row>
    <row r="71" spans="1:376" x14ac:dyDescent="0.15">
      <c r="A71" s="23">
        <v>30</v>
      </c>
      <c r="B71" s="24" t="s">
        <v>140</v>
      </c>
      <c r="C71" s="45" t="s">
        <v>142</v>
      </c>
      <c r="D71" s="26" t="s">
        <v>164</v>
      </c>
      <c r="E71" s="27" t="s">
        <v>13</v>
      </c>
      <c r="F71" s="28">
        <v>42973</v>
      </c>
      <c r="G71" s="28">
        <v>42973</v>
      </c>
      <c r="H71" s="29">
        <f t="shared" si="229"/>
        <v>4</v>
      </c>
      <c r="I71" s="30"/>
      <c r="J71" s="31"/>
      <c r="K71" s="32"/>
      <c r="L71" s="32"/>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3"/>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33"/>
      <c r="CA71" s="33"/>
      <c r="CB71" s="33"/>
      <c r="CC71" s="33"/>
      <c r="CD71" s="33"/>
      <c r="CE71" s="33"/>
      <c r="CF71" s="33"/>
      <c r="CG71" s="33"/>
      <c r="CH71" s="33"/>
      <c r="CI71" s="33"/>
      <c r="CJ71" s="33"/>
      <c r="CK71" s="33"/>
      <c r="CL71" s="33"/>
      <c r="CM71" s="33"/>
      <c r="CN71" s="33"/>
      <c r="CO71" s="33"/>
      <c r="CP71" s="33"/>
      <c r="CQ71" s="33"/>
      <c r="CR71" s="33"/>
      <c r="CS71" s="33"/>
      <c r="CT71" s="33"/>
      <c r="CU71" s="33"/>
      <c r="CV71" s="33"/>
      <c r="CW71" s="33"/>
      <c r="CX71" s="33"/>
      <c r="CY71" s="33"/>
      <c r="CZ71" s="33"/>
      <c r="DA71" s="33"/>
      <c r="DB71" s="33"/>
      <c r="DC71" s="33"/>
      <c r="DD71" s="33"/>
      <c r="DE71" s="33"/>
      <c r="DF71" s="33"/>
      <c r="DG71" s="33"/>
      <c r="DH71" s="33"/>
      <c r="DI71" s="33"/>
      <c r="DJ71" s="33"/>
      <c r="DK71" s="33"/>
      <c r="DL71" s="33"/>
      <c r="DM71" s="33"/>
      <c r="DN71" s="33"/>
      <c r="DO71" s="33"/>
      <c r="DP71" s="33"/>
      <c r="DQ71" s="33"/>
      <c r="DR71" s="33"/>
      <c r="DS71" s="33"/>
      <c r="DT71" s="33"/>
      <c r="DU71" s="33"/>
      <c r="DV71" s="33"/>
      <c r="DW71" s="33"/>
      <c r="DX71" s="33"/>
      <c r="DY71" s="33"/>
      <c r="DZ71" s="33"/>
      <c r="EA71" s="33"/>
      <c r="EB71" s="33"/>
      <c r="EC71" s="33"/>
      <c r="ED71" s="33"/>
      <c r="EE71" s="33"/>
      <c r="EF71" s="33"/>
      <c r="EG71" s="33"/>
      <c r="EH71" s="33"/>
      <c r="EI71" s="33"/>
      <c r="EJ71" s="33"/>
      <c r="EK71" s="33"/>
      <c r="EL71" s="33"/>
      <c r="EM71" s="33"/>
      <c r="EN71" s="33"/>
      <c r="EO71" s="33"/>
      <c r="EP71" s="33"/>
      <c r="EQ71" s="33"/>
      <c r="ER71" s="33"/>
      <c r="ES71" s="33"/>
      <c r="ET71" s="33"/>
      <c r="EU71" s="33"/>
      <c r="EV71" s="33"/>
      <c r="EW71" s="33"/>
      <c r="EX71" s="33"/>
      <c r="EY71" s="33">
        <v>4</v>
      </c>
      <c r="EZ71" s="33"/>
      <c r="FA71" s="33"/>
      <c r="FB71" s="33"/>
      <c r="FC71" s="33"/>
      <c r="FD71" s="33"/>
      <c r="FE71" s="33"/>
      <c r="FF71" s="33"/>
      <c r="FG71" s="33"/>
      <c r="FH71" s="33"/>
      <c r="FI71" s="33"/>
      <c r="FJ71" s="33"/>
      <c r="FK71" s="33"/>
      <c r="FL71" s="33"/>
      <c r="FM71" s="33"/>
      <c r="FN71" s="33"/>
      <c r="FO71" s="33"/>
      <c r="FP71" s="33"/>
      <c r="FQ71" s="33"/>
      <c r="FR71" s="33"/>
      <c r="FS71" s="33"/>
      <c r="FT71" s="33"/>
      <c r="FU71" s="33"/>
      <c r="FV71" s="33"/>
      <c r="FW71" s="33"/>
      <c r="FX71" s="33"/>
      <c r="FY71" s="33"/>
      <c r="FZ71" s="33"/>
      <c r="GA71" s="33"/>
      <c r="GB71" s="33"/>
      <c r="GC71" s="33"/>
      <c r="GD71" s="33"/>
      <c r="GE71" s="33"/>
      <c r="GF71" s="33"/>
      <c r="GG71" s="33"/>
      <c r="GH71" s="33"/>
      <c r="GI71" s="33"/>
      <c r="GJ71" s="33"/>
      <c r="GK71" s="33"/>
      <c r="GL71" s="33"/>
      <c r="GM71" s="33"/>
      <c r="GN71" s="33"/>
      <c r="GO71" s="33"/>
      <c r="GP71" s="33"/>
      <c r="GQ71" s="33"/>
      <c r="GR71" s="33"/>
      <c r="GS71" s="33"/>
      <c r="GT71" s="33"/>
      <c r="GU71" s="33"/>
      <c r="GV71" s="33"/>
      <c r="GW71" s="33"/>
      <c r="GX71" s="33"/>
      <c r="GY71" s="33"/>
      <c r="GZ71" s="33"/>
      <c r="HA71" s="33"/>
      <c r="HB71" s="33"/>
      <c r="HC71" s="33"/>
      <c r="HD71" s="33"/>
      <c r="HE71" s="33"/>
      <c r="HF71" s="33"/>
      <c r="HG71" s="33"/>
      <c r="HH71" s="33"/>
      <c r="HI71" s="33"/>
      <c r="HJ71" s="33"/>
      <c r="HK71" s="33"/>
      <c r="HL71" s="33"/>
      <c r="HM71" s="33"/>
      <c r="HN71" s="33"/>
      <c r="HO71" s="33"/>
      <c r="HP71" s="33"/>
      <c r="HQ71" s="33"/>
      <c r="HR71" s="33"/>
      <c r="HS71" s="33"/>
      <c r="HT71" s="33"/>
      <c r="HU71" s="33"/>
      <c r="HV71" s="33"/>
      <c r="HW71" s="33"/>
      <c r="HX71" s="33"/>
      <c r="HY71" s="33"/>
      <c r="HZ71" s="33"/>
      <c r="IA71" s="33"/>
      <c r="IB71" s="33"/>
      <c r="IC71" s="33"/>
      <c r="ID71" s="33"/>
      <c r="IE71" s="33"/>
      <c r="IF71" s="33"/>
      <c r="IG71" s="33"/>
      <c r="IH71" s="33"/>
      <c r="II71" s="33"/>
      <c r="IJ71" s="33"/>
      <c r="IK71" s="33"/>
      <c r="IL71" s="33"/>
      <c r="IM71" s="33"/>
      <c r="IN71" s="33"/>
      <c r="IO71" s="33"/>
      <c r="IP71" s="33"/>
      <c r="IQ71" s="33"/>
      <c r="IR71" s="33"/>
      <c r="IS71" s="33"/>
      <c r="IT71" s="33"/>
      <c r="IU71" s="33"/>
      <c r="IV71" s="33"/>
      <c r="IW71" s="33"/>
      <c r="IX71" s="33"/>
      <c r="IY71" s="33"/>
      <c r="IZ71" s="33"/>
      <c r="JA71" s="33"/>
      <c r="JB71" s="33"/>
      <c r="JC71" s="33"/>
      <c r="JD71" s="33"/>
      <c r="JE71" s="33"/>
      <c r="JF71" s="33"/>
      <c r="JG71" s="33"/>
      <c r="JH71" s="33"/>
      <c r="JI71" s="33"/>
      <c r="JJ71" s="33"/>
      <c r="JK71" s="33"/>
      <c r="JL71" s="33"/>
      <c r="JM71" s="33"/>
      <c r="JN71" s="33"/>
      <c r="JO71" s="33"/>
      <c r="JP71" s="33"/>
      <c r="JQ71" s="33"/>
      <c r="JR71" s="33"/>
      <c r="JS71" s="33"/>
      <c r="JT71" s="33"/>
      <c r="JU71" s="33"/>
      <c r="JV71" s="33"/>
      <c r="JW71" s="33"/>
      <c r="JX71" s="33"/>
      <c r="JY71" s="33"/>
      <c r="JZ71" s="33"/>
      <c r="KA71" s="33"/>
      <c r="KB71" s="33"/>
      <c r="KC71" s="33"/>
      <c r="KD71" s="33"/>
      <c r="KE71" s="33"/>
      <c r="KF71" s="33"/>
      <c r="KG71" s="33"/>
      <c r="KH71" s="33"/>
      <c r="KI71" s="33"/>
      <c r="KJ71" s="33"/>
      <c r="KK71" s="33"/>
      <c r="KL71" s="33"/>
      <c r="KM71" s="33"/>
      <c r="KN71" s="33"/>
      <c r="KO71" s="33"/>
      <c r="KP71" s="33"/>
      <c r="KQ71" s="33"/>
      <c r="KR71" s="33"/>
      <c r="KS71" s="33"/>
      <c r="KT71" s="33"/>
      <c r="KU71" s="33"/>
      <c r="KV71" s="33"/>
      <c r="KW71" s="33"/>
      <c r="KX71" s="33"/>
      <c r="KY71" s="33"/>
      <c r="KZ71" s="33"/>
      <c r="LA71" s="33"/>
      <c r="LB71" s="33"/>
      <c r="LC71" s="33"/>
      <c r="LD71" s="33"/>
      <c r="LE71" s="33"/>
      <c r="LF71" s="33"/>
      <c r="LG71" s="33"/>
      <c r="LH71" s="33"/>
      <c r="LI71" s="33"/>
      <c r="LJ71" s="33"/>
      <c r="LK71" s="33"/>
      <c r="LL71" s="33"/>
      <c r="LM71" s="33"/>
      <c r="LN71" s="33"/>
      <c r="LO71" s="33"/>
      <c r="LP71" s="33"/>
      <c r="LQ71" s="33"/>
      <c r="LR71" s="33"/>
      <c r="LS71" s="33"/>
      <c r="LT71" s="33"/>
      <c r="LU71" s="33"/>
      <c r="LV71" s="33"/>
      <c r="LW71" s="33"/>
      <c r="LX71" s="33"/>
      <c r="LY71" s="33"/>
      <c r="LZ71" s="33"/>
      <c r="MA71" s="33"/>
      <c r="MB71" s="33"/>
      <c r="MC71" s="33"/>
      <c r="MD71" s="33"/>
      <c r="ME71" s="33"/>
      <c r="MF71" s="33"/>
      <c r="MG71" s="33"/>
      <c r="MH71" s="33"/>
      <c r="MI71" s="33"/>
      <c r="MJ71" s="33"/>
      <c r="MK71" s="33"/>
      <c r="ML71" s="33"/>
      <c r="MM71" s="33"/>
      <c r="MN71" s="33"/>
      <c r="MO71" s="33"/>
      <c r="MP71" s="33"/>
      <c r="MQ71" s="33"/>
      <c r="MR71" s="33"/>
      <c r="MS71" s="33"/>
      <c r="MT71" s="33"/>
      <c r="MU71" s="33"/>
      <c r="MV71" s="33"/>
      <c r="MW71" s="33"/>
      <c r="MX71" s="33"/>
      <c r="MY71" s="33"/>
      <c r="MZ71" s="33"/>
      <c r="NA71" s="33"/>
      <c r="NB71" s="33"/>
      <c r="NC71" s="33"/>
      <c r="ND71" s="33"/>
      <c r="NE71" s="33"/>
      <c r="NF71" s="33"/>
      <c r="NG71" s="33"/>
      <c r="NH71" s="33"/>
      <c r="NI71" s="33"/>
      <c r="NJ71" s="33"/>
      <c r="NK71" s="33"/>
      <c r="NL71" s="34"/>
    </row>
    <row r="72" spans="1:376" x14ac:dyDescent="0.15">
      <c r="A72" s="35">
        <f>A71</f>
        <v>30</v>
      </c>
      <c r="B72" s="36" t="str">
        <f>B71</f>
        <v>DD</v>
      </c>
      <c r="C72" s="36" t="str">
        <f>C71</f>
        <v>Webアプリ詳細設計書レビュー</v>
      </c>
      <c r="D72" s="37" t="str">
        <f>D71</f>
        <v>伊藤</v>
      </c>
      <c r="E72" s="53" t="s">
        <v>0</v>
      </c>
      <c r="F72" s="54"/>
      <c r="G72" s="54"/>
      <c r="H72" s="55">
        <f t="shared" si="229"/>
        <v>0</v>
      </c>
      <c r="I72" s="56">
        <f>IF(OR(H71="",H72=""),"",H72-H71)</f>
        <v>-4</v>
      </c>
      <c r="J72" s="57"/>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c r="BS72" s="59"/>
      <c r="BT72" s="59"/>
      <c r="BU72" s="59"/>
      <c r="BV72" s="59"/>
      <c r="BW72" s="59"/>
      <c r="BX72" s="59"/>
      <c r="BY72" s="59"/>
      <c r="BZ72" s="59"/>
      <c r="CA72" s="59"/>
      <c r="CB72" s="59"/>
      <c r="CC72" s="59"/>
      <c r="CD72" s="59"/>
      <c r="CE72" s="59"/>
      <c r="CF72" s="59"/>
      <c r="CG72" s="59"/>
      <c r="CH72" s="59"/>
      <c r="CI72" s="59"/>
      <c r="CJ72" s="59"/>
      <c r="CK72" s="59"/>
      <c r="CL72" s="59"/>
      <c r="CM72" s="59"/>
      <c r="CN72" s="59"/>
      <c r="CO72" s="59"/>
      <c r="CP72" s="59"/>
      <c r="CQ72" s="59"/>
      <c r="CR72" s="59"/>
      <c r="CS72" s="59"/>
      <c r="CT72" s="59"/>
      <c r="CU72" s="59"/>
      <c r="CV72" s="59"/>
      <c r="CW72" s="59"/>
      <c r="CX72" s="59"/>
      <c r="CY72" s="59"/>
      <c r="CZ72" s="59"/>
      <c r="DA72" s="59"/>
      <c r="DB72" s="59"/>
      <c r="DC72" s="59"/>
      <c r="DD72" s="59"/>
      <c r="DE72" s="59"/>
      <c r="DF72" s="59"/>
      <c r="DG72" s="59"/>
      <c r="DH72" s="59"/>
      <c r="DI72" s="59"/>
      <c r="DJ72" s="59"/>
      <c r="DK72" s="59"/>
      <c r="DL72" s="59"/>
      <c r="DM72" s="59"/>
      <c r="DN72" s="59"/>
      <c r="DO72" s="59"/>
      <c r="DP72" s="59"/>
      <c r="DQ72" s="59"/>
      <c r="DR72" s="59"/>
      <c r="DS72" s="59"/>
      <c r="DT72" s="59"/>
      <c r="DU72" s="59"/>
      <c r="DV72" s="59"/>
      <c r="DW72" s="59"/>
      <c r="DX72" s="59"/>
      <c r="DY72" s="59"/>
      <c r="DZ72" s="59"/>
      <c r="EA72" s="59"/>
      <c r="EB72" s="59"/>
      <c r="EC72" s="59"/>
      <c r="ED72" s="59"/>
      <c r="EE72" s="59"/>
      <c r="EF72" s="59"/>
      <c r="EG72" s="59"/>
      <c r="EH72" s="59"/>
      <c r="EI72" s="59"/>
      <c r="EJ72" s="59"/>
      <c r="EK72" s="59"/>
      <c r="EL72" s="59"/>
      <c r="EM72" s="59"/>
      <c r="EN72" s="59"/>
      <c r="EO72" s="59"/>
      <c r="EP72" s="59"/>
      <c r="EQ72" s="59"/>
      <c r="ER72" s="59"/>
      <c r="ES72" s="59"/>
      <c r="ET72" s="59"/>
      <c r="EU72" s="59"/>
      <c r="EV72" s="59"/>
      <c r="EW72" s="59"/>
      <c r="EX72" s="59"/>
      <c r="EY72" s="59"/>
      <c r="EZ72" s="59"/>
      <c r="FA72" s="59"/>
      <c r="FB72" s="59"/>
      <c r="FC72" s="59"/>
      <c r="FD72" s="59"/>
      <c r="FE72" s="59"/>
      <c r="FF72" s="59"/>
      <c r="FG72" s="59"/>
      <c r="FH72" s="59"/>
      <c r="FI72" s="59"/>
      <c r="FJ72" s="59"/>
      <c r="FK72" s="59"/>
      <c r="FL72" s="59"/>
      <c r="FM72" s="59"/>
      <c r="FN72" s="59"/>
      <c r="FO72" s="59"/>
      <c r="FP72" s="59"/>
      <c r="FQ72" s="59"/>
      <c r="FR72" s="59"/>
      <c r="FS72" s="59"/>
      <c r="FT72" s="59"/>
      <c r="FU72" s="59"/>
      <c r="FV72" s="59"/>
      <c r="FW72" s="59"/>
      <c r="FX72" s="59"/>
      <c r="FY72" s="59"/>
      <c r="FZ72" s="59"/>
      <c r="GA72" s="59"/>
      <c r="GB72" s="59"/>
      <c r="GC72" s="59"/>
      <c r="GD72" s="59"/>
      <c r="GE72" s="59"/>
      <c r="GF72" s="59"/>
      <c r="GG72" s="59"/>
      <c r="GH72" s="59"/>
      <c r="GI72" s="59"/>
      <c r="GJ72" s="59"/>
      <c r="GK72" s="59"/>
      <c r="GL72" s="59"/>
      <c r="GM72" s="59"/>
      <c r="GN72" s="59"/>
      <c r="GO72" s="59"/>
      <c r="GP72" s="59"/>
      <c r="GQ72" s="59"/>
      <c r="GR72" s="59"/>
      <c r="GS72" s="59"/>
      <c r="GT72" s="59"/>
      <c r="GU72" s="59"/>
      <c r="GV72" s="59"/>
      <c r="GW72" s="59"/>
      <c r="GX72" s="59"/>
      <c r="GY72" s="59"/>
      <c r="GZ72" s="59"/>
      <c r="HA72" s="59"/>
      <c r="HB72" s="59"/>
      <c r="HC72" s="59"/>
      <c r="HD72" s="59"/>
      <c r="HE72" s="59"/>
      <c r="HF72" s="59"/>
      <c r="HG72" s="59"/>
      <c r="HH72" s="59"/>
      <c r="HI72" s="59"/>
      <c r="HJ72" s="59"/>
      <c r="HK72" s="59"/>
      <c r="HL72" s="59"/>
      <c r="HM72" s="59"/>
      <c r="HN72" s="59"/>
      <c r="HO72" s="59"/>
      <c r="HP72" s="59"/>
      <c r="HQ72" s="59"/>
      <c r="HR72" s="59"/>
      <c r="HS72" s="59"/>
      <c r="HT72" s="59"/>
      <c r="HU72" s="59"/>
      <c r="HV72" s="59"/>
      <c r="HW72" s="59"/>
      <c r="HX72" s="59"/>
      <c r="HY72" s="59"/>
      <c r="HZ72" s="59"/>
      <c r="IA72" s="59"/>
      <c r="IB72" s="59"/>
      <c r="IC72" s="59"/>
      <c r="ID72" s="59"/>
      <c r="IE72" s="59"/>
      <c r="IF72" s="59"/>
      <c r="IG72" s="59"/>
      <c r="IH72" s="59"/>
      <c r="II72" s="59"/>
      <c r="IJ72" s="59"/>
      <c r="IK72" s="59"/>
      <c r="IL72" s="59"/>
      <c r="IM72" s="59"/>
      <c r="IN72" s="59"/>
      <c r="IO72" s="59"/>
      <c r="IP72" s="59"/>
      <c r="IQ72" s="59"/>
      <c r="IR72" s="59"/>
      <c r="IS72" s="59"/>
      <c r="IT72" s="59"/>
      <c r="IU72" s="59"/>
      <c r="IV72" s="59"/>
      <c r="IW72" s="59"/>
      <c r="IX72" s="59"/>
      <c r="IY72" s="59"/>
      <c r="IZ72" s="59"/>
      <c r="JA72" s="59"/>
      <c r="JB72" s="59"/>
      <c r="JC72" s="59"/>
      <c r="JD72" s="59"/>
      <c r="JE72" s="59"/>
      <c r="JF72" s="59"/>
      <c r="JG72" s="59"/>
      <c r="JH72" s="59"/>
      <c r="JI72" s="59"/>
      <c r="JJ72" s="59"/>
      <c r="JK72" s="59"/>
      <c r="JL72" s="59"/>
      <c r="JM72" s="59"/>
      <c r="JN72" s="59"/>
      <c r="JO72" s="59"/>
      <c r="JP72" s="59"/>
      <c r="JQ72" s="59"/>
      <c r="JR72" s="59"/>
      <c r="JS72" s="59"/>
      <c r="JT72" s="59"/>
      <c r="JU72" s="59"/>
      <c r="JV72" s="59"/>
      <c r="JW72" s="59"/>
      <c r="JX72" s="59"/>
      <c r="JY72" s="59"/>
      <c r="JZ72" s="59"/>
      <c r="KA72" s="59"/>
      <c r="KB72" s="59"/>
      <c r="KC72" s="59"/>
      <c r="KD72" s="59"/>
      <c r="KE72" s="59"/>
      <c r="KF72" s="59"/>
      <c r="KG72" s="59"/>
      <c r="KH72" s="59"/>
      <c r="KI72" s="59"/>
      <c r="KJ72" s="59"/>
      <c r="KK72" s="59"/>
      <c r="KL72" s="59"/>
      <c r="KM72" s="59"/>
      <c r="KN72" s="59"/>
      <c r="KO72" s="59"/>
      <c r="KP72" s="59"/>
      <c r="KQ72" s="59"/>
      <c r="KR72" s="59"/>
      <c r="KS72" s="59"/>
      <c r="KT72" s="59"/>
      <c r="KU72" s="59"/>
      <c r="KV72" s="59"/>
      <c r="KW72" s="59"/>
      <c r="KX72" s="59"/>
      <c r="KY72" s="59"/>
      <c r="KZ72" s="59"/>
      <c r="LA72" s="59"/>
      <c r="LB72" s="59"/>
      <c r="LC72" s="59"/>
      <c r="LD72" s="59"/>
      <c r="LE72" s="59"/>
      <c r="LF72" s="59"/>
      <c r="LG72" s="59"/>
      <c r="LH72" s="59"/>
      <c r="LI72" s="59"/>
      <c r="LJ72" s="59"/>
      <c r="LK72" s="59"/>
      <c r="LL72" s="59"/>
      <c r="LM72" s="59"/>
      <c r="LN72" s="59"/>
      <c r="LO72" s="59"/>
      <c r="LP72" s="59"/>
      <c r="LQ72" s="59"/>
      <c r="LR72" s="59"/>
      <c r="LS72" s="59"/>
      <c r="LT72" s="59"/>
      <c r="LU72" s="59"/>
      <c r="LV72" s="59"/>
      <c r="LW72" s="59"/>
      <c r="LX72" s="59"/>
      <c r="LY72" s="59"/>
      <c r="LZ72" s="59"/>
      <c r="MA72" s="59"/>
      <c r="MB72" s="59"/>
      <c r="MC72" s="59"/>
      <c r="MD72" s="59"/>
      <c r="ME72" s="59"/>
      <c r="MF72" s="59"/>
      <c r="MG72" s="59"/>
      <c r="MH72" s="59"/>
      <c r="MI72" s="59"/>
      <c r="MJ72" s="59"/>
      <c r="MK72" s="59"/>
      <c r="ML72" s="59"/>
      <c r="MM72" s="59"/>
      <c r="MN72" s="59"/>
      <c r="MO72" s="59"/>
      <c r="MP72" s="59"/>
      <c r="MQ72" s="59"/>
      <c r="MR72" s="59"/>
      <c r="MS72" s="59"/>
      <c r="MT72" s="59"/>
      <c r="MU72" s="59"/>
      <c r="MV72" s="59"/>
      <c r="MW72" s="59"/>
      <c r="MX72" s="59"/>
      <c r="MY72" s="59"/>
      <c r="MZ72" s="59"/>
      <c r="NA72" s="59"/>
      <c r="NB72" s="59"/>
      <c r="NC72" s="59"/>
      <c r="ND72" s="59"/>
      <c r="NE72" s="59"/>
      <c r="NF72" s="59"/>
      <c r="NG72" s="59"/>
      <c r="NH72" s="59"/>
      <c r="NI72" s="59"/>
      <c r="NJ72" s="59"/>
      <c r="NK72" s="59"/>
      <c r="NL72" s="60"/>
    </row>
    <row r="73" spans="1:376" x14ac:dyDescent="0.15">
      <c r="A73" s="23">
        <v>31</v>
      </c>
      <c r="B73" s="24" t="s">
        <v>140</v>
      </c>
      <c r="C73" s="45" t="s">
        <v>143</v>
      </c>
      <c r="D73" s="26" t="s">
        <v>114</v>
      </c>
      <c r="E73" s="27" t="s">
        <v>13</v>
      </c>
      <c r="F73" s="28">
        <v>42974</v>
      </c>
      <c r="G73" s="28">
        <v>42981</v>
      </c>
      <c r="H73" s="29">
        <f t="shared" si="229"/>
        <v>6</v>
      </c>
      <c r="I73" s="30"/>
      <c r="J73" s="31"/>
      <c r="K73" s="32"/>
      <c r="L73" s="32"/>
      <c r="M73" s="32"/>
      <c r="N73" s="32"/>
      <c r="O73" s="32"/>
      <c r="P73" s="32"/>
      <c r="Q73" s="32"/>
      <c r="R73" s="32"/>
      <c r="S73" s="32"/>
      <c r="T73" s="32"/>
      <c r="U73" s="32"/>
      <c r="V73" s="32"/>
      <c r="W73" s="32"/>
      <c r="X73" s="32"/>
      <c r="Y73" s="32"/>
      <c r="Z73" s="32"/>
      <c r="AA73" s="32"/>
      <c r="AB73" s="32"/>
      <c r="AC73" s="32"/>
      <c r="AD73" s="32"/>
      <c r="AE73" s="32"/>
      <c r="AF73" s="32"/>
      <c r="AG73" s="32"/>
      <c r="AH73" s="32"/>
      <c r="AI73" s="32"/>
      <c r="AJ73" s="32"/>
      <c r="AK73" s="32"/>
      <c r="AL73" s="32"/>
      <c r="AM73" s="32"/>
      <c r="AN73" s="32"/>
      <c r="AO73" s="32"/>
      <c r="AP73" s="33"/>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33"/>
      <c r="CA73" s="33"/>
      <c r="CB73" s="33"/>
      <c r="CC73" s="33"/>
      <c r="CD73" s="33"/>
      <c r="CE73" s="33"/>
      <c r="CF73" s="33"/>
      <c r="CG73" s="33"/>
      <c r="CH73" s="33"/>
      <c r="CI73" s="33"/>
      <c r="CJ73" s="33"/>
      <c r="CK73" s="33"/>
      <c r="CL73" s="33"/>
      <c r="CM73" s="33"/>
      <c r="CN73" s="33"/>
      <c r="CO73" s="33"/>
      <c r="CP73" s="33"/>
      <c r="CQ73" s="33"/>
      <c r="CR73" s="33"/>
      <c r="CS73" s="33"/>
      <c r="CT73" s="33"/>
      <c r="CU73" s="33"/>
      <c r="CV73" s="33"/>
      <c r="CW73" s="33"/>
      <c r="CX73" s="33"/>
      <c r="CY73" s="33"/>
      <c r="CZ73" s="33"/>
      <c r="DA73" s="33"/>
      <c r="DB73" s="33"/>
      <c r="DC73" s="33"/>
      <c r="DD73" s="33"/>
      <c r="DE73" s="33"/>
      <c r="DF73" s="33"/>
      <c r="DG73" s="33"/>
      <c r="DH73" s="33"/>
      <c r="DI73" s="33"/>
      <c r="DJ73" s="33"/>
      <c r="DK73" s="33"/>
      <c r="DL73" s="33"/>
      <c r="DM73" s="33"/>
      <c r="DN73" s="33"/>
      <c r="DO73" s="33"/>
      <c r="DP73" s="33"/>
      <c r="DQ73" s="33"/>
      <c r="DR73" s="33"/>
      <c r="DS73" s="33"/>
      <c r="DT73" s="33"/>
      <c r="DU73" s="33"/>
      <c r="DV73" s="33"/>
      <c r="DW73" s="33"/>
      <c r="DX73" s="33"/>
      <c r="DY73" s="33"/>
      <c r="DZ73" s="33"/>
      <c r="EA73" s="33"/>
      <c r="EB73" s="33"/>
      <c r="EC73" s="33"/>
      <c r="ED73" s="33"/>
      <c r="EE73" s="33"/>
      <c r="EF73" s="33"/>
      <c r="EG73" s="33"/>
      <c r="EH73" s="33"/>
      <c r="EI73" s="33"/>
      <c r="EJ73" s="33"/>
      <c r="EK73" s="33"/>
      <c r="EL73" s="33"/>
      <c r="EM73" s="33"/>
      <c r="EN73" s="33"/>
      <c r="EO73" s="33"/>
      <c r="EP73" s="33"/>
      <c r="EQ73" s="33"/>
      <c r="ER73" s="33"/>
      <c r="ES73" s="33"/>
      <c r="ET73" s="33"/>
      <c r="EU73" s="33"/>
      <c r="EV73" s="33"/>
      <c r="EW73" s="33"/>
      <c r="EX73" s="33"/>
      <c r="EY73" s="33"/>
      <c r="EZ73" s="33">
        <v>2</v>
      </c>
      <c r="FA73" s="33"/>
      <c r="FB73" s="33"/>
      <c r="FC73" s="33"/>
      <c r="FD73" s="33"/>
      <c r="FE73" s="33"/>
      <c r="FF73" s="33">
        <v>4</v>
      </c>
      <c r="FG73" s="33"/>
      <c r="FH73" s="33"/>
      <c r="FI73" s="33"/>
      <c r="FJ73" s="33"/>
      <c r="FK73" s="33"/>
      <c r="FL73" s="33"/>
      <c r="FM73" s="33"/>
      <c r="FN73" s="33"/>
      <c r="FO73" s="33"/>
      <c r="FP73" s="33"/>
      <c r="FQ73" s="33"/>
      <c r="FR73" s="33"/>
      <c r="FS73" s="33"/>
      <c r="FT73" s="33"/>
      <c r="FU73" s="33"/>
      <c r="FV73" s="33"/>
      <c r="FW73" s="33"/>
      <c r="FX73" s="33"/>
      <c r="FY73" s="33"/>
      <c r="FZ73" s="33"/>
      <c r="GA73" s="33"/>
      <c r="GB73" s="33"/>
      <c r="GC73" s="33"/>
      <c r="GD73" s="33"/>
      <c r="GE73" s="33"/>
      <c r="GF73" s="33"/>
      <c r="GG73" s="33"/>
      <c r="GH73" s="33"/>
      <c r="GI73" s="33"/>
      <c r="GJ73" s="33"/>
      <c r="GK73" s="33"/>
      <c r="GL73" s="33"/>
      <c r="GM73" s="33"/>
      <c r="GN73" s="33"/>
      <c r="GO73" s="33"/>
      <c r="GP73" s="33"/>
      <c r="GQ73" s="33"/>
      <c r="GR73" s="33"/>
      <c r="GS73" s="33"/>
      <c r="GT73" s="33"/>
      <c r="GU73" s="33"/>
      <c r="GV73" s="33"/>
      <c r="GW73" s="33"/>
      <c r="GX73" s="33"/>
      <c r="GY73" s="33"/>
      <c r="GZ73" s="33"/>
      <c r="HA73" s="33"/>
      <c r="HB73" s="33"/>
      <c r="HC73" s="33"/>
      <c r="HD73" s="33"/>
      <c r="HE73" s="33"/>
      <c r="HF73" s="33"/>
      <c r="HG73" s="33"/>
      <c r="HH73" s="33"/>
      <c r="HI73" s="33"/>
      <c r="HJ73" s="33"/>
      <c r="HK73" s="33"/>
      <c r="HL73" s="33"/>
      <c r="HM73" s="33"/>
      <c r="HN73" s="33"/>
      <c r="HO73" s="33"/>
      <c r="HP73" s="33"/>
      <c r="HQ73" s="33"/>
      <c r="HR73" s="33"/>
      <c r="HS73" s="33"/>
      <c r="HT73" s="33"/>
      <c r="HU73" s="33"/>
      <c r="HV73" s="33"/>
      <c r="HW73" s="33"/>
      <c r="HX73" s="33"/>
      <c r="HY73" s="33"/>
      <c r="HZ73" s="33"/>
      <c r="IA73" s="33"/>
      <c r="IB73" s="33"/>
      <c r="IC73" s="33"/>
      <c r="ID73" s="33"/>
      <c r="IE73" s="33"/>
      <c r="IF73" s="33"/>
      <c r="IG73" s="33"/>
      <c r="IH73" s="33"/>
      <c r="II73" s="33"/>
      <c r="IJ73" s="33"/>
      <c r="IK73" s="33"/>
      <c r="IL73" s="33"/>
      <c r="IM73" s="33"/>
      <c r="IN73" s="33"/>
      <c r="IO73" s="33"/>
      <c r="IP73" s="33"/>
      <c r="IQ73" s="33"/>
      <c r="IR73" s="33"/>
      <c r="IS73" s="33"/>
      <c r="IT73" s="33"/>
      <c r="IU73" s="33"/>
      <c r="IV73" s="33"/>
      <c r="IW73" s="33"/>
      <c r="IX73" s="33"/>
      <c r="IY73" s="33"/>
      <c r="IZ73" s="33"/>
      <c r="JA73" s="33"/>
      <c r="JB73" s="33"/>
      <c r="JC73" s="33"/>
      <c r="JD73" s="33"/>
      <c r="JE73" s="33"/>
      <c r="JF73" s="33"/>
      <c r="JG73" s="33"/>
      <c r="JH73" s="33"/>
      <c r="JI73" s="33"/>
      <c r="JJ73" s="33"/>
      <c r="JK73" s="33"/>
      <c r="JL73" s="33"/>
      <c r="JM73" s="33"/>
      <c r="JN73" s="33"/>
      <c r="JO73" s="33"/>
      <c r="JP73" s="33"/>
      <c r="JQ73" s="33"/>
      <c r="JR73" s="33"/>
      <c r="JS73" s="33"/>
      <c r="JT73" s="33"/>
      <c r="JU73" s="33"/>
      <c r="JV73" s="33"/>
      <c r="JW73" s="33"/>
      <c r="JX73" s="33"/>
      <c r="JY73" s="33"/>
      <c r="JZ73" s="33"/>
      <c r="KA73" s="33"/>
      <c r="KB73" s="33"/>
      <c r="KC73" s="33"/>
      <c r="KD73" s="33"/>
      <c r="KE73" s="33"/>
      <c r="KF73" s="33"/>
      <c r="KG73" s="33"/>
      <c r="KH73" s="33"/>
      <c r="KI73" s="33"/>
      <c r="KJ73" s="33"/>
      <c r="KK73" s="33"/>
      <c r="KL73" s="33"/>
      <c r="KM73" s="33"/>
      <c r="KN73" s="33"/>
      <c r="KO73" s="33"/>
      <c r="KP73" s="33"/>
      <c r="KQ73" s="33"/>
      <c r="KR73" s="33"/>
      <c r="KS73" s="33"/>
      <c r="KT73" s="33"/>
      <c r="KU73" s="33"/>
      <c r="KV73" s="33"/>
      <c r="KW73" s="33"/>
      <c r="KX73" s="33"/>
      <c r="KY73" s="33"/>
      <c r="KZ73" s="33"/>
      <c r="LA73" s="33"/>
      <c r="LB73" s="33"/>
      <c r="LC73" s="33"/>
      <c r="LD73" s="33"/>
      <c r="LE73" s="33"/>
      <c r="LF73" s="33"/>
      <c r="LG73" s="33"/>
      <c r="LH73" s="33"/>
      <c r="LI73" s="33"/>
      <c r="LJ73" s="33"/>
      <c r="LK73" s="33"/>
      <c r="LL73" s="33"/>
      <c r="LM73" s="33"/>
      <c r="LN73" s="33"/>
      <c r="LO73" s="33"/>
      <c r="LP73" s="33"/>
      <c r="LQ73" s="33"/>
      <c r="LR73" s="33"/>
      <c r="LS73" s="33"/>
      <c r="LT73" s="33"/>
      <c r="LU73" s="33"/>
      <c r="LV73" s="33"/>
      <c r="LW73" s="33"/>
      <c r="LX73" s="33"/>
      <c r="LY73" s="33"/>
      <c r="LZ73" s="33"/>
      <c r="MA73" s="33"/>
      <c r="MB73" s="33"/>
      <c r="MC73" s="33"/>
      <c r="MD73" s="33"/>
      <c r="ME73" s="33"/>
      <c r="MF73" s="33"/>
      <c r="MG73" s="33"/>
      <c r="MH73" s="33"/>
      <c r="MI73" s="33"/>
      <c r="MJ73" s="33"/>
      <c r="MK73" s="33"/>
      <c r="ML73" s="33"/>
      <c r="MM73" s="33"/>
      <c r="MN73" s="33"/>
      <c r="MO73" s="33"/>
      <c r="MP73" s="33"/>
      <c r="MQ73" s="33"/>
      <c r="MR73" s="33"/>
      <c r="MS73" s="33"/>
      <c r="MT73" s="33"/>
      <c r="MU73" s="33"/>
      <c r="MV73" s="33"/>
      <c r="MW73" s="33"/>
      <c r="MX73" s="33"/>
      <c r="MY73" s="33"/>
      <c r="MZ73" s="33"/>
      <c r="NA73" s="33"/>
      <c r="NB73" s="33"/>
      <c r="NC73" s="33"/>
      <c r="ND73" s="33"/>
      <c r="NE73" s="33"/>
      <c r="NF73" s="33"/>
      <c r="NG73" s="33"/>
      <c r="NH73" s="33"/>
      <c r="NI73" s="33"/>
      <c r="NJ73" s="33"/>
      <c r="NK73" s="33"/>
      <c r="NL73" s="34"/>
    </row>
    <row r="74" spans="1:376" x14ac:dyDescent="0.15">
      <c r="A74" s="35">
        <f>A73</f>
        <v>31</v>
      </c>
      <c r="B74" s="36" t="str">
        <f>B73</f>
        <v>DD</v>
      </c>
      <c r="C74" s="36" t="str">
        <f>C73</f>
        <v>Webアプリ詳細設計書レビュー指摘対応</v>
      </c>
      <c r="D74" s="37" t="str">
        <f>D73</f>
        <v>那須</v>
      </c>
      <c r="E74" s="53" t="s">
        <v>0</v>
      </c>
      <c r="F74" s="54"/>
      <c r="G74" s="54"/>
      <c r="H74" s="55">
        <f t="shared" si="229"/>
        <v>0</v>
      </c>
      <c r="I74" s="56">
        <f>IF(OR(H73="",H74=""),"",H74-H73)</f>
        <v>-6</v>
      </c>
      <c r="J74" s="57"/>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c r="BS74" s="59"/>
      <c r="BT74" s="59"/>
      <c r="BU74" s="59"/>
      <c r="BV74" s="59"/>
      <c r="BW74" s="59"/>
      <c r="BX74" s="59"/>
      <c r="BY74" s="59"/>
      <c r="BZ74" s="59"/>
      <c r="CA74" s="59"/>
      <c r="CB74" s="59"/>
      <c r="CC74" s="59"/>
      <c r="CD74" s="59"/>
      <c r="CE74" s="59"/>
      <c r="CF74" s="59"/>
      <c r="CG74" s="59"/>
      <c r="CH74" s="59"/>
      <c r="CI74" s="59"/>
      <c r="CJ74" s="59"/>
      <c r="CK74" s="59"/>
      <c r="CL74" s="59"/>
      <c r="CM74" s="59"/>
      <c r="CN74" s="59"/>
      <c r="CO74" s="59"/>
      <c r="CP74" s="59"/>
      <c r="CQ74" s="59"/>
      <c r="CR74" s="59"/>
      <c r="CS74" s="59"/>
      <c r="CT74" s="59"/>
      <c r="CU74" s="59"/>
      <c r="CV74" s="59"/>
      <c r="CW74" s="59"/>
      <c r="CX74" s="59"/>
      <c r="CY74" s="59"/>
      <c r="CZ74" s="59"/>
      <c r="DA74" s="59"/>
      <c r="DB74" s="59"/>
      <c r="DC74" s="59"/>
      <c r="DD74" s="59"/>
      <c r="DE74" s="59"/>
      <c r="DF74" s="59"/>
      <c r="DG74" s="59"/>
      <c r="DH74" s="59"/>
      <c r="DI74" s="59"/>
      <c r="DJ74" s="59"/>
      <c r="DK74" s="59"/>
      <c r="DL74" s="59"/>
      <c r="DM74" s="59"/>
      <c r="DN74" s="59"/>
      <c r="DO74" s="59"/>
      <c r="DP74" s="59"/>
      <c r="DQ74" s="59"/>
      <c r="DR74" s="59"/>
      <c r="DS74" s="59"/>
      <c r="DT74" s="59"/>
      <c r="DU74" s="59"/>
      <c r="DV74" s="59"/>
      <c r="DW74" s="59"/>
      <c r="DX74" s="59"/>
      <c r="DY74" s="59"/>
      <c r="DZ74" s="59"/>
      <c r="EA74" s="59"/>
      <c r="EB74" s="59"/>
      <c r="EC74" s="59"/>
      <c r="ED74" s="59"/>
      <c r="EE74" s="59"/>
      <c r="EF74" s="59"/>
      <c r="EG74" s="59"/>
      <c r="EH74" s="59"/>
      <c r="EI74" s="59"/>
      <c r="EJ74" s="59"/>
      <c r="EK74" s="59"/>
      <c r="EL74" s="59"/>
      <c r="EM74" s="59"/>
      <c r="EN74" s="59"/>
      <c r="EO74" s="59"/>
      <c r="EP74" s="59"/>
      <c r="EQ74" s="59"/>
      <c r="ER74" s="59"/>
      <c r="ES74" s="59"/>
      <c r="ET74" s="59"/>
      <c r="EU74" s="59"/>
      <c r="EV74" s="59"/>
      <c r="EW74" s="59"/>
      <c r="EX74" s="59"/>
      <c r="EY74" s="59"/>
      <c r="EZ74" s="59"/>
      <c r="FA74" s="59"/>
      <c r="FB74" s="59"/>
      <c r="FC74" s="59"/>
      <c r="FD74" s="59"/>
      <c r="FE74" s="59"/>
      <c r="FF74" s="59"/>
      <c r="FG74" s="59"/>
      <c r="FH74" s="59"/>
      <c r="FI74" s="59"/>
      <c r="FJ74" s="59"/>
      <c r="FK74" s="59"/>
      <c r="FL74" s="59"/>
      <c r="FM74" s="59"/>
      <c r="FN74" s="59"/>
      <c r="FO74" s="59"/>
      <c r="FP74" s="59"/>
      <c r="FQ74" s="59"/>
      <c r="FR74" s="59"/>
      <c r="FS74" s="59"/>
      <c r="FT74" s="59"/>
      <c r="FU74" s="59"/>
      <c r="FV74" s="59"/>
      <c r="FW74" s="59"/>
      <c r="FX74" s="59"/>
      <c r="FY74" s="59"/>
      <c r="FZ74" s="59"/>
      <c r="GA74" s="59"/>
      <c r="GB74" s="59"/>
      <c r="GC74" s="59"/>
      <c r="GD74" s="59"/>
      <c r="GE74" s="59"/>
      <c r="GF74" s="59"/>
      <c r="GG74" s="59"/>
      <c r="GH74" s="59"/>
      <c r="GI74" s="59"/>
      <c r="GJ74" s="59"/>
      <c r="GK74" s="59"/>
      <c r="GL74" s="59"/>
      <c r="GM74" s="59"/>
      <c r="GN74" s="59"/>
      <c r="GO74" s="59"/>
      <c r="GP74" s="59"/>
      <c r="GQ74" s="59"/>
      <c r="GR74" s="59"/>
      <c r="GS74" s="59"/>
      <c r="GT74" s="59"/>
      <c r="GU74" s="59"/>
      <c r="GV74" s="59"/>
      <c r="GW74" s="59"/>
      <c r="GX74" s="59"/>
      <c r="GY74" s="59"/>
      <c r="GZ74" s="59"/>
      <c r="HA74" s="59"/>
      <c r="HB74" s="59"/>
      <c r="HC74" s="59"/>
      <c r="HD74" s="59"/>
      <c r="HE74" s="59"/>
      <c r="HF74" s="59"/>
      <c r="HG74" s="59"/>
      <c r="HH74" s="59"/>
      <c r="HI74" s="59"/>
      <c r="HJ74" s="59"/>
      <c r="HK74" s="59"/>
      <c r="HL74" s="59"/>
      <c r="HM74" s="59"/>
      <c r="HN74" s="59"/>
      <c r="HO74" s="59"/>
      <c r="HP74" s="59"/>
      <c r="HQ74" s="59"/>
      <c r="HR74" s="59"/>
      <c r="HS74" s="59"/>
      <c r="HT74" s="59"/>
      <c r="HU74" s="59"/>
      <c r="HV74" s="59"/>
      <c r="HW74" s="59"/>
      <c r="HX74" s="59"/>
      <c r="HY74" s="59"/>
      <c r="HZ74" s="59"/>
      <c r="IA74" s="59"/>
      <c r="IB74" s="59"/>
      <c r="IC74" s="59"/>
      <c r="ID74" s="59"/>
      <c r="IE74" s="59"/>
      <c r="IF74" s="59"/>
      <c r="IG74" s="59"/>
      <c r="IH74" s="59"/>
      <c r="II74" s="59"/>
      <c r="IJ74" s="59"/>
      <c r="IK74" s="59"/>
      <c r="IL74" s="59"/>
      <c r="IM74" s="59"/>
      <c r="IN74" s="59"/>
      <c r="IO74" s="59"/>
      <c r="IP74" s="59"/>
      <c r="IQ74" s="59"/>
      <c r="IR74" s="59"/>
      <c r="IS74" s="59"/>
      <c r="IT74" s="59"/>
      <c r="IU74" s="59"/>
      <c r="IV74" s="59"/>
      <c r="IW74" s="59"/>
      <c r="IX74" s="59"/>
      <c r="IY74" s="59"/>
      <c r="IZ74" s="59"/>
      <c r="JA74" s="59"/>
      <c r="JB74" s="59"/>
      <c r="JC74" s="59"/>
      <c r="JD74" s="59"/>
      <c r="JE74" s="59"/>
      <c r="JF74" s="59"/>
      <c r="JG74" s="59"/>
      <c r="JH74" s="59"/>
      <c r="JI74" s="59"/>
      <c r="JJ74" s="59"/>
      <c r="JK74" s="59"/>
      <c r="JL74" s="59"/>
      <c r="JM74" s="59"/>
      <c r="JN74" s="59"/>
      <c r="JO74" s="59"/>
      <c r="JP74" s="59"/>
      <c r="JQ74" s="59"/>
      <c r="JR74" s="59"/>
      <c r="JS74" s="59"/>
      <c r="JT74" s="59"/>
      <c r="JU74" s="59"/>
      <c r="JV74" s="59"/>
      <c r="JW74" s="59"/>
      <c r="JX74" s="59"/>
      <c r="JY74" s="59"/>
      <c r="JZ74" s="59"/>
      <c r="KA74" s="59"/>
      <c r="KB74" s="59"/>
      <c r="KC74" s="59"/>
      <c r="KD74" s="59"/>
      <c r="KE74" s="59"/>
      <c r="KF74" s="59"/>
      <c r="KG74" s="59"/>
      <c r="KH74" s="59"/>
      <c r="KI74" s="59"/>
      <c r="KJ74" s="59"/>
      <c r="KK74" s="59"/>
      <c r="KL74" s="59"/>
      <c r="KM74" s="59"/>
      <c r="KN74" s="59"/>
      <c r="KO74" s="59"/>
      <c r="KP74" s="59"/>
      <c r="KQ74" s="59"/>
      <c r="KR74" s="59"/>
      <c r="KS74" s="59"/>
      <c r="KT74" s="59"/>
      <c r="KU74" s="59"/>
      <c r="KV74" s="59"/>
      <c r="KW74" s="59"/>
      <c r="KX74" s="59"/>
      <c r="KY74" s="59"/>
      <c r="KZ74" s="59"/>
      <c r="LA74" s="59"/>
      <c r="LB74" s="59"/>
      <c r="LC74" s="59"/>
      <c r="LD74" s="59"/>
      <c r="LE74" s="59"/>
      <c r="LF74" s="59"/>
      <c r="LG74" s="59"/>
      <c r="LH74" s="59"/>
      <c r="LI74" s="59"/>
      <c r="LJ74" s="59"/>
      <c r="LK74" s="59"/>
      <c r="LL74" s="59"/>
      <c r="LM74" s="59"/>
      <c r="LN74" s="59"/>
      <c r="LO74" s="59"/>
      <c r="LP74" s="59"/>
      <c r="LQ74" s="59"/>
      <c r="LR74" s="59"/>
      <c r="LS74" s="59"/>
      <c r="LT74" s="59"/>
      <c r="LU74" s="59"/>
      <c r="LV74" s="59"/>
      <c r="LW74" s="59"/>
      <c r="LX74" s="59"/>
      <c r="LY74" s="59"/>
      <c r="LZ74" s="59"/>
      <c r="MA74" s="59"/>
      <c r="MB74" s="59"/>
      <c r="MC74" s="59"/>
      <c r="MD74" s="59"/>
      <c r="ME74" s="59"/>
      <c r="MF74" s="59"/>
      <c r="MG74" s="59"/>
      <c r="MH74" s="59"/>
      <c r="MI74" s="59"/>
      <c r="MJ74" s="59"/>
      <c r="MK74" s="59"/>
      <c r="ML74" s="59"/>
      <c r="MM74" s="59"/>
      <c r="MN74" s="59"/>
      <c r="MO74" s="59"/>
      <c r="MP74" s="59"/>
      <c r="MQ74" s="59"/>
      <c r="MR74" s="59"/>
      <c r="MS74" s="59"/>
      <c r="MT74" s="59"/>
      <c r="MU74" s="59"/>
      <c r="MV74" s="59"/>
      <c r="MW74" s="59"/>
      <c r="MX74" s="59"/>
      <c r="MY74" s="59"/>
      <c r="MZ74" s="59"/>
      <c r="NA74" s="59"/>
      <c r="NB74" s="59"/>
      <c r="NC74" s="59"/>
      <c r="ND74" s="59"/>
      <c r="NE74" s="59"/>
      <c r="NF74" s="59"/>
      <c r="NG74" s="59"/>
      <c r="NH74" s="59"/>
      <c r="NI74" s="59"/>
      <c r="NJ74" s="59"/>
      <c r="NK74" s="59"/>
      <c r="NL74" s="60"/>
    </row>
    <row r="75" spans="1:376" x14ac:dyDescent="0.15">
      <c r="A75" s="23">
        <v>32</v>
      </c>
      <c r="B75" s="24" t="s">
        <v>140</v>
      </c>
      <c r="C75" s="45" t="s">
        <v>144</v>
      </c>
      <c r="D75" s="26" t="s">
        <v>115</v>
      </c>
      <c r="E75" s="27" t="s">
        <v>13</v>
      </c>
      <c r="F75" s="28">
        <v>42933</v>
      </c>
      <c r="G75" s="28">
        <v>42973</v>
      </c>
      <c r="H75" s="29">
        <f t="shared" si="229"/>
        <v>24</v>
      </c>
      <c r="I75" s="30"/>
      <c r="J75" s="31"/>
      <c r="K75" s="32"/>
      <c r="L75" s="32"/>
      <c r="M75" s="32"/>
      <c r="N75" s="32"/>
      <c r="O75" s="32"/>
      <c r="P75" s="32"/>
      <c r="Q75" s="32"/>
      <c r="R75" s="32"/>
      <c r="S75" s="32"/>
      <c r="T75" s="32"/>
      <c r="U75" s="32"/>
      <c r="V75" s="32"/>
      <c r="W75" s="32"/>
      <c r="X75" s="32"/>
      <c r="Y75" s="32"/>
      <c r="Z75" s="32"/>
      <c r="AA75" s="32"/>
      <c r="AB75" s="32"/>
      <c r="AC75" s="32"/>
      <c r="AD75" s="32"/>
      <c r="AE75" s="32"/>
      <c r="AF75" s="32"/>
      <c r="AG75" s="32"/>
      <c r="AH75" s="32"/>
      <c r="AI75" s="32"/>
      <c r="AJ75" s="32"/>
      <c r="AK75" s="32"/>
      <c r="AL75" s="32"/>
      <c r="AM75" s="32"/>
      <c r="AN75" s="32"/>
      <c r="AO75" s="32"/>
      <c r="AP75" s="33"/>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33"/>
      <c r="CA75" s="33"/>
      <c r="CB75" s="33"/>
      <c r="CC75" s="33"/>
      <c r="CD75" s="33"/>
      <c r="CE75" s="33"/>
      <c r="CF75" s="33"/>
      <c r="CG75" s="33"/>
      <c r="CH75" s="33"/>
      <c r="CI75" s="33"/>
      <c r="CJ75" s="33"/>
      <c r="CK75" s="33"/>
      <c r="CL75" s="33"/>
      <c r="CM75" s="33"/>
      <c r="CN75" s="33"/>
      <c r="CO75" s="33"/>
      <c r="CP75" s="33"/>
      <c r="CQ75" s="33"/>
      <c r="CR75" s="33"/>
      <c r="CS75" s="33"/>
      <c r="CT75" s="33"/>
      <c r="CU75" s="33"/>
      <c r="CV75" s="33"/>
      <c r="CW75" s="33"/>
      <c r="CX75" s="33"/>
      <c r="CY75" s="33"/>
      <c r="CZ75" s="33"/>
      <c r="DA75" s="33"/>
      <c r="DB75" s="33"/>
      <c r="DC75" s="33"/>
      <c r="DD75" s="33"/>
      <c r="DE75" s="33"/>
      <c r="DF75" s="33"/>
      <c r="DG75" s="33"/>
      <c r="DH75" s="33"/>
      <c r="DI75" s="33"/>
      <c r="DJ75" s="33"/>
      <c r="DK75" s="33"/>
      <c r="DL75" s="33"/>
      <c r="DM75" s="33"/>
      <c r="DN75" s="33"/>
      <c r="DO75" s="33"/>
      <c r="DP75" s="33">
        <v>4</v>
      </c>
      <c r="DQ75" s="33"/>
      <c r="DR75" s="33"/>
      <c r="DS75" s="33"/>
      <c r="DT75" s="33"/>
      <c r="DU75" s="33"/>
      <c r="DV75" s="33"/>
      <c r="DW75" s="33">
        <v>4</v>
      </c>
      <c r="DX75" s="33"/>
      <c r="DY75" s="33"/>
      <c r="DZ75" s="33"/>
      <c r="EA75" s="33"/>
      <c r="EB75" s="33"/>
      <c r="EC75" s="33"/>
      <c r="ED75" s="33">
        <v>4</v>
      </c>
      <c r="EE75" s="33"/>
      <c r="EF75" s="33"/>
      <c r="EG75" s="33"/>
      <c r="EH75" s="33"/>
      <c r="EI75" s="33"/>
      <c r="EJ75" s="33"/>
      <c r="EK75" s="33">
        <v>4</v>
      </c>
      <c r="EL75" s="33"/>
      <c r="EM75" s="33"/>
      <c r="EN75" s="33"/>
      <c r="EO75" s="33"/>
      <c r="EP75" s="33"/>
      <c r="EQ75" s="33"/>
      <c r="ER75" s="33">
        <v>4</v>
      </c>
      <c r="ES75" s="33"/>
      <c r="ET75" s="33"/>
      <c r="EU75" s="33"/>
      <c r="EV75" s="33"/>
      <c r="EW75" s="33"/>
      <c r="EX75" s="33"/>
      <c r="EY75" s="33">
        <v>4</v>
      </c>
      <c r="EZ75" s="33"/>
      <c r="FA75" s="33"/>
      <c r="FB75" s="33"/>
      <c r="FC75" s="33"/>
      <c r="FD75" s="33"/>
      <c r="FE75" s="33"/>
      <c r="FF75" s="33"/>
      <c r="FG75" s="33"/>
      <c r="FH75" s="33"/>
      <c r="FI75" s="33"/>
      <c r="FJ75" s="33"/>
      <c r="FK75" s="33"/>
      <c r="FL75" s="33"/>
      <c r="FM75" s="33"/>
      <c r="FN75" s="33"/>
      <c r="FO75" s="33"/>
      <c r="FP75" s="33"/>
      <c r="FQ75" s="33"/>
      <c r="FR75" s="33"/>
      <c r="FS75" s="33"/>
      <c r="FT75" s="33"/>
      <c r="FU75" s="33"/>
      <c r="FV75" s="33"/>
      <c r="FW75" s="33"/>
      <c r="FX75" s="33"/>
      <c r="FY75" s="33"/>
      <c r="FZ75" s="33"/>
      <c r="GA75" s="33"/>
      <c r="GB75" s="33"/>
      <c r="GC75" s="33"/>
      <c r="GD75" s="33"/>
      <c r="GE75" s="33"/>
      <c r="GF75" s="33"/>
      <c r="GG75" s="33"/>
      <c r="GH75" s="33"/>
      <c r="GI75" s="33"/>
      <c r="GJ75" s="33"/>
      <c r="GK75" s="33"/>
      <c r="GL75" s="33"/>
      <c r="GM75" s="33"/>
      <c r="GN75" s="33"/>
      <c r="GO75" s="33"/>
      <c r="GP75" s="33"/>
      <c r="GQ75" s="33"/>
      <c r="GR75" s="33"/>
      <c r="GS75" s="33"/>
      <c r="GT75" s="33"/>
      <c r="GU75" s="33"/>
      <c r="GV75" s="33"/>
      <c r="GW75" s="33"/>
      <c r="GX75" s="33"/>
      <c r="GY75" s="33"/>
      <c r="GZ75" s="33"/>
      <c r="HA75" s="33"/>
      <c r="HB75" s="33"/>
      <c r="HC75" s="33"/>
      <c r="HD75" s="33"/>
      <c r="HE75" s="33"/>
      <c r="HF75" s="33"/>
      <c r="HG75" s="33"/>
      <c r="HH75" s="33"/>
      <c r="HI75" s="33"/>
      <c r="HJ75" s="33"/>
      <c r="HK75" s="33"/>
      <c r="HL75" s="33"/>
      <c r="HM75" s="33"/>
      <c r="HN75" s="33"/>
      <c r="HO75" s="33"/>
      <c r="HP75" s="33"/>
      <c r="HQ75" s="33"/>
      <c r="HR75" s="33"/>
      <c r="HS75" s="33"/>
      <c r="HT75" s="33"/>
      <c r="HU75" s="33"/>
      <c r="HV75" s="33"/>
      <c r="HW75" s="33"/>
      <c r="HX75" s="33"/>
      <c r="HY75" s="33"/>
      <c r="HZ75" s="33"/>
      <c r="IA75" s="33"/>
      <c r="IB75" s="33"/>
      <c r="IC75" s="33"/>
      <c r="ID75" s="33"/>
      <c r="IE75" s="33"/>
      <c r="IF75" s="33"/>
      <c r="IG75" s="33"/>
      <c r="IH75" s="33"/>
      <c r="II75" s="33"/>
      <c r="IJ75" s="33"/>
      <c r="IK75" s="33"/>
      <c r="IL75" s="33"/>
      <c r="IM75" s="33"/>
      <c r="IN75" s="33"/>
      <c r="IO75" s="33"/>
      <c r="IP75" s="33"/>
      <c r="IQ75" s="33"/>
      <c r="IR75" s="33"/>
      <c r="IS75" s="33"/>
      <c r="IT75" s="33"/>
      <c r="IU75" s="33"/>
      <c r="IV75" s="33"/>
      <c r="IW75" s="33"/>
      <c r="IX75" s="33"/>
      <c r="IY75" s="33"/>
      <c r="IZ75" s="33"/>
      <c r="JA75" s="33"/>
      <c r="JB75" s="33"/>
      <c r="JC75" s="33"/>
      <c r="JD75" s="33"/>
      <c r="JE75" s="33"/>
      <c r="JF75" s="33"/>
      <c r="JG75" s="33"/>
      <c r="JH75" s="33"/>
      <c r="JI75" s="33"/>
      <c r="JJ75" s="33"/>
      <c r="JK75" s="33"/>
      <c r="JL75" s="33"/>
      <c r="JM75" s="33"/>
      <c r="JN75" s="33"/>
      <c r="JO75" s="33"/>
      <c r="JP75" s="33"/>
      <c r="JQ75" s="33"/>
      <c r="JR75" s="33"/>
      <c r="JS75" s="33"/>
      <c r="JT75" s="33"/>
      <c r="JU75" s="33"/>
      <c r="JV75" s="33"/>
      <c r="JW75" s="33"/>
      <c r="JX75" s="33"/>
      <c r="JY75" s="33"/>
      <c r="JZ75" s="33"/>
      <c r="KA75" s="33"/>
      <c r="KB75" s="33"/>
      <c r="KC75" s="33"/>
      <c r="KD75" s="33"/>
      <c r="KE75" s="33"/>
      <c r="KF75" s="33"/>
      <c r="KG75" s="33"/>
      <c r="KH75" s="33"/>
      <c r="KI75" s="33"/>
      <c r="KJ75" s="33"/>
      <c r="KK75" s="33"/>
      <c r="KL75" s="33"/>
      <c r="KM75" s="33"/>
      <c r="KN75" s="33"/>
      <c r="KO75" s="33"/>
      <c r="KP75" s="33"/>
      <c r="KQ75" s="33"/>
      <c r="KR75" s="33"/>
      <c r="KS75" s="33"/>
      <c r="KT75" s="33"/>
      <c r="KU75" s="33"/>
      <c r="KV75" s="33"/>
      <c r="KW75" s="33"/>
      <c r="KX75" s="33"/>
      <c r="KY75" s="33"/>
      <c r="KZ75" s="33"/>
      <c r="LA75" s="33"/>
      <c r="LB75" s="33"/>
      <c r="LC75" s="33"/>
      <c r="LD75" s="33"/>
      <c r="LE75" s="33"/>
      <c r="LF75" s="33"/>
      <c r="LG75" s="33"/>
      <c r="LH75" s="33"/>
      <c r="LI75" s="33"/>
      <c r="LJ75" s="33"/>
      <c r="LK75" s="33"/>
      <c r="LL75" s="33"/>
      <c r="LM75" s="33"/>
      <c r="LN75" s="33"/>
      <c r="LO75" s="33"/>
      <c r="LP75" s="33"/>
      <c r="LQ75" s="33"/>
      <c r="LR75" s="33"/>
      <c r="LS75" s="33"/>
      <c r="LT75" s="33"/>
      <c r="LU75" s="33"/>
      <c r="LV75" s="33"/>
      <c r="LW75" s="33"/>
      <c r="LX75" s="33"/>
      <c r="LY75" s="33"/>
      <c r="LZ75" s="33"/>
      <c r="MA75" s="33"/>
      <c r="MB75" s="33"/>
      <c r="MC75" s="33"/>
      <c r="MD75" s="33"/>
      <c r="ME75" s="33"/>
      <c r="MF75" s="33"/>
      <c r="MG75" s="33"/>
      <c r="MH75" s="33"/>
      <c r="MI75" s="33"/>
      <c r="MJ75" s="33"/>
      <c r="MK75" s="33"/>
      <c r="ML75" s="33"/>
      <c r="MM75" s="33"/>
      <c r="MN75" s="33"/>
      <c r="MO75" s="33"/>
      <c r="MP75" s="33"/>
      <c r="MQ75" s="33"/>
      <c r="MR75" s="33"/>
      <c r="MS75" s="33"/>
      <c r="MT75" s="33"/>
      <c r="MU75" s="33"/>
      <c r="MV75" s="33"/>
      <c r="MW75" s="33"/>
      <c r="MX75" s="33"/>
      <c r="MY75" s="33"/>
      <c r="MZ75" s="33"/>
      <c r="NA75" s="33"/>
      <c r="NB75" s="33"/>
      <c r="NC75" s="33"/>
      <c r="ND75" s="33"/>
      <c r="NE75" s="33"/>
      <c r="NF75" s="33"/>
      <c r="NG75" s="33"/>
      <c r="NH75" s="33"/>
      <c r="NI75" s="33"/>
      <c r="NJ75" s="33"/>
      <c r="NK75" s="33"/>
      <c r="NL75" s="34"/>
    </row>
    <row r="76" spans="1:376" x14ac:dyDescent="0.15">
      <c r="A76" s="35">
        <f>A75</f>
        <v>32</v>
      </c>
      <c r="B76" s="36" t="str">
        <f>B75</f>
        <v>DD</v>
      </c>
      <c r="C76" s="36" t="str">
        <f>C75</f>
        <v>監視端末詳細設計書作成</v>
      </c>
      <c r="D76" s="37" t="str">
        <f>D75</f>
        <v>若山</v>
      </c>
      <c r="E76" s="53" t="s">
        <v>0</v>
      </c>
      <c r="F76" s="54"/>
      <c r="G76" s="54"/>
      <c r="H76" s="55">
        <f t="shared" si="229"/>
        <v>0</v>
      </c>
      <c r="I76" s="56">
        <f>IF(OR(H75="",H76=""),"",H76-H75)</f>
        <v>-24</v>
      </c>
      <c r="J76" s="57"/>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c r="BS76" s="59"/>
      <c r="BT76" s="59"/>
      <c r="BU76" s="59"/>
      <c r="BV76" s="59"/>
      <c r="BW76" s="59"/>
      <c r="BX76" s="59"/>
      <c r="BY76" s="59"/>
      <c r="BZ76" s="59"/>
      <c r="CA76" s="59"/>
      <c r="CB76" s="59"/>
      <c r="CC76" s="59"/>
      <c r="CD76" s="59"/>
      <c r="CE76" s="59"/>
      <c r="CF76" s="59"/>
      <c r="CG76" s="59"/>
      <c r="CH76" s="59"/>
      <c r="CI76" s="59"/>
      <c r="CJ76" s="59"/>
      <c r="CK76" s="59"/>
      <c r="CL76" s="59"/>
      <c r="CM76" s="59"/>
      <c r="CN76" s="59"/>
      <c r="CO76" s="59"/>
      <c r="CP76" s="59"/>
      <c r="CQ76" s="59"/>
      <c r="CR76" s="59"/>
      <c r="CS76" s="59"/>
      <c r="CT76" s="59"/>
      <c r="CU76" s="59"/>
      <c r="CV76" s="59"/>
      <c r="CW76" s="59"/>
      <c r="CX76" s="59"/>
      <c r="CY76" s="59"/>
      <c r="CZ76" s="59"/>
      <c r="DA76" s="59"/>
      <c r="DB76" s="59"/>
      <c r="DC76" s="59"/>
      <c r="DD76" s="59"/>
      <c r="DE76" s="59"/>
      <c r="DF76" s="59"/>
      <c r="DG76" s="59"/>
      <c r="DH76" s="59"/>
      <c r="DI76" s="59"/>
      <c r="DJ76" s="59"/>
      <c r="DK76" s="59"/>
      <c r="DL76" s="59"/>
      <c r="DM76" s="59"/>
      <c r="DN76" s="59"/>
      <c r="DO76" s="59"/>
      <c r="DP76" s="59"/>
      <c r="DQ76" s="59"/>
      <c r="DR76" s="59"/>
      <c r="DS76" s="59"/>
      <c r="DT76" s="59"/>
      <c r="DU76" s="59"/>
      <c r="DV76" s="59"/>
      <c r="DW76" s="59"/>
      <c r="DX76" s="59"/>
      <c r="DY76" s="59"/>
      <c r="DZ76" s="59"/>
      <c r="EA76" s="59"/>
      <c r="EB76" s="59"/>
      <c r="EC76" s="59"/>
      <c r="ED76" s="59"/>
      <c r="EE76" s="59"/>
      <c r="EF76" s="59"/>
      <c r="EG76" s="59"/>
      <c r="EH76" s="59"/>
      <c r="EI76" s="59"/>
      <c r="EJ76" s="59"/>
      <c r="EK76" s="59"/>
      <c r="EL76" s="59"/>
      <c r="EM76" s="59"/>
      <c r="EN76" s="59"/>
      <c r="EO76" s="59"/>
      <c r="EP76" s="59"/>
      <c r="EQ76" s="59"/>
      <c r="ER76" s="59"/>
      <c r="ES76" s="59"/>
      <c r="ET76" s="59"/>
      <c r="EU76" s="59"/>
      <c r="EV76" s="59"/>
      <c r="EW76" s="59"/>
      <c r="EX76" s="59"/>
      <c r="EY76" s="59"/>
      <c r="EZ76" s="59"/>
      <c r="FA76" s="59"/>
      <c r="FB76" s="59"/>
      <c r="FC76" s="59"/>
      <c r="FD76" s="59"/>
      <c r="FE76" s="59"/>
      <c r="FF76" s="59"/>
      <c r="FG76" s="59"/>
      <c r="FH76" s="59"/>
      <c r="FI76" s="59"/>
      <c r="FJ76" s="59"/>
      <c r="FK76" s="59"/>
      <c r="FL76" s="59"/>
      <c r="FM76" s="59"/>
      <c r="FN76" s="59"/>
      <c r="FO76" s="59"/>
      <c r="FP76" s="59"/>
      <c r="FQ76" s="59"/>
      <c r="FR76" s="59"/>
      <c r="FS76" s="59"/>
      <c r="FT76" s="59"/>
      <c r="FU76" s="59"/>
      <c r="FV76" s="59"/>
      <c r="FW76" s="59"/>
      <c r="FX76" s="59"/>
      <c r="FY76" s="59"/>
      <c r="FZ76" s="59"/>
      <c r="GA76" s="59"/>
      <c r="GB76" s="59"/>
      <c r="GC76" s="59"/>
      <c r="GD76" s="59"/>
      <c r="GE76" s="59"/>
      <c r="GF76" s="59"/>
      <c r="GG76" s="59"/>
      <c r="GH76" s="59"/>
      <c r="GI76" s="59"/>
      <c r="GJ76" s="59"/>
      <c r="GK76" s="59"/>
      <c r="GL76" s="59"/>
      <c r="GM76" s="59"/>
      <c r="GN76" s="59"/>
      <c r="GO76" s="59"/>
      <c r="GP76" s="59"/>
      <c r="GQ76" s="59"/>
      <c r="GR76" s="59"/>
      <c r="GS76" s="59"/>
      <c r="GT76" s="59"/>
      <c r="GU76" s="59"/>
      <c r="GV76" s="59"/>
      <c r="GW76" s="59"/>
      <c r="GX76" s="59"/>
      <c r="GY76" s="59"/>
      <c r="GZ76" s="59"/>
      <c r="HA76" s="59"/>
      <c r="HB76" s="59"/>
      <c r="HC76" s="59"/>
      <c r="HD76" s="59"/>
      <c r="HE76" s="59"/>
      <c r="HF76" s="59"/>
      <c r="HG76" s="59"/>
      <c r="HH76" s="59"/>
      <c r="HI76" s="59"/>
      <c r="HJ76" s="59"/>
      <c r="HK76" s="59"/>
      <c r="HL76" s="59"/>
      <c r="HM76" s="59"/>
      <c r="HN76" s="59"/>
      <c r="HO76" s="59"/>
      <c r="HP76" s="59"/>
      <c r="HQ76" s="59"/>
      <c r="HR76" s="59"/>
      <c r="HS76" s="59"/>
      <c r="HT76" s="59"/>
      <c r="HU76" s="59"/>
      <c r="HV76" s="59"/>
      <c r="HW76" s="59"/>
      <c r="HX76" s="59"/>
      <c r="HY76" s="59"/>
      <c r="HZ76" s="59"/>
      <c r="IA76" s="59"/>
      <c r="IB76" s="59"/>
      <c r="IC76" s="59"/>
      <c r="ID76" s="59"/>
      <c r="IE76" s="59"/>
      <c r="IF76" s="59"/>
      <c r="IG76" s="59"/>
      <c r="IH76" s="59"/>
      <c r="II76" s="59"/>
      <c r="IJ76" s="59"/>
      <c r="IK76" s="59"/>
      <c r="IL76" s="59"/>
      <c r="IM76" s="59"/>
      <c r="IN76" s="59"/>
      <c r="IO76" s="59"/>
      <c r="IP76" s="59"/>
      <c r="IQ76" s="59"/>
      <c r="IR76" s="59"/>
      <c r="IS76" s="59"/>
      <c r="IT76" s="59"/>
      <c r="IU76" s="59"/>
      <c r="IV76" s="59"/>
      <c r="IW76" s="59"/>
      <c r="IX76" s="59"/>
      <c r="IY76" s="59"/>
      <c r="IZ76" s="59"/>
      <c r="JA76" s="59"/>
      <c r="JB76" s="59"/>
      <c r="JC76" s="59"/>
      <c r="JD76" s="59"/>
      <c r="JE76" s="59"/>
      <c r="JF76" s="59"/>
      <c r="JG76" s="59"/>
      <c r="JH76" s="59"/>
      <c r="JI76" s="59"/>
      <c r="JJ76" s="59"/>
      <c r="JK76" s="59"/>
      <c r="JL76" s="59"/>
      <c r="JM76" s="59"/>
      <c r="JN76" s="59"/>
      <c r="JO76" s="59"/>
      <c r="JP76" s="59"/>
      <c r="JQ76" s="59"/>
      <c r="JR76" s="59"/>
      <c r="JS76" s="59"/>
      <c r="JT76" s="59"/>
      <c r="JU76" s="59"/>
      <c r="JV76" s="59"/>
      <c r="JW76" s="59"/>
      <c r="JX76" s="59"/>
      <c r="JY76" s="59"/>
      <c r="JZ76" s="59"/>
      <c r="KA76" s="59"/>
      <c r="KB76" s="59"/>
      <c r="KC76" s="59"/>
      <c r="KD76" s="59"/>
      <c r="KE76" s="59"/>
      <c r="KF76" s="59"/>
      <c r="KG76" s="59"/>
      <c r="KH76" s="59"/>
      <c r="KI76" s="59"/>
      <c r="KJ76" s="59"/>
      <c r="KK76" s="59"/>
      <c r="KL76" s="59"/>
      <c r="KM76" s="59"/>
      <c r="KN76" s="59"/>
      <c r="KO76" s="59"/>
      <c r="KP76" s="59"/>
      <c r="KQ76" s="59"/>
      <c r="KR76" s="59"/>
      <c r="KS76" s="59"/>
      <c r="KT76" s="59"/>
      <c r="KU76" s="59"/>
      <c r="KV76" s="59"/>
      <c r="KW76" s="59"/>
      <c r="KX76" s="59"/>
      <c r="KY76" s="59"/>
      <c r="KZ76" s="59"/>
      <c r="LA76" s="59"/>
      <c r="LB76" s="59"/>
      <c r="LC76" s="59"/>
      <c r="LD76" s="59"/>
      <c r="LE76" s="59"/>
      <c r="LF76" s="59"/>
      <c r="LG76" s="59"/>
      <c r="LH76" s="59"/>
      <c r="LI76" s="59"/>
      <c r="LJ76" s="59"/>
      <c r="LK76" s="59"/>
      <c r="LL76" s="59"/>
      <c r="LM76" s="59"/>
      <c r="LN76" s="59"/>
      <c r="LO76" s="59"/>
      <c r="LP76" s="59"/>
      <c r="LQ76" s="59"/>
      <c r="LR76" s="59"/>
      <c r="LS76" s="59"/>
      <c r="LT76" s="59"/>
      <c r="LU76" s="59"/>
      <c r="LV76" s="59"/>
      <c r="LW76" s="59"/>
      <c r="LX76" s="59"/>
      <c r="LY76" s="59"/>
      <c r="LZ76" s="59"/>
      <c r="MA76" s="59"/>
      <c r="MB76" s="59"/>
      <c r="MC76" s="59"/>
      <c r="MD76" s="59"/>
      <c r="ME76" s="59"/>
      <c r="MF76" s="59"/>
      <c r="MG76" s="59"/>
      <c r="MH76" s="59"/>
      <c r="MI76" s="59"/>
      <c r="MJ76" s="59"/>
      <c r="MK76" s="59"/>
      <c r="ML76" s="59"/>
      <c r="MM76" s="59"/>
      <c r="MN76" s="59"/>
      <c r="MO76" s="59"/>
      <c r="MP76" s="59"/>
      <c r="MQ76" s="59"/>
      <c r="MR76" s="59"/>
      <c r="MS76" s="59"/>
      <c r="MT76" s="59"/>
      <c r="MU76" s="59"/>
      <c r="MV76" s="59"/>
      <c r="MW76" s="59"/>
      <c r="MX76" s="59"/>
      <c r="MY76" s="59"/>
      <c r="MZ76" s="59"/>
      <c r="NA76" s="59"/>
      <c r="NB76" s="59"/>
      <c r="NC76" s="59"/>
      <c r="ND76" s="59"/>
      <c r="NE76" s="59"/>
      <c r="NF76" s="59"/>
      <c r="NG76" s="59"/>
      <c r="NH76" s="59"/>
      <c r="NI76" s="59"/>
      <c r="NJ76" s="59"/>
      <c r="NK76" s="59"/>
      <c r="NL76" s="60"/>
    </row>
    <row r="77" spans="1:376" x14ac:dyDescent="0.15">
      <c r="A77" s="23">
        <v>33</v>
      </c>
      <c r="B77" s="24" t="s">
        <v>140</v>
      </c>
      <c r="C77" s="45" t="s">
        <v>145</v>
      </c>
      <c r="D77" s="26" t="s">
        <v>164</v>
      </c>
      <c r="E77" s="27" t="s">
        <v>13</v>
      </c>
      <c r="F77" s="28">
        <v>42973</v>
      </c>
      <c r="G77" s="28">
        <v>42973</v>
      </c>
      <c r="H77" s="29">
        <f t="shared" si="229"/>
        <v>4</v>
      </c>
      <c r="I77" s="30"/>
      <c r="J77" s="31"/>
      <c r="K77" s="32"/>
      <c r="L77" s="32"/>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3"/>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33"/>
      <c r="CA77" s="33"/>
      <c r="CB77" s="33"/>
      <c r="CC77" s="33"/>
      <c r="CD77" s="33"/>
      <c r="CE77" s="33"/>
      <c r="CF77" s="33"/>
      <c r="CG77" s="33"/>
      <c r="CH77" s="33"/>
      <c r="CI77" s="33"/>
      <c r="CJ77" s="33"/>
      <c r="CK77" s="33"/>
      <c r="CL77" s="33"/>
      <c r="CM77" s="33"/>
      <c r="CN77" s="33"/>
      <c r="CO77" s="33"/>
      <c r="CP77" s="33"/>
      <c r="CQ77" s="33"/>
      <c r="CR77" s="33"/>
      <c r="CS77" s="33"/>
      <c r="CT77" s="33"/>
      <c r="CU77" s="33"/>
      <c r="CV77" s="33"/>
      <c r="CW77" s="33"/>
      <c r="CX77" s="33"/>
      <c r="CY77" s="33"/>
      <c r="CZ77" s="33"/>
      <c r="DA77" s="33"/>
      <c r="DB77" s="33"/>
      <c r="DC77" s="33"/>
      <c r="DD77" s="33"/>
      <c r="DE77" s="33"/>
      <c r="DF77" s="33"/>
      <c r="DG77" s="33"/>
      <c r="DH77" s="33"/>
      <c r="DI77" s="33"/>
      <c r="DJ77" s="33"/>
      <c r="DK77" s="33"/>
      <c r="DL77" s="33"/>
      <c r="DM77" s="33"/>
      <c r="DN77" s="33"/>
      <c r="DO77" s="33"/>
      <c r="DP77" s="33"/>
      <c r="DQ77" s="33"/>
      <c r="DR77" s="33"/>
      <c r="DS77" s="33"/>
      <c r="DT77" s="33"/>
      <c r="DU77" s="33"/>
      <c r="DV77" s="33"/>
      <c r="DW77" s="33"/>
      <c r="DX77" s="33"/>
      <c r="DY77" s="33"/>
      <c r="DZ77" s="33"/>
      <c r="EA77" s="33"/>
      <c r="EB77" s="33"/>
      <c r="EC77" s="33"/>
      <c r="ED77" s="33"/>
      <c r="EE77" s="33"/>
      <c r="EF77" s="33"/>
      <c r="EG77" s="33"/>
      <c r="EH77" s="33"/>
      <c r="EI77" s="33"/>
      <c r="EJ77" s="33"/>
      <c r="EK77" s="33"/>
      <c r="EL77" s="33"/>
      <c r="EM77" s="33"/>
      <c r="EN77" s="33"/>
      <c r="EO77" s="33"/>
      <c r="EP77" s="33"/>
      <c r="EQ77" s="33"/>
      <c r="ER77" s="33"/>
      <c r="ES77" s="33"/>
      <c r="ET77" s="33"/>
      <c r="EU77" s="33"/>
      <c r="EV77" s="33"/>
      <c r="EW77" s="33"/>
      <c r="EX77" s="33"/>
      <c r="EY77" s="33">
        <v>4</v>
      </c>
      <c r="EZ77" s="33"/>
      <c r="FA77" s="33"/>
      <c r="FB77" s="33"/>
      <c r="FC77" s="33"/>
      <c r="FD77" s="33"/>
      <c r="FE77" s="33"/>
      <c r="FF77" s="33"/>
      <c r="FG77" s="33"/>
      <c r="FH77" s="33"/>
      <c r="FI77" s="33"/>
      <c r="FJ77" s="33"/>
      <c r="FK77" s="33"/>
      <c r="FL77" s="33"/>
      <c r="FM77" s="33"/>
      <c r="FN77" s="33"/>
      <c r="FO77" s="33"/>
      <c r="FP77" s="33"/>
      <c r="FQ77" s="33"/>
      <c r="FR77" s="33"/>
      <c r="FS77" s="33"/>
      <c r="FT77" s="33"/>
      <c r="FU77" s="33"/>
      <c r="FV77" s="33"/>
      <c r="FW77" s="33"/>
      <c r="FX77" s="33"/>
      <c r="FY77" s="33"/>
      <c r="FZ77" s="33"/>
      <c r="GA77" s="33"/>
      <c r="GB77" s="33"/>
      <c r="GC77" s="33"/>
      <c r="GD77" s="33"/>
      <c r="GE77" s="33"/>
      <c r="GF77" s="33"/>
      <c r="GG77" s="33"/>
      <c r="GH77" s="33"/>
      <c r="GI77" s="33"/>
      <c r="GJ77" s="33"/>
      <c r="GK77" s="33"/>
      <c r="GL77" s="33"/>
      <c r="GM77" s="33"/>
      <c r="GN77" s="33"/>
      <c r="GO77" s="33"/>
      <c r="GP77" s="33"/>
      <c r="GQ77" s="33"/>
      <c r="GR77" s="33"/>
      <c r="GS77" s="33"/>
      <c r="GT77" s="33"/>
      <c r="GU77" s="33"/>
      <c r="GV77" s="33"/>
      <c r="GW77" s="33"/>
      <c r="GX77" s="33"/>
      <c r="GY77" s="33"/>
      <c r="GZ77" s="33"/>
      <c r="HA77" s="33"/>
      <c r="HB77" s="33"/>
      <c r="HC77" s="33"/>
      <c r="HD77" s="33"/>
      <c r="HE77" s="33"/>
      <c r="HF77" s="33"/>
      <c r="HG77" s="33"/>
      <c r="HH77" s="33"/>
      <c r="HI77" s="33"/>
      <c r="HJ77" s="33"/>
      <c r="HK77" s="33"/>
      <c r="HL77" s="33"/>
      <c r="HM77" s="33"/>
      <c r="HN77" s="33"/>
      <c r="HO77" s="33"/>
      <c r="HP77" s="33"/>
      <c r="HQ77" s="33"/>
      <c r="HR77" s="33"/>
      <c r="HS77" s="33"/>
      <c r="HT77" s="33"/>
      <c r="HU77" s="33"/>
      <c r="HV77" s="33"/>
      <c r="HW77" s="33"/>
      <c r="HX77" s="33"/>
      <c r="HY77" s="33"/>
      <c r="HZ77" s="33"/>
      <c r="IA77" s="33"/>
      <c r="IB77" s="33"/>
      <c r="IC77" s="33"/>
      <c r="ID77" s="33"/>
      <c r="IE77" s="33"/>
      <c r="IF77" s="33"/>
      <c r="IG77" s="33"/>
      <c r="IH77" s="33"/>
      <c r="II77" s="33"/>
      <c r="IJ77" s="33"/>
      <c r="IK77" s="33"/>
      <c r="IL77" s="33"/>
      <c r="IM77" s="33"/>
      <c r="IN77" s="33"/>
      <c r="IO77" s="33"/>
      <c r="IP77" s="33"/>
      <c r="IQ77" s="33"/>
      <c r="IR77" s="33"/>
      <c r="IS77" s="33"/>
      <c r="IT77" s="33"/>
      <c r="IU77" s="33"/>
      <c r="IV77" s="33"/>
      <c r="IW77" s="33"/>
      <c r="IX77" s="33"/>
      <c r="IY77" s="33"/>
      <c r="IZ77" s="33"/>
      <c r="JA77" s="33"/>
      <c r="JB77" s="33"/>
      <c r="JC77" s="33"/>
      <c r="JD77" s="33"/>
      <c r="JE77" s="33"/>
      <c r="JF77" s="33"/>
      <c r="JG77" s="33"/>
      <c r="JH77" s="33"/>
      <c r="JI77" s="33"/>
      <c r="JJ77" s="33"/>
      <c r="JK77" s="33"/>
      <c r="JL77" s="33"/>
      <c r="JM77" s="33"/>
      <c r="JN77" s="33"/>
      <c r="JO77" s="33"/>
      <c r="JP77" s="33"/>
      <c r="JQ77" s="33"/>
      <c r="JR77" s="33"/>
      <c r="JS77" s="33"/>
      <c r="JT77" s="33"/>
      <c r="JU77" s="33"/>
      <c r="JV77" s="33"/>
      <c r="JW77" s="33"/>
      <c r="JX77" s="33"/>
      <c r="JY77" s="33"/>
      <c r="JZ77" s="33"/>
      <c r="KA77" s="33"/>
      <c r="KB77" s="33"/>
      <c r="KC77" s="33"/>
      <c r="KD77" s="33"/>
      <c r="KE77" s="33"/>
      <c r="KF77" s="33"/>
      <c r="KG77" s="33"/>
      <c r="KH77" s="33"/>
      <c r="KI77" s="33"/>
      <c r="KJ77" s="33"/>
      <c r="KK77" s="33"/>
      <c r="KL77" s="33"/>
      <c r="KM77" s="33"/>
      <c r="KN77" s="33"/>
      <c r="KO77" s="33"/>
      <c r="KP77" s="33"/>
      <c r="KQ77" s="33"/>
      <c r="KR77" s="33"/>
      <c r="KS77" s="33"/>
      <c r="KT77" s="33"/>
      <c r="KU77" s="33"/>
      <c r="KV77" s="33"/>
      <c r="KW77" s="33"/>
      <c r="KX77" s="33"/>
      <c r="KY77" s="33"/>
      <c r="KZ77" s="33"/>
      <c r="LA77" s="33"/>
      <c r="LB77" s="33"/>
      <c r="LC77" s="33"/>
      <c r="LD77" s="33"/>
      <c r="LE77" s="33"/>
      <c r="LF77" s="33"/>
      <c r="LG77" s="33"/>
      <c r="LH77" s="33"/>
      <c r="LI77" s="33"/>
      <c r="LJ77" s="33"/>
      <c r="LK77" s="33"/>
      <c r="LL77" s="33"/>
      <c r="LM77" s="33"/>
      <c r="LN77" s="33"/>
      <c r="LO77" s="33"/>
      <c r="LP77" s="33"/>
      <c r="LQ77" s="33"/>
      <c r="LR77" s="33"/>
      <c r="LS77" s="33"/>
      <c r="LT77" s="33"/>
      <c r="LU77" s="33"/>
      <c r="LV77" s="33"/>
      <c r="LW77" s="33"/>
      <c r="LX77" s="33"/>
      <c r="LY77" s="33"/>
      <c r="LZ77" s="33"/>
      <c r="MA77" s="33"/>
      <c r="MB77" s="33"/>
      <c r="MC77" s="33"/>
      <c r="MD77" s="33"/>
      <c r="ME77" s="33"/>
      <c r="MF77" s="33"/>
      <c r="MG77" s="33"/>
      <c r="MH77" s="33"/>
      <c r="MI77" s="33"/>
      <c r="MJ77" s="33"/>
      <c r="MK77" s="33"/>
      <c r="ML77" s="33"/>
      <c r="MM77" s="33"/>
      <c r="MN77" s="33"/>
      <c r="MO77" s="33"/>
      <c r="MP77" s="33"/>
      <c r="MQ77" s="33"/>
      <c r="MR77" s="33"/>
      <c r="MS77" s="33"/>
      <c r="MT77" s="33"/>
      <c r="MU77" s="33"/>
      <c r="MV77" s="33"/>
      <c r="MW77" s="33"/>
      <c r="MX77" s="33"/>
      <c r="MY77" s="33"/>
      <c r="MZ77" s="33"/>
      <c r="NA77" s="33"/>
      <c r="NB77" s="33"/>
      <c r="NC77" s="33"/>
      <c r="ND77" s="33"/>
      <c r="NE77" s="33"/>
      <c r="NF77" s="33"/>
      <c r="NG77" s="33"/>
      <c r="NH77" s="33"/>
      <c r="NI77" s="33"/>
      <c r="NJ77" s="33"/>
      <c r="NK77" s="33"/>
      <c r="NL77" s="34"/>
    </row>
    <row r="78" spans="1:376" x14ac:dyDescent="0.15">
      <c r="A78" s="35">
        <f>A77</f>
        <v>33</v>
      </c>
      <c r="B78" s="36" t="str">
        <f>B77</f>
        <v>DD</v>
      </c>
      <c r="C78" s="36" t="str">
        <f>C77</f>
        <v>監視端末詳細設計書レビュー</v>
      </c>
      <c r="D78" s="37" t="str">
        <f>D77</f>
        <v>伊藤</v>
      </c>
      <c r="E78" s="53" t="s">
        <v>0</v>
      </c>
      <c r="F78" s="54"/>
      <c r="G78" s="54"/>
      <c r="H78" s="55">
        <f t="shared" si="229"/>
        <v>0</v>
      </c>
      <c r="I78" s="56">
        <f>IF(OR(H77="",H78=""),"",H78-H77)</f>
        <v>-4</v>
      </c>
      <c r="J78" s="57"/>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c r="BS78" s="59"/>
      <c r="BT78" s="59"/>
      <c r="BU78" s="59"/>
      <c r="BV78" s="59"/>
      <c r="BW78" s="59"/>
      <c r="BX78" s="59"/>
      <c r="BY78" s="59"/>
      <c r="BZ78" s="59"/>
      <c r="CA78" s="59"/>
      <c r="CB78" s="59"/>
      <c r="CC78" s="59"/>
      <c r="CD78" s="59"/>
      <c r="CE78" s="59"/>
      <c r="CF78" s="59"/>
      <c r="CG78" s="59"/>
      <c r="CH78" s="59"/>
      <c r="CI78" s="59"/>
      <c r="CJ78" s="59"/>
      <c r="CK78" s="59"/>
      <c r="CL78" s="59"/>
      <c r="CM78" s="59"/>
      <c r="CN78" s="59"/>
      <c r="CO78" s="59"/>
      <c r="CP78" s="59"/>
      <c r="CQ78" s="59"/>
      <c r="CR78" s="59"/>
      <c r="CS78" s="59"/>
      <c r="CT78" s="59"/>
      <c r="CU78" s="59"/>
      <c r="CV78" s="59"/>
      <c r="CW78" s="59"/>
      <c r="CX78" s="59"/>
      <c r="CY78" s="59"/>
      <c r="CZ78" s="59"/>
      <c r="DA78" s="59"/>
      <c r="DB78" s="59"/>
      <c r="DC78" s="59"/>
      <c r="DD78" s="59"/>
      <c r="DE78" s="59"/>
      <c r="DF78" s="59"/>
      <c r="DG78" s="59"/>
      <c r="DH78" s="59"/>
      <c r="DI78" s="59"/>
      <c r="DJ78" s="59"/>
      <c r="DK78" s="59"/>
      <c r="DL78" s="59"/>
      <c r="DM78" s="59"/>
      <c r="DN78" s="59"/>
      <c r="DO78" s="59"/>
      <c r="DP78" s="59"/>
      <c r="DQ78" s="59"/>
      <c r="DR78" s="59"/>
      <c r="DS78" s="59"/>
      <c r="DT78" s="59"/>
      <c r="DU78" s="59"/>
      <c r="DV78" s="59"/>
      <c r="DW78" s="59"/>
      <c r="DX78" s="59"/>
      <c r="DY78" s="59"/>
      <c r="DZ78" s="59"/>
      <c r="EA78" s="59"/>
      <c r="EB78" s="59"/>
      <c r="EC78" s="59"/>
      <c r="ED78" s="59"/>
      <c r="EE78" s="59"/>
      <c r="EF78" s="59"/>
      <c r="EG78" s="59"/>
      <c r="EH78" s="59"/>
      <c r="EI78" s="59"/>
      <c r="EJ78" s="59"/>
      <c r="EK78" s="59"/>
      <c r="EL78" s="59"/>
      <c r="EM78" s="59"/>
      <c r="EN78" s="59"/>
      <c r="EO78" s="59"/>
      <c r="EP78" s="59"/>
      <c r="EQ78" s="59"/>
      <c r="ER78" s="59"/>
      <c r="ES78" s="59"/>
      <c r="ET78" s="59"/>
      <c r="EU78" s="59"/>
      <c r="EV78" s="59"/>
      <c r="EW78" s="59"/>
      <c r="EX78" s="59"/>
      <c r="EY78" s="59"/>
      <c r="EZ78" s="59"/>
      <c r="FA78" s="59"/>
      <c r="FB78" s="59"/>
      <c r="FC78" s="59"/>
      <c r="FD78" s="59"/>
      <c r="FE78" s="59"/>
      <c r="FF78" s="59"/>
      <c r="FG78" s="59"/>
      <c r="FH78" s="59"/>
      <c r="FI78" s="59"/>
      <c r="FJ78" s="59"/>
      <c r="FK78" s="59"/>
      <c r="FL78" s="59"/>
      <c r="FM78" s="59"/>
      <c r="FN78" s="59"/>
      <c r="FO78" s="59"/>
      <c r="FP78" s="59"/>
      <c r="FQ78" s="59"/>
      <c r="FR78" s="59"/>
      <c r="FS78" s="59"/>
      <c r="FT78" s="59"/>
      <c r="FU78" s="59"/>
      <c r="FV78" s="59"/>
      <c r="FW78" s="59"/>
      <c r="FX78" s="59"/>
      <c r="FY78" s="59"/>
      <c r="FZ78" s="59"/>
      <c r="GA78" s="59"/>
      <c r="GB78" s="59"/>
      <c r="GC78" s="59"/>
      <c r="GD78" s="59"/>
      <c r="GE78" s="59"/>
      <c r="GF78" s="59"/>
      <c r="GG78" s="59"/>
      <c r="GH78" s="59"/>
      <c r="GI78" s="59"/>
      <c r="GJ78" s="59"/>
      <c r="GK78" s="59"/>
      <c r="GL78" s="59"/>
      <c r="GM78" s="59"/>
      <c r="GN78" s="59"/>
      <c r="GO78" s="59"/>
      <c r="GP78" s="59"/>
      <c r="GQ78" s="59"/>
      <c r="GR78" s="59"/>
      <c r="GS78" s="59"/>
      <c r="GT78" s="59"/>
      <c r="GU78" s="59"/>
      <c r="GV78" s="59"/>
      <c r="GW78" s="59"/>
      <c r="GX78" s="59"/>
      <c r="GY78" s="59"/>
      <c r="GZ78" s="59"/>
      <c r="HA78" s="59"/>
      <c r="HB78" s="59"/>
      <c r="HC78" s="59"/>
      <c r="HD78" s="59"/>
      <c r="HE78" s="59"/>
      <c r="HF78" s="59"/>
      <c r="HG78" s="59"/>
      <c r="HH78" s="59"/>
      <c r="HI78" s="59"/>
      <c r="HJ78" s="59"/>
      <c r="HK78" s="59"/>
      <c r="HL78" s="59"/>
      <c r="HM78" s="59"/>
      <c r="HN78" s="59"/>
      <c r="HO78" s="59"/>
      <c r="HP78" s="59"/>
      <c r="HQ78" s="59"/>
      <c r="HR78" s="59"/>
      <c r="HS78" s="59"/>
      <c r="HT78" s="59"/>
      <c r="HU78" s="59"/>
      <c r="HV78" s="59"/>
      <c r="HW78" s="59"/>
      <c r="HX78" s="59"/>
      <c r="HY78" s="59"/>
      <c r="HZ78" s="59"/>
      <c r="IA78" s="59"/>
      <c r="IB78" s="59"/>
      <c r="IC78" s="59"/>
      <c r="ID78" s="59"/>
      <c r="IE78" s="59"/>
      <c r="IF78" s="59"/>
      <c r="IG78" s="59"/>
      <c r="IH78" s="59"/>
      <c r="II78" s="59"/>
      <c r="IJ78" s="59"/>
      <c r="IK78" s="59"/>
      <c r="IL78" s="59"/>
      <c r="IM78" s="59"/>
      <c r="IN78" s="59"/>
      <c r="IO78" s="59"/>
      <c r="IP78" s="59"/>
      <c r="IQ78" s="59"/>
      <c r="IR78" s="59"/>
      <c r="IS78" s="59"/>
      <c r="IT78" s="59"/>
      <c r="IU78" s="59"/>
      <c r="IV78" s="59"/>
      <c r="IW78" s="59"/>
      <c r="IX78" s="59"/>
      <c r="IY78" s="59"/>
      <c r="IZ78" s="59"/>
      <c r="JA78" s="59"/>
      <c r="JB78" s="59"/>
      <c r="JC78" s="59"/>
      <c r="JD78" s="59"/>
      <c r="JE78" s="59"/>
      <c r="JF78" s="59"/>
      <c r="JG78" s="59"/>
      <c r="JH78" s="59"/>
      <c r="JI78" s="59"/>
      <c r="JJ78" s="59"/>
      <c r="JK78" s="59"/>
      <c r="JL78" s="59"/>
      <c r="JM78" s="59"/>
      <c r="JN78" s="59"/>
      <c r="JO78" s="59"/>
      <c r="JP78" s="59"/>
      <c r="JQ78" s="59"/>
      <c r="JR78" s="59"/>
      <c r="JS78" s="59"/>
      <c r="JT78" s="59"/>
      <c r="JU78" s="59"/>
      <c r="JV78" s="59"/>
      <c r="JW78" s="59"/>
      <c r="JX78" s="59"/>
      <c r="JY78" s="59"/>
      <c r="JZ78" s="59"/>
      <c r="KA78" s="59"/>
      <c r="KB78" s="59"/>
      <c r="KC78" s="59"/>
      <c r="KD78" s="59"/>
      <c r="KE78" s="59"/>
      <c r="KF78" s="59"/>
      <c r="KG78" s="59"/>
      <c r="KH78" s="59"/>
      <c r="KI78" s="59"/>
      <c r="KJ78" s="59"/>
      <c r="KK78" s="59"/>
      <c r="KL78" s="59"/>
      <c r="KM78" s="59"/>
      <c r="KN78" s="59"/>
      <c r="KO78" s="59"/>
      <c r="KP78" s="59"/>
      <c r="KQ78" s="59"/>
      <c r="KR78" s="59"/>
      <c r="KS78" s="59"/>
      <c r="KT78" s="59"/>
      <c r="KU78" s="59"/>
      <c r="KV78" s="59"/>
      <c r="KW78" s="59"/>
      <c r="KX78" s="59"/>
      <c r="KY78" s="59"/>
      <c r="KZ78" s="59"/>
      <c r="LA78" s="59"/>
      <c r="LB78" s="59"/>
      <c r="LC78" s="59"/>
      <c r="LD78" s="59"/>
      <c r="LE78" s="59"/>
      <c r="LF78" s="59"/>
      <c r="LG78" s="59"/>
      <c r="LH78" s="59"/>
      <c r="LI78" s="59"/>
      <c r="LJ78" s="59"/>
      <c r="LK78" s="59"/>
      <c r="LL78" s="59"/>
      <c r="LM78" s="59"/>
      <c r="LN78" s="59"/>
      <c r="LO78" s="59"/>
      <c r="LP78" s="59"/>
      <c r="LQ78" s="59"/>
      <c r="LR78" s="59"/>
      <c r="LS78" s="59"/>
      <c r="LT78" s="59"/>
      <c r="LU78" s="59"/>
      <c r="LV78" s="59"/>
      <c r="LW78" s="59"/>
      <c r="LX78" s="59"/>
      <c r="LY78" s="59"/>
      <c r="LZ78" s="59"/>
      <c r="MA78" s="59"/>
      <c r="MB78" s="59"/>
      <c r="MC78" s="59"/>
      <c r="MD78" s="59"/>
      <c r="ME78" s="59"/>
      <c r="MF78" s="59"/>
      <c r="MG78" s="59"/>
      <c r="MH78" s="59"/>
      <c r="MI78" s="59"/>
      <c r="MJ78" s="59"/>
      <c r="MK78" s="59"/>
      <c r="ML78" s="59"/>
      <c r="MM78" s="59"/>
      <c r="MN78" s="59"/>
      <c r="MO78" s="59"/>
      <c r="MP78" s="59"/>
      <c r="MQ78" s="59"/>
      <c r="MR78" s="59"/>
      <c r="MS78" s="59"/>
      <c r="MT78" s="59"/>
      <c r="MU78" s="59"/>
      <c r="MV78" s="59"/>
      <c r="MW78" s="59"/>
      <c r="MX78" s="59"/>
      <c r="MY78" s="59"/>
      <c r="MZ78" s="59"/>
      <c r="NA78" s="59"/>
      <c r="NB78" s="59"/>
      <c r="NC78" s="59"/>
      <c r="ND78" s="59"/>
      <c r="NE78" s="59"/>
      <c r="NF78" s="59"/>
      <c r="NG78" s="59"/>
      <c r="NH78" s="59"/>
      <c r="NI78" s="59"/>
      <c r="NJ78" s="59"/>
      <c r="NK78" s="59"/>
      <c r="NL78" s="60"/>
    </row>
    <row r="79" spans="1:376" x14ac:dyDescent="0.15">
      <c r="A79" s="23">
        <v>34</v>
      </c>
      <c r="B79" s="24" t="s">
        <v>140</v>
      </c>
      <c r="C79" s="45" t="s">
        <v>146</v>
      </c>
      <c r="D79" s="26" t="s">
        <v>115</v>
      </c>
      <c r="E79" s="27" t="s">
        <v>13</v>
      </c>
      <c r="F79" s="28">
        <v>42974</v>
      </c>
      <c r="G79" s="28">
        <v>42981</v>
      </c>
      <c r="H79" s="29">
        <f t="shared" si="229"/>
        <v>6</v>
      </c>
      <c r="I79" s="30"/>
      <c r="J79" s="31"/>
      <c r="K79" s="32"/>
      <c r="L79" s="32"/>
      <c r="M79" s="32"/>
      <c r="N79" s="32"/>
      <c r="O79" s="32"/>
      <c r="P79" s="32"/>
      <c r="Q79" s="32"/>
      <c r="R79" s="32"/>
      <c r="S79" s="32"/>
      <c r="T79" s="32"/>
      <c r="U79" s="32"/>
      <c r="V79" s="32"/>
      <c r="W79" s="32"/>
      <c r="X79" s="32"/>
      <c r="Y79" s="32"/>
      <c r="Z79" s="32"/>
      <c r="AA79" s="32"/>
      <c r="AB79" s="32"/>
      <c r="AC79" s="32"/>
      <c r="AD79" s="32"/>
      <c r="AE79" s="32"/>
      <c r="AF79" s="32"/>
      <c r="AG79" s="32"/>
      <c r="AH79" s="32"/>
      <c r="AI79" s="32"/>
      <c r="AJ79" s="32"/>
      <c r="AK79" s="32"/>
      <c r="AL79" s="32"/>
      <c r="AM79" s="32"/>
      <c r="AN79" s="32"/>
      <c r="AO79" s="32"/>
      <c r="AP79" s="33"/>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33"/>
      <c r="CA79" s="33"/>
      <c r="CB79" s="33"/>
      <c r="CC79" s="33"/>
      <c r="CD79" s="33"/>
      <c r="CE79" s="33"/>
      <c r="CF79" s="33"/>
      <c r="CG79" s="33"/>
      <c r="CH79" s="33"/>
      <c r="CI79" s="33"/>
      <c r="CJ79" s="33"/>
      <c r="CK79" s="33"/>
      <c r="CL79" s="33"/>
      <c r="CM79" s="33"/>
      <c r="CN79" s="33"/>
      <c r="CO79" s="33"/>
      <c r="CP79" s="33"/>
      <c r="CQ79" s="33"/>
      <c r="CR79" s="33"/>
      <c r="CS79" s="33"/>
      <c r="CT79" s="33"/>
      <c r="CU79" s="33"/>
      <c r="CV79" s="33"/>
      <c r="CW79" s="33"/>
      <c r="CX79" s="33"/>
      <c r="CY79" s="33"/>
      <c r="CZ79" s="33"/>
      <c r="DA79" s="33"/>
      <c r="DB79" s="33"/>
      <c r="DC79" s="33"/>
      <c r="DD79" s="33"/>
      <c r="DE79" s="33"/>
      <c r="DF79" s="33"/>
      <c r="DG79" s="33"/>
      <c r="DH79" s="33"/>
      <c r="DI79" s="33"/>
      <c r="DJ79" s="33"/>
      <c r="DK79" s="33"/>
      <c r="DL79" s="33"/>
      <c r="DM79" s="33"/>
      <c r="DN79" s="33"/>
      <c r="DO79" s="33"/>
      <c r="DP79" s="33"/>
      <c r="DQ79" s="33"/>
      <c r="DR79" s="33"/>
      <c r="DS79" s="33"/>
      <c r="DT79" s="33"/>
      <c r="DU79" s="33"/>
      <c r="DV79" s="33"/>
      <c r="DW79" s="33"/>
      <c r="DX79" s="33"/>
      <c r="DY79" s="33"/>
      <c r="DZ79" s="33"/>
      <c r="EA79" s="33"/>
      <c r="EB79" s="33"/>
      <c r="EC79" s="33"/>
      <c r="ED79" s="33"/>
      <c r="EE79" s="33"/>
      <c r="EF79" s="33"/>
      <c r="EG79" s="33"/>
      <c r="EH79" s="33"/>
      <c r="EI79" s="33"/>
      <c r="EJ79" s="33"/>
      <c r="EK79" s="33"/>
      <c r="EL79" s="33"/>
      <c r="EM79" s="33"/>
      <c r="EN79" s="33"/>
      <c r="EO79" s="33"/>
      <c r="EP79" s="33"/>
      <c r="EQ79" s="33"/>
      <c r="ER79" s="33"/>
      <c r="ES79" s="33"/>
      <c r="ET79" s="33"/>
      <c r="EU79" s="33"/>
      <c r="EV79" s="33"/>
      <c r="EW79" s="33"/>
      <c r="EX79" s="33"/>
      <c r="EY79" s="33"/>
      <c r="EZ79" s="33">
        <v>2</v>
      </c>
      <c r="FA79" s="33"/>
      <c r="FB79" s="33"/>
      <c r="FC79" s="33"/>
      <c r="FD79" s="33"/>
      <c r="FE79" s="33"/>
      <c r="FF79" s="33">
        <v>4</v>
      </c>
      <c r="FG79" s="33"/>
      <c r="FH79" s="33"/>
      <c r="FI79" s="33"/>
      <c r="FJ79" s="33"/>
      <c r="FK79" s="33"/>
      <c r="FL79" s="33"/>
      <c r="FM79" s="33"/>
      <c r="FN79" s="33"/>
      <c r="FO79" s="33"/>
      <c r="FP79" s="33"/>
      <c r="FQ79" s="33"/>
      <c r="FR79" s="33"/>
      <c r="FS79" s="33"/>
      <c r="FT79" s="33"/>
      <c r="FU79" s="33"/>
      <c r="FV79" s="33"/>
      <c r="FW79" s="33"/>
      <c r="FX79" s="33"/>
      <c r="FY79" s="33"/>
      <c r="FZ79" s="33"/>
      <c r="GA79" s="33"/>
      <c r="GB79" s="33"/>
      <c r="GC79" s="33"/>
      <c r="GD79" s="33"/>
      <c r="GE79" s="33"/>
      <c r="GF79" s="33"/>
      <c r="GG79" s="33"/>
      <c r="GH79" s="33"/>
      <c r="GI79" s="33"/>
      <c r="GJ79" s="33"/>
      <c r="GK79" s="33"/>
      <c r="GL79" s="33"/>
      <c r="GM79" s="33"/>
      <c r="GN79" s="33"/>
      <c r="GO79" s="33"/>
      <c r="GP79" s="33"/>
      <c r="GQ79" s="33"/>
      <c r="GR79" s="33"/>
      <c r="GS79" s="33"/>
      <c r="GT79" s="33"/>
      <c r="GU79" s="33"/>
      <c r="GV79" s="33"/>
      <c r="GW79" s="33"/>
      <c r="GX79" s="33"/>
      <c r="GY79" s="33"/>
      <c r="GZ79" s="33"/>
      <c r="HA79" s="33"/>
      <c r="HB79" s="33"/>
      <c r="HC79" s="33"/>
      <c r="HD79" s="33"/>
      <c r="HE79" s="33"/>
      <c r="HF79" s="33"/>
      <c r="HG79" s="33"/>
      <c r="HH79" s="33"/>
      <c r="HI79" s="33"/>
      <c r="HJ79" s="33"/>
      <c r="HK79" s="33"/>
      <c r="HL79" s="33"/>
      <c r="HM79" s="33"/>
      <c r="HN79" s="33"/>
      <c r="HO79" s="33"/>
      <c r="HP79" s="33"/>
      <c r="HQ79" s="33"/>
      <c r="HR79" s="33"/>
      <c r="HS79" s="33"/>
      <c r="HT79" s="33"/>
      <c r="HU79" s="33"/>
      <c r="HV79" s="33"/>
      <c r="HW79" s="33"/>
      <c r="HX79" s="33"/>
      <c r="HY79" s="33"/>
      <c r="HZ79" s="33"/>
      <c r="IA79" s="33"/>
      <c r="IB79" s="33"/>
      <c r="IC79" s="33"/>
      <c r="ID79" s="33"/>
      <c r="IE79" s="33"/>
      <c r="IF79" s="33"/>
      <c r="IG79" s="33"/>
      <c r="IH79" s="33"/>
      <c r="II79" s="33"/>
      <c r="IJ79" s="33"/>
      <c r="IK79" s="33"/>
      <c r="IL79" s="33"/>
      <c r="IM79" s="33"/>
      <c r="IN79" s="33"/>
      <c r="IO79" s="33"/>
      <c r="IP79" s="33"/>
      <c r="IQ79" s="33"/>
      <c r="IR79" s="33"/>
      <c r="IS79" s="33"/>
      <c r="IT79" s="33"/>
      <c r="IU79" s="33"/>
      <c r="IV79" s="33"/>
      <c r="IW79" s="33"/>
      <c r="IX79" s="33"/>
      <c r="IY79" s="33"/>
      <c r="IZ79" s="33"/>
      <c r="JA79" s="33"/>
      <c r="JB79" s="33"/>
      <c r="JC79" s="33"/>
      <c r="JD79" s="33"/>
      <c r="JE79" s="33"/>
      <c r="JF79" s="33"/>
      <c r="JG79" s="33"/>
      <c r="JH79" s="33"/>
      <c r="JI79" s="33"/>
      <c r="JJ79" s="33"/>
      <c r="JK79" s="33"/>
      <c r="JL79" s="33"/>
      <c r="JM79" s="33"/>
      <c r="JN79" s="33"/>
      <c r="JO79" s="33"/>
      <c r="JP79" s="33"/>
      <c r="JQ79" s="33"/>
      <c r="JR79" s="33"/>
      <c r="JS79" s="33"/>
      <c r="JT79" s="33"/>
      <c r="JU79" s="33"/>
      <c r="JV79" s="33"/>
      <c r="JW79" s="33"/>
      <c r="JX79" s="33"/>
      <c r="JY79" s="33"/>
      <c r="JZ79" s="33"/>
      <c r="KA79" s="33"/>
      <c r="KB79" s="33"/>
      <c r="KC79" s="33"/>
      <c r="KD79" s="33"/>
      <c r="KE79" s="33"/>
      <c r="KF79" s="33"/>
      <c r="KG79" s="33"/>
      <c r="KH79" s="33"/>
      <c r="KI79" s="33"/>
      <c r="KJ79" s="33"/>
      <c r="KK79" s="33"/>
      <c r="KL79" s="33"/>
      <c r="KM79" s="33"/>
      <c r="KN79" s="33"/>
      <c r="KO79" s="33"/>
      <c r="KP79" s="33"/>
      <c r="KQ79" s="33"/>
      <c r="KR79" s="33"/>
      <c r="KS79" s="33"/>
      <c r="KT79" s="33"/>
      <c r="KU79" s="33"/>
      <c r="KV79" s="33"/>
      <c r="KW79" s="33"/>
      <c r="KX79" s="33"/>
      <c r="KY79" s="33"/>
      <c r="KZ79" s="33"/>
      <c r="LA79" s="33"/>
      <c r="LB79" s="33"/>
      <c r="LC79" s="33"/>
      <c r="LD79" s="33"/>
      <c r="LE79" s="33"/>
      <c r="LF79" s="33"/>
      <c r="LG79" s="33"/>
      <c r="LH79" s="33"/>
      <c r="LI79" s="33"/>
      <c r="LJ79" s="33"/>
      <c r="LK79" s="33"/>
      <c r="LL79" s="33"/>
      <c r="LM79" s="33"/>
      <c r="LN79" s="33"/>
      <c r="LO79" s="33"/>
      <c r="LP79" s="33"/>
      <c r="LQ79" s="33"/>
      <c r="LR79" s="33"/>
      <c r="LS79" s="33"/>
      <c r="LT79" s="33"/>
      <c r="LU79" s="33"/>
      <c r="LV79" s="33"/>
      <c r="LW79" s="33"/>
      <c r="LX79" s="33"/>
      <c r="LY79" s="33"/>
      <c r="LZ79" s="33"/>
      <c r="MA79" s="33"/>
      <c r="MB79" s="33"/>
      <c r="MC79" s="33"/>
      <c r="MD79" s="33"/>
      <c r="ME79" s="33"/>
      <c r="MF79" s="33"/>
      <c r="MG79" s="33"/>
      <c r="MH79" s="33"/>
      <c r="MI79" s="33"/>
      <c r="MJ79" s="33"/>
      <c r="MK79" s="33"/>
      <c r="ML79" s="33"/>
      <c r="MM79" s="33"/>
      <c r="MN79" s="33"/>
      <c r="MO79" s="33"/>
      <c r="MP79" s="33"/>
      <c r="MQ79" s="33"/>
      <c r="MR79" s="33"/>
      <c r="MS79" s="33"/>
      <c r="MT79" s="33"/>
      <c r="MU79" s="33"/>
      <c r="MV79" s="33"/>
      <c r="MW79" s="33"/>
      <c r="MX79" s="33"/>
      <c r="MY79" s="33"/>
      <c r="MZ79" s="33"/>
      <c r="NA79" s="33"/>
      <c r="NB79" s="33"/>
      <c r="NC79" s="33"/>
      <c r="ND79" s="33"/>
      <c r="NE79" s="33"/>
      <c r="NF79" s="33"/>
      <c r="NG79" s="33"/>
      <c r="NH79" s="33"/>
      <c r="NI79" s="33"/>
      <c r="NJ79" s="33"/>
      <c r="NK79" s="33"/>
      <c r="NL79" s="34"/>
    </row>
    <row r="80" spans="1:376" x14ac:dyDescent="0.15">
      <c r="A80" s="35">
        <f>A79</f>
        <v>34</v>
      </c>
      <c r="B80" s="36" t="str">
        <f>B79</f>
        <v>DD</v>
      </c>
      <c r="C80" s="36" t="str">
        <f>C79</f>
        <v>監視端末詳細設計書レビュー指摘対応</v>
      </c>
      <c r="D80" s="37" t="str">
        <f>D79</f>
        <v>若山</v>
      </c>
      <c r="E80" s="53" t="s">
        <v>0</v>
      </c>
      <c r="F80" s="54"/>
      <c r="G80" s="54"/>
      <c r="H80" s="55">
        <f t="shared" si="229"/>
        <v>0</v>
      </c>
      <c r="I80" s="56">
        <f>IF(OR(H79="",H80=""),"",H80-H79)</f>
        <v>-6</v>
      </c>
      <c r="J80" s="57"/>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c r="BS80" s="59"/>
      <c r="BT80" s="59"/>
      <c r="BU80" s="59"/>
      <c r="BV80" s="59"/>
      <c r="BW80" s="59"/>
      <c r="BX80" s="59"/>
      <c r="BY80" s="59"/>
      <c r="BZ80" s="59"/>
      <c r="CA80" s="59"/>
      <c r="CB80" s="59"/>
      <c r="CC80" s="59"/>
      <c r="CD80" s="59"/>
      <c r="CE80" s="59"/>
      <c r="CF80" s="59"/>
      <c r="CG80" s="59"/>
      <c r="CH80" s="59"/>
      <c r="CI80" s="59"/>
      <c r="CJ80" s="59"/>
      <c r="CK80" s="59"/>
      <c r="CL80" s="59"/>
      <c r="CM80" s="59"/>
      <c r="CN80" s="59"/>
      <c r="CO80" s="59"/>
      <c r="CP80" s="59"/>
      <c r="CQ80" s="59"/>
      <c r="CR80" s="59"/>
      <c r="CS80" s="59"/>
      <c r="CT80" s="59"/>
      <c r="CU80" s="59"/>
      <c r="CV80" s="59"/>
      <c r="CW80" s="59"/>
      <c r="CX80" s="59"/>
      <c r="CY80" s="59"/>
      <c r="CZ80" s="59"/>
      <c r="DA80" s="59"/>
      <c r="DB80" s="59"/>
      <c r="DC80" s="59"/>
      <c r="DD80" s="59"/>
      <c r="DE80" s="59"/>
      <c r="DF80" s="59"/>
      <c r="DG80" s="59"/>
      <c r="DH80" s="59"/>
      <c r="DI80" s="59"/>
      <c r="DJ80" s="59"/>
      <c r="DK80" s="59"/>
      <c r="DL80" s="59"/>
      <c r="DM80" s="59"/>
      <c r="DN80" s="59"/>
      <c r="DO80" s="59"/>
      <c r="DP80" s="59"/>
      <c r="DQ80" s="59"/>
      <c r="DR80" s="59"/>
      <c r="DS80" s="59"/>
      <c r="DT80" s="59"/>
      <c r="DU80" s="59"/>
      <c r="DV80" s="59"/>
      <c r="DW80" s="59"/>
      <c r="DX80" s="59"/>
      <c r="DY80" s="59"/>
      <c r="DZ80" s="59"/>
      <c r="EA80" s="59"/>
      <c r="EB80" s="59"/>
      <c r="EC80" s="59"/>
      <c r="ED80" s="59"/>
      <c r="EE80" s="59"/>
      <c r="EF80" s="59"/>
      <c r="EG80" s="59"/>
      <c r="EH80" s="59"/>
      <c r="EI80" s="59"/>
      <c r="EJ80" s="59"/>
      <c r="EK80" s="59"/>
      <c r="EL80" s="59"/>
      <c r="EM80" s="59"/>
      <c r="EN80" s="59"/>
      <c r="EO80" s="59"/>
      <c r="EP80" s="59"/>
      <c r="EQ80" s="59"/>
      <c r="ER80" s="59"/>
      <c r="ES80" s="59"/>
      <c r="ET80" s="59"/>
      <c r="EU80" s="59"/>
      <c r="EV80" s="59"/>
      <c r="EW80" s="59"/>
      <c r="EX80" s="59"/>
      <c r="EY80" s="59"/>
      <c r="EZ80" s="59"/>
      <c r="FA80" s="59"/>
      <c r="FB80" s="59"/>
      <c r="FC80" s="59"/>
      <c r="FD80" s="59"/>
      <c r="FE80" s="59"/>
      <c r="FF80" s="59"/>
      <c r="FG80" s="59"/>
      <c r="FH80" s="59"/>
      <c r="FI80" s="59"/>
      <c r="FJ80" s="59"/>
      <c r="FK80" s="59"/>
      <c r="FL80" s="59"/>
      <c r="FM80" s="59"/>
      <c r="FN80" s="59"/>
      <c r="FO80" s="59"/>
      <c r="FP80" s="59"/>
      <c r="FQ80" s="59"/>
      <c r="FR80" s="59"/>
      <c r="FS80" s="59"/>
      <c r="FT80" s="59"/>
      <c r="FU80" s="59"/>
      <c r="FV80" s="59"/>
      <c r="FW80" s="59"/>
      <c r="FX80" s="59"/>
      <c r="FY80" s="59"/>
      <c r="FZ80" s="59"/>
      <c r="GA80" s="59"/>
      <c r="GB80" s="59"/>
      <c r="GC80" s="59"/>
      <c r="GD80" s="59"/>
      <c r="GE80" s="59"/>
      <c r="GF80" s="59"/>
      <c r="GG80" s="59"/>
      <c r="GH80" s="59"/>
      <c r="GI80" s="59"/>
      <c r="GJ80" s="59"/>
      <c r="GK80" s="59"/>
      <c r="GL80" s="59"/>
      <c r="GM80" s="59"/>
      <c r="GN80" s="59"/>
      <c r="GO80" s="59"/>
      <c r="GP80" s="59"/>
      <c r="GQ80" s="59"/>
      <c r="GR80" s="59"/>
      <c r="GS80" s="59"/>
      <c r="GT80" s="59"/>
      <c r="GU80" s="59"/>
      <c r="GV80" s="59"/>
      <c r="GW80" s="59"/>
      <c r="GX80" s="59"/>
      <c r="GY80" s="59"/>
      <c r="GZ80" s="59"/>
      <c r="HA80" s="59"/>
      <c r="HB80" s="59"/>
      <c r="HC80" s="59"/>
      <c r="HD80" s="59"/>
      <c r="HE80" s="59"/>
      <c r="HF80" s="59"/>
      <c r="HG80" s="59"/>
      <c r="HH80" s="59"/>
      <c r="HI80" s="59"/>
      <c r="HJ80" s="59"/>
      <c r="HK80" s="59"/>
      <c r="HL80" s="59"/>
      <c r="HM80" s="59"/>
      <c r="HN80" s="59"/>
      <c r="HO80" s="59"/>
      <c r="HP80" s="59"/>
      <c r="HQ80" s="59"/>
      <c r="HR80" s="59"/>
      <c r="HS80" s="59"/>
      <c r="HT80" s="59"/>
      <c r="HU80" s="59"/>
      <c r="HV80" s="59"/>
      <c r="HW80" s="59"/>
      <c r="HX80" s="59"/>
      <c r="HY80" s="59"/>
      <c r="HZ80" s="59"/>
      <c r="IA80" s="59"/>
      <c r="IB80" s="59"/>
      <c r="IC80" s="59"/>
      <c r="ID80" s="59"/>
      <c r="IE80" s="59"/>
      <c r="IF80" s="59"/>
      <c r="IG80" s="59"/>
      <c r="IH80" s="59"/>
      <c r="II80" s="59"/>
      <c r="IJ80" s="59"/>
      <c r="IK80" s="59"/>
      <c r="IL80" s="59"/>
      <c r="IM80" s="59"/>
      <c r="IN80" s="59"/>
      <c r="IO80" s="59"/>
      <c r="IP80" s="59"/>
      <c r="IQ80" s="59"/>
      <c r="IR80" s="59"/>
      <c r="IS80" s="59"/>
      <c r="IT80" s="59"/>
      <c r="IU80" s="59"/>
      <c r="IV80" s="59"/>
      <c r="IW80" s="59"/>
      <c r="IX80" s="59"/>
      <c r="IY80" s="59"/>
      <c r="IZ80" s="59"/>
      <c r="JA80" s="59"/>
      <c r="JB80" s="59"/>
      <c r="JC80" s="59"/>
      <c r="JD80" s="59"/>
      <c r="JE80" s="59"/>
      <c r="JF80" s="59"/>
      <c r="JG80" s="59"/>
      <c r="JH80" s="59"/>
      <c r="JI80" s="59"/>
      <c r="JJ80" s="59"/>
      <c r="JK80" s="59"/>
      <c r="JL80" s="59"/>
      <c r="JM80" s="59"/>
      <c r="JN80" s="59"/>
      <c r="JO80" s="59"/>
      <c r="JP80" s="59"/>
      <c r="JQ80" s="59"/>
      <c r="JR80" s="59"/>
      <c r="JS80" s="59"/>
      <c r="JT80" s="59"/>
      <c r="JU80" s="59"/>
      <c r="JV80" s="59"/>
      <c r="JW80" s="59"/>
      <c r="JX80" s="59"/>
      <c r="JY80" s="59"/>
      <c r="JZ80" s="59"/>
      <c r="KA80" s="59"/>
      <c r="KB80" s="59"/>
      <c r="KC80" s="59"/>
      <c r="KD80" s="59"/>
      <c r="KE80" s="59"/>
      <c r="KF80" s="59"/>
      <c r="KG80" s="59"/>
      <c r="KH80" s="59"/>
      <c r="KI80" s="59"/>
      <c r="KJ80" s="59"/>
      <c r="KK80" s="59"/>
      <c r="KL80" s="59"/>
      <c r="KM80" s="59"/>
      <c r="KN80" s="59"/>
      <c r="KO80" s="59"/>
      <c r="KP80" s="59"/>
      <c r="KQ80" s="59"/>
      <c r="KR80" s="59"/>
      <c r="KS80" s="59"/>
      <c r="KT80" s="59"/>
      <c r="KU80" s="59"/>
      <c r="KV80" s="59"/>
      <c r="KW80" s="59"/>
      <c r="KX80" s="59"/>
      <c r="KY80" s="59"/>
      <c r="KZ80" s="59"/>
      <c r="LA80" s="59"/>
      <c r="LB80" s="59"/>
      <c r="LC80" s="59"/>
      <c r="LD80" s="59"/>
      <c r="LE80" s="59"/>
      <c r="LF80" s="59"/>
      <c r="LG80" s="59"/>
      <c r="LH80" s="59"/>
      <c r="LI80" s="59"/>
      <c r="LJ80" s="59"/>
      <c r="LK80" s="59"/>
      <c r="LL80" s="59"/>
      <c r="LM80" s="59"/>
      <c r="LN80" s="59"/>
      <c r="LO80" s="59"/>
      <c r="LP80" s="59"/>
      <c r="LQ80" s="59"/>
      <c r="LR80" s="59"/>
      <c r="LS80" s="59"/>
      <c r="LT80" s="59"/>
      <c r="LU80" s="59"/>
      <c r="LV80" s="59"/>
      <c r="LW80" s="59"/>
      <c r="LX80" s="59"/>
      <c r="LY80" s="59"/>
      <c r="LZ80" s="59"/>
      <c r="MA80" s="59"/>
      <c r="MB80" s="59"/>
      <c r="MC80" s="59"/>
      <c r="MD80" s="59"/>
      <c r="ME80" s="59"/>
      <c r="MF80" s="59"/>
      <c r="MG80" s="59"/>
      <c r="MH80" s="59"/>
      <c r="MI80" s="59"/>
      <c r="MJ80" s="59"/>
      <c r="MK80" s="59"/>
      <c r="ML80" s="59"/>
      <c r="MM80" s="59"/>
      <c r="MN80" s="59"/>
      <c r="MO80" s="59"/>
      <c r="MP80" s="59"/>
      <c r="MQ80" s="59"/>
      <c r="MR80" s="59"/>
      <c r="MS80" s="59"/>
      <c r="MT80" s="59"/>
      <c r="MU80" s="59"/>
      <c r="MV80" s="59"/>
      <c r="MW80" s="59"/>
      <c r="MX80" s="59"/>
      <c r="MY80" s="59"/>
      <c r="MZ80" s="59"/>
      <c r="NA80" s="59"/>
      <c r="NB80" s="59"/>
      <c r="NC80" s="59"/>
      <c r="ND80" s="59"/>
      <c r="NE80" s="59"/>
      <c r="NF80" s="59"/>
      <c r="NG80" s="59"/>
      <c r="NH80" s="59"/>
      <c r="NI80" s="59"/>
      <c r="NJ80" s="59"/>
      <c r="NK80" s="59"/>
      <c r="NL80" s="60"/>
    </row>
    <row r="81" spans="1:376" x14ac:dyDescent="0.15">
      <c r="A81" s="23">
        <v>35</v>
      </c>
      <c r="B81" s="24" t="s">
        <v>140</v>
      </c>
      <c r="C81" s="45" t="s">
        <v>178</v>
      </c>
      <c r="D81" s="26" t="s">
        <v>165</v>
      </c>
      <c r="E81" s="27" t="s">
        <v>13</v>
      </c>
      <c r="F81" s="28">
        <v>42982</v>
      </c>
      <c r="G81" s="28">
        <v>43036</v>
      </c>
      <c r="H81" s="29">
        <f t="shared" ref="H81:H104" si="234">SUM(J81:NL81)</f>
        <v>32</v>
      </c>
      <c r="I81" s="30"/>
      <c r="J81" s="31"/>
      <c r="K81" s="32"/>
      <c r="L81" s="32"/>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3"/>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33"/>
      <c r="CA81" s="33"/>
      <c r="CB81" s="33"/>
      <c r="CC81" s="33"/>
      <c r="CD81" s="33"/>
      <c r="CE81" s="33"/>
      <c r="CF81" s="33"/>
      <c r="CG81" s="33"/>
      <c r="CH81" s="33"/>
      <c r="CI81" s="33"/>
      <c r="CJ81" s="33"/>
      <c r="CK81" s="33"/>
      <c r="CL81" s="33"/>
      <c r="CM81" s="33"/>
      <c r="CN81" s="33"/>
      <c r="CO81" s="33"/>
      <c r="CP81" s="33"/>
      <c r="CQ81" s="33"/>
      <c r="CR81" s="33"/>
      <c r="CS81" s="33"/>
      <c r="CT81" s="33"/>
      <c r="CU81" s="33"/>
      <c r="CV81" s="33"/>
      <c r="CW81" s="33"/>
      <c r="CX81" s="33"/>
      <c r="CY81" s="33"/>
      <c r="CZ81" s="33"/>
      <c r="DA81" s="33"/>
      <c r="DB81" s="33"/>
      <c r="DC81" s="33"/>
      <c r="DD81" s="33"/>
      <c r="DE81" s="33"/>
      <c r="DF81" s="33"/>
      <c r="DG81" s="33"/>
      <c r="DH81" s="33"/>
      <c r="DI81" s="33"/>
      <c r="DJ81" s="33"/>
      <c r="DK81" s="33"/>
      <c r="DL81" s="33"/>
      <c r="DM81" s="33"/>
      <c r="DN81" s="33"/>
      <c r="DO81" s="33"/>
      <c r="DP81" s="33"/>
      <c r="DQ81" s="33"/>
      <c r="DR81" s="33"/>
      <c r="DS81" s="33"/>
      <c r="DT81" s="33"/>
      <c r="DU81" s="33"/>
      <c r="DV81" s="33"/>
      <c r="DW81" s="33"/>
      <c r="DX81" s="33"/>
      <c r="DY81" s="33"/>
      <c r="DZ81" s="33"/>
      <c r="EA81" s="33"/>
      <c r="EB81" s="33"/>
      <c r="EC81" s="33"/>
      <c r="ED81" s="33"/>
      <c r="EE81" s="33"/>
      <c r="EF81" s="33"/>
      <c r="EG81" s="33"/>
      <c r="EH81" s="33"/>
      <c r="EI81" s="33"/>
      <c r="EJ81" s="33"/>
      <c r="EK81" s="33"/>
      <c r="EL81" s="33"/>
      <c r="EM81" s="33"/>
      <c r="EN81" s="33"/>
      <c r="EO81" s="33"/>
      <c r="EP81" s="33"/>
      <c r="EQ81" s="33"/>
      <c r="ER81" s="33"/>
      <c r="ES81" s="33"/>
      <c r="ET81" s="33"/>
      <c r="EU81" s="33"/>
      <c r="EV81" s="33"/>
      <c r="EW81" s="33"/>
      <c r="EX81" s="33"/>
      <c r="EY81" s="33"/>
      <c r="EZ81" s="33"/>
      <c r="FA81" s="33"/>
      <c r="FB81" s="33"/>
      <c r="FC81" s="33"/>
      <c r="FD81" s="33"/>
      <c r="FE81" s="33"/>
      <c r="FF81" s="33"/>
      <c r="FG81" s="33"/>
      <c r="FH81" s="33"/>
      <c r="FI81" s="33"/>
      <c r="FJ81" s="33"/>
      <c r="FK81" s="33"/>
      <c r="FL81" s="33"/>
      <c r="FM81" s="33">
        <v>4</v>
      </c>
      <c r="FN81" s="33"/>
      <c r="FO81" s="33"/>
      <c r="FP81" s="33"/>
      <c r="FQ81" s="33"/>
      <c r="FR81" s="33"/>
      <c r="FS81" s="33"/>
      <c r="FT81" s="33">
        <v>4</v>
      </c>
      <c r="FU81" s="33"/>
      <c r="FV81" s="33"/>
      <c r="FW81" s="33"/>
      <c r="FX81" s="33"/>
      <c r="FY81" s="33"/>
      <c r="FZ81" s="33"/>
      <c r="GA81" s="33">
        <v>4</v>
      </c>
      <c r="GB81" s="33"/>
      <c r="GC81" s="33"/>
      <c r="GD81" s="33"/>
      <c r="GE81" s="33"/>
      <c r="GF81" s="33"/>
      <c r="GG81" s="33"/>
      <c r="GH81" s="33">
        <v>4</v>
      </c>
      <c r="GI81" s="33"/>
      <c r="GJ81" s="33"/>
      <c r="GK81" s="33"/>
      <c r="GL81" s="33"/>
      <c r="GM81" s="33"/>
      <c r="GN81" s="33"/>
      <c r="GO81" s="33">
        <v>4</v>
      </c>
      <c r="GP81" s="33"/>
      <c r="GQ81" s="33"/>
      <c r="GR81" s="33"/>
      <c r="GS81" s="33"/>
      <c r="GT81" s="33"/>
      <c r="GU81" s="33"/>
      <c r="GV81" s="33">
        <v>4</v>
      </c>
      <c r="GW81" s="33"/>
      <c r="GX81" s="33"/>
      <c r="GY81" s="33"/>
      <c r="GZ81" s="33"/>
      <c r="HA81" s="33"/>
      <c r="HB81" s="33"/>
      <c r="HC81" s="33">
        <v>4</v>
      </c>
      <c r="HD81" s="33"/>
      <c r="HE81" s="33"/>
      <c r="HF81" s="33"/>
      <c r="HG81" s="33"/>
      <c r="HH81" s="33"/>
      <c r="HI81" s="33"/>
      <c r="HJ81" s="33">
        <v>4</v>
      </c>
      <c r="HK81" s="33"/>
      <c r="HL81" s="33"/>
      <c r="HM81" s="33"/>
      <c r="HN81" s="33"/>
      <c r="HO81" s="33"/>
      <c r="HP81" s="33"/>
      <c r="HQ81" s="33"/>
      <c r="HR81" s="33"/>
      <c r="HS81" s="33"/>
      <c r="HT81" s="33"/>
      <c r="HU81" s="33"/>
      <c r="HV81" s="33"/>
      <c r="HW81" s="33"/>
      <c r="HX81" s="33"/>
      <c r="HY81" s="33"/>
      <c r="HZ81" s="33"/>
      <c r="IA81" s="33"/>
      <c r="IB81" s="33"/>
      <c r="IC81" s="33"/>
      <c r="ID81" s="33"/>
      <c r="IE81" s="33"/>
      <c r="IF81" s="33"/>
      <c r="IG81" s="33"/>
      <c r="IH81" s="33"/>
      <c r="II81" s="33"/>
      <c r="IJ81" s="33"/>
      <c r="IK81" s="33"/>
      <c r="IL81" s="33"/>
      <c r="IM81" s="33"/>
      <c r="IN81" s="33"/>
      <c r="IO81" s="33"/>
      <c r="IP81" s="33"/>
      <c r="IQ81" s="33"/>
      <c r="IR81" s="33"/>
      <c r="IS81" s="33"/>
      <c r="IT81" s="33"/>
      <c r="IU81" s="33"/>
      <c r="IV81" s="33"/>
      <c r="IW81" s="33"/>
      <c r="IX81" s="33"/>
      <c r="IY81" s="33"/>
      <c r="IZ81" s="33"/>
      <c r="JA81" s="33"/>
      <c r="JB81" s="33"/>
      <c r="JC81" s="33"/>
      <c r="JD81" s="33"/>
      <c r="JE81" s="33"/>
      <c r="JF81" s="33"/>
      <c r="JG81" s="33"/>
      <c r="JH81" s="33"/>
      <c r="JI81" s="33"/>
      <c r="JJ81" s="33"/>
      <c r="JK81" s="33"/>
      <c r="JL81" s="33"/>
      <c r="JM81" s="33"/>
      <c r="JN81" s="33"/>
      <c r="JO81" s="33"/>
      <c r="JP81" s="33"/>
      <c r="JQ81" s="33"/>
      <c r="JR81" s="33"/>
      <c r="JS81" s="33"/>
      <c r="JT81" s="33"/>
      <c r="JU81" s="33"/>
      <c r="JV81" s="33"/>
      <c r="JW81" s="33"/>
      <c r="JX81" s="33"/>
      <c r="JY81" s="33"/>
      <c r="JZ81" s="33"/>
      <c r="KA81" s="33"/>
      <c r="KB81" s="33"/>
      <c r="KC81" s="33"/>
      <c r="KD81" s="33"/>
      <c r="KE81" s="33"/>
      <c r="KF81" s="33"/>
      <c r="KG81" s="33"/>
      <c r="KH81" s="33"/>
      <c r="KI81" s="33"/>
      <c r="KJ81" s="33"/>
      <c r="KK81" s="33"/>
      <c r="KL81" s="33"/>
      <c r="KM81" s="33"/>
      <c r="KN81" s="33"/>
      <c r="KO81" s="33"/>
      <c r="KP81" s="33"/>
      <c r="KQ81" s="33"/>
      <c r="KR81" s="33"/>
      <c r="KS81" s="33"/>
      <c r="KT81" s="33"/>
      <c r="KU81" s="33"/>
      <c r="KV81" s="33"/>
      <c r="KW81" s="33"/>
      <c r="KX81" s="33"/>
      <c r="KY81" s="33"/>
      <c r="KZ81" s="33"/>
      <c r="LA81" s="33"/>
      <c r="LB81" s="33"/>
      <c r="LC81" s="33"/>
      <c r="LD81" s="33"/>
      <c r="LE81" s="33"/>
      <c r="LF81" s="33"/>
      <c r="LG81" s="33"/>
      <c r="LH81" s="33"/>
      <c r="LI81" s="33"/>
      <c r="LJ81" s="33"/>
      <c r="LK81" s="33"/>
      <c r="LL81" s="33"/>
      <c r="LM81" s="33"/>
      <c r="LN81" s="33"/>
      <c r="LO81" s="33"/>
      <c r="LP81" s="33"/>
      <c r="LQ81" s="33"/>
      <c r="LR81" s="33"/>
      <c r="LS81" s="33"/>
      <c r="LT81" s="33"/>
      <c r="LU81" s="33"/>
      <c r="LV81" s="33"/>
      <c r="LW81" s="33"/>
      <c r="LX81" s="33"/>
      <c r="LY81" s="33"/>
      <c r="LZ81" s="33"/>
      <c r="MA81" s="33"/>
      <c r="MB81" s="33"/>
      <c r="MC81" s="33"/>
      <c r="MD81" s="33"/>
      <c r="ME81" s="33"/>
      <c r="MF81" s="33"/>
      <c r="MG81" s="33"/>
      <c r="MH81" s="33"/>
      <c r="MI81" s="33"/>
      <c r="MJ81" s="33"/>
      <c r="MK81" s="33"/>
      <c r="ML81" s="33"/>
      <c r="MM81" s="33"/>
      <c r="MN81" s="33"/>
      <c r="MO81" s="33"/>
      <c r="MP81" s="33"/>
      <c r="MQ81" s="33"/>
      <c r="MR81" s="33"/>
      <c r="MS81" s="33"/>
      <c r="MT81" s="33"/>
      <c r="MU81" s="33"/>
      <c r="MV81" s="33"/>
      <c r="MW81" s="33"/>
      <c r="MX81" s="33"/>
      <c r="MY81" s="33"/>
      <c r="MZ81" s="33"/>
      <c r="NA81" s="33"/>
      <c r="NB81" s="33"/>
      <c r="NC81" s="33"/>
      <c r="ND81" s="33"/>
      <c r="NE81" s="33"/>
      <c r="NF81" s="33"/>
      <c r="NG81" s="33"/>
      <c r="NH81" s="33"/>
      <c r="NI81" s="33"/>
      <c r="NJ81" s="33"/>
      <c r="NK81" s="33"/>
      <c r="NL81" s="34"/>
    </row>
    <row r="82" spans="1:376" x14ac:dyDescent="0.15">
      <c r="A82" s="35">
        <f>A81</f>
        <v>35</v>
      </c>
      <c r="B82" s="36" t="str">
        <f>B81</f>
        <v>DD</v>
      </c>
      <c r="C82" s="36" t="str">
        <f>C81</f>
        <v>Webアプリ単体評価仕様書作成</v>
      </c>
      <c r="D82" s="37" t="str">
        <f>D81</f>
        <v>高澤</v>
      </c>
      <c r="E82" s="53" t="s">
        <v>0</v>
      </c>
      <c r="F82" s="54"/>
      <c r="G82" s="54"/>
      <c r="H82" s="55">
        <f t="shared" si="234"/>
        <v>0</v>
      </c>
      <c r="I82" s="56">
        <f>IF(OR(H81="",H82=""),"",H82-H81)</f>
        <v>-32</v>
      </c>
      <c r="J82" s="57"/>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c r="BS82" s="59"/>
      <c r="BT82" s="59"/>
      <c r="BU82" s="59"/>
      <c r="BV82" s="59"/>
      <c r="BW82" s="59"/>
      <c r="BX82" s="59"/>
      <c r="BY82" s="59"/>
      <c r="BZ82" s="59"/>
      <c r="CA82" s="59"/>
      <c r="CB82" s="59"/>
      <c r="CC82" s="59"/>
      <c r="CD82" s="59"/>
      <c r="CE82" s="59"/>
      <c r="CF82" s="59"/>
      <c r="CG82" s="59"/>
      <c r="CH82" s="59"/>
      <c r="CI82" s="59"/>
      <c r="CJ82" s="59"/>
      <c r="CK82" s="59"/>
      <c r="CL82" s="59"/>
      <c r="CM82" s="59"/>
      <c r="CN82" s="59"/>
      <c r="CO82" s="59"/>
      <c r="CP82" s="59"/>
      <c r="CQ82" s="59"/>
      <c r="CR82" s="59"/>
      <c r="CS82" s="59"/>
      <c r="CT82" s="59"/>
      <c r="CU82" s="59"/>
      <c r="CV82" s="59"/>
      <c r="CW82" s="59"/>
      <c r="CX82" s="59"/>
      <c r="CY82" s="59"/>
      <c r="CZ82" s="59"/>
      <c r="DA82" s="59"/>
      <c r="DB82" s="59"/>
      <c r="DC82" s="59"/>
      <c r="DD82" s="59"/>
      <c r="DE82" s="59"/>
      <c r="DF82" s="59"/>
      <c r="DG82" s="59"/>
      <c r="DH82" s="59"/>
      <c r="DI82" s="59"/>
      <c r="DJ82" s="59"/>
      <c r="DK82" s="59"/>
      <c r="DL82" s="59"/>
      <c r="DM82" s="59"/>
      <c r="DN82" s="59"/>
      <c r="DO82" s="59"/>
      <c r="DP82" s="59"/>
      <c r="DQ82" s="59"/>
      <c r="DR82" s="59"/>
      <c r="DS82" s="59"/>
      <c r="DT82" s="59"/>
      <c r="DU82" s="59"/>
      <c r="DV82" s="59"/>
      <c r="DW82" s="59"/>
      <c r="DX82" s="59"/>
      <c r="DY82" s="59"/>
      <c r="DZ82" s="59"/>
      <c r="EA82" s="59"/>
      <c r="EB82" s="59"/>
      <c r="EC82" s="59"/>
      <c r="ED82" s="59"/>
      <c r="EE82" s="59"/>
      <c r="EF82" s="59"/>
      <c r="EG82" s="59"/>
      <c r="EH82" s="59"/>
      <c r="EI82" s="59"/>
      <c r="EJ82" s="59"/>
      <c r="EK82" s="59"/>
      <c r="EL82" s="59"/>
      <c r="EM82" s="59"/>
      <c r="EN82" s="59"/>
      <c r="EO82" s="59"/>
      <c r="EP82" s="59"/>
      <c r="EQ82" s="59"/>
      <c r="ER82" s="59"/>
      <c r="ES82" s="59"/>
      <c r="ET82" s="59"/>
      <c r="EU82" s="59"/>
      <c r="EV82" s="59"/>
      <c r="EW82" s="59"/>
      <c r="EX82" s="59"/>
      <c r="EY82" s="59"/>
      <c r="EZ82" s="59"/>
      <c r="FA82" s="59"/>
      <c r="FB82" s="59"/>
      <c r="FC82" s="59"/>
      <c r="FD82" s="59"/>
      <c r="FE82" s="59"/>
      <c r="FF82" s="59"/>
      <c r="FG82" s="59"/>
      <c r="FH82" s="59"/>
      <c r="FI82" s="59"/>
      <c r="FJ82" s="59"/>
      <c r="FK82" s="59"/>
      <c r="FL82" s="59"/>
      <c r="FM82" s="59"/>
      <c r="FN82" s="59"/>
      <c r="FO82" s="59"/>
      <c r="FP82" s="59"/>
      <c r="FQ82" s="59"/>
      <c r="FR82" s="59"/>
      <c r="FS82" s="59"/>
      <c r="FT82" s="59"/>
      <c r="FU82" s="59"/>
      <c r="FV82" s="59"/>
      <c r="FW82" s="59"/>
      <c r="FX82" s="59"/>
      <c r="FY82" s="59"/>
      <c r="FZ82" s="59"/>
      <c r="GA82" s="59"/>
      <c r="GB82" s="59"/>
      <c r="GC82" s="59"/>
      <c r="GD82" s="59"/>
      <c r="GE82" s="59"/>
      <c r="GF82" s="59"/>
      <c r="GG82" s="59"/>
      <c r="GH82" s="59"/>
      <c r="GI82" s="59"/>
      <c r="GJ82" s="59"/>
      <c r="GK82" s="59"/>
      <c r="GL82" s="59"/>
      <c r="GM82" s="59"/>
      <c r="GN82" s="59"/>
      <c r="GO82" s="59"/>
      <c r="GP82" s="59"/>
      <c r="GQ82" s="59"/>
      <c r="GR82" s="59"/>
      <c r="GS82" s="59"/>
      <c r="GT82" s="59"/>
      <c r="GU82" s="59"/>
      <c r="GV82" s="59"/>
      <c r="GW82" s="59"/>
      <c r="GX82" s="59"/>
      <c r="GY82" s="59"/>
      <c r="GZ82" s="59"/>
      <c r="HA82" s="59"/>
      <c r="HB82" s="59"/>
      <c r="HC82" s="59"/>
      <c r="HD82" s="59"/>
      <c r="HE82" s="59"/>
      <c r="HF82" s="59"/>
      <c r="HG82" s="59"/>
      <c r="HH82" s="59"/>
      <c r="HI82" s="59"/>
      <c r="HJ82" s="59"/>
      <c r="HK82" s="59"/>
      <c r="HL82" s="59"/>
      <c r="HM82" s="59"/>
      <c r="HN82" s="59"/>
      <c r="HO82" s="59"/>
      <c r="HP82" s="59"/>
      <c r="HQ82" s="59"/>
      <c r="HR82" s="59"/>
      <c r="HS82" s="59"/>
      <c r="HT82" s="59"/>
      <c r="HU82" s="59"/>
      <c r="HV82" s="59"/>
      <c r="HW82" s="59"/>
      <c r="HX82" s="59"/>
      <c r="HY82" s="59"/>
      <c r="HZ82" s="59"/>
      <c r="IA82" s="59"/>
      <c r="IB82" s="59"/>
      <c r="IC82" s="59"/>
      <c r="ID82" s="59"/>
      <c r="IE82" s="59"/>
      <c r="IF82" s="59"/>
      <c r="IG82" s="59"/>
      <c r="IH82" s="59"/>
      <c r="II82" s="59"/>
      <c r="IJ82" s="59"/>
      <c r="IK82" s="59"/>
      <c r="IL82" s="59"/>
      <c r="IM82" s="59"/>
      <c r="IN82" s="59"/>
      <c r="IO82" s="59"/>
      <c r="IP82" s="59"/>
      <c r="IQ82" s="59"/>
      <c r="IR82" s="59"/>
      <c r="IS82" s="59"/>
      <c r="IT82" s="59"/>
      <c r="IU82" s="59"/>
      <c r="IV82" s="59"/>
      <c r="IW82" s="59"/>
      <c r="IX82" s="59"/>
      <c r="IY82" s="59"/>
      <c r="IZ82" s="59"/>
      <c r="JA82" s="59"/>
      <c r="JB82" s="59"/>
      <c r="JC82" s="59"/>
      <c r="JD82" s="59"/>
      <c r="JE82" s="59"/>
      <c r="JF82" s="59"/>
      <c r="JG82" s="59"/>
      <c r="JH82" s="59"/>
      <c r="JI82" s="59"/>
      <c r="JJ82" s="59"/>
      <c r="JK82" s="59"/>
      <c r="JL82" s="59"/>
      <c r="JM82" s="59"/>
      <c r="JN82" s="59"/>
      <c r="JO82" s="59"/>
      <c r="JP82" s="59"/>
      <c r="JQ82" s="59"/>
      <c r="JR82" s="59"/>
      <c r="JS82" s="59"/>
      <c r="JT82" s="59"/>
      <c r="JU82" s="59"/>
      <c r="JV82" s="59"/>
      <c r="JW82" s="59"/>
      <c r="JX82" s="59"/>
      <c r="JY82" s="59"/>
      <c r="JZ82" s="59"/>
      <c r="KA82" s="59"/>
      <c r="KB82" s="59"/>
      <c r="KC82" s="59"/>
      <c r="KD82" s="59"/>
      <c r="KE82" s="59"/>
      <c r="KF82" s="59"/>
      <c r="KG82" s="59"/>
      <c r="KH82" s="59"/>
      <c r="KI82" s="59"/>
      <c r="KJ82" s="59"/>
      <c r="KK82" s="59"/>
      <c r="KL82" s="59"/>
      <c r="KM82" s="59"/>
      <c r="KN82" s="59"/>
      <c r="KO82" s="59"/>
      <c r="KP82" s="59"/>
      <c r="KQ82" s="59"/>
      <c r="KR82" s="59"/>
      <c r="KS82" s="59"/>
      <c r="KT82" s="59"/>
      <c r="KU82" s="59"/>
      <c r="KV82" s="59"/>
      <c r="KW82" s="59"/>
      <c r="KX82" s="59"/>
      <c r="KY82" s="59"/>
      <c r="KZ82" s="59"/>
      <c r="LA82" s="59"/>
      <c r="LB82" s="59"/>
      <c r="LC82" s="59"/>
      <c r="LD82" s="59"/>
      <c r="LE82" s="59"/>
      <c r="LF82" s="59"/>
      <c r="LG82" s="59"/>
      <c r="LH82" s="59"/>
      <c r="LI82" s="59"/>
      <c r="LJ82" s="59"/>
      <c r="LK82" s="59"/>
      <c r="LL82" s="59"/>
      <c r="LM82" s="59"/>
      <c r="LN82" s="59"/>
      <c r="LO82" s="59"/>
      <c r="LP82" s="59"/>
      <c r="LQ82" s="59"/>
      <c r="LR82" s="59"/>
      <c r="LS82" s="59"/>
      <c r="LT82" s="59"/>
      <c r="LU82" s="59"/>
      <c r="LV82" s="59"/>
      <c r="LW82" s="59"/>
      <c r="LX82" s="59"/>
      <c r="LY82" s="59"/>
      <c r="LZ82" s="59"/>
      <c r="MA82" s="59"/>
      <c r="MB82" s="59"/>
      <c r="MC82" s="59"/>
      <c r="MD82" s="59"/>
      <c r="ME82" s="59"/>
      <c r="MF82" s="59"/>
      <c r="MG82" s="59"/>
      <c r="MH82" s="59"/>
      <c r="MI82" s="59"/>
      <c r="MJ82" s="59"/>
      <c r="MK82" s="59"/>
      <c r="ML82" s="59"/>
      <c r="MM82" s="59"/>
      <c r="MN82" s="59"/>
      <c r="MO82" s="59"/>
      <c r="MP82" s="59"/>
      <c r="MQ82" s="59"/>
      <c r="MR82" s="59"/>
      <c r="MS82" s="59"/>
      <c r="MT82" s="59"/>
      <c r="MU82" s="59"/>
      <c r="MV82" s="59"/>
      <c r="MW82" s="59"/>
      <c r="MX82" s="59"/>
      <c r="MY82" s="59"/>
      <c r="MZ82" s="59"/>
      <c r="NA82" s="59"/>
      <c r="NB82" s="59"/>
      <c r="NC82" s="59"/>
      <c r="ND82" s="59"/>
      <c r="NE82" s="59"/>
      <c r="NF82" s="59"/>
      <c r="NG82" s="59"/>
      <c r="NH82" s="59"/>
      <c r="NI82" s="59"/>
      <c r="NJ82" s="59"/>
      <c r="NK82" s="59"/>
      <c r="NL82" s="60"/>
    </row>
    <row r="83" spans="1:376" x14ac:dyDescent="0.15">
      <c r="A83" s="23">
        <v>36</v>
      </c>
      <c r="B83" s="24" t="s">
        <v>140</v>
      </c>
      <c r="C83" s="45" t="s">
        <v>177</v>
      </c>
      <c r="D83" s="26" t="s">
        <v>164</v>
      </c>
      <c r="E83" s="27" t="s">
        <v>13</v>
      </c>
      <c r="F83" s="28">
        <v>43036</v>
      </c>
      <c r="G83" s="28">
        <v>43036</v>
      </c>
      <c r="H83" s="29">
        <f t="shared" si="234"/>
        <v>4</v>
      </c>
      <c r="I83" s="30"/>
      <c r="J83" s="31"/>
      <c r="K83" s="32"/>
      <c r="L83" s="32"/>
      <c r="M83" s="32"/>
      <c r="N83" s="32"/>
      <c r="O83" s="32"/>
      <c r="P83" s="32"/>
      <c r="Q83" s="32"/>
      <c r="R83" s="32"/>
      <c r="S83" s="32"/>
      <c r="T83" s="32"/>
      <c r="U83" s="32"/>
      <c r="V83" s="32"/>
      <c r="W83" s="32"/>
      <c r="X83" s="32"/>
      <c r="Y83" s="32"/>
      <c r="Z83" s="32"/>
      <c r="AA83" s="32"/>
      <c r="AB83" s="32"/>
      <c r="AC83" s="32"/>
      <c r="AD83" s="32"/>
      <c r="AE83" s="32"/>
      <c r="AF83" s="32"/>
      <c r="AG83" s="32"/>
      <c r="AH83" s="32"/>
      <c r="AI83" s="32"/>
      <c r="AJ83" s="32"/>
      <c r="AK83" s="32"/>
      <c r="AL83" s="32"/>
      <c r="AM83" s="32"/>
      <c r="AN83" s="32"/>
      <c r="AO83" s="32"/>
      <c r="AP83" s="33"/>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33"/>
      <c r="CA83" s="33"/>
      <c r="CB83" s="33"/>
      <c r="CC83" s="33"/>
      <c r="CD83" s="33"/>
      <c r="CE83" s="33"/>
      <c r="CF83" s="33"/>
      <c r="CG83" s="33"/>
      <c r="CH83" s="33"/>
      <c r="CI83" s="33"/>
      <c r="CJ83" s="33"/>
      <c r="CK83" s="33"/>
      <c r="CL83" s="33"/>
      <c r="CM83" s="33"/>
      <c r="CN83" s="33"/>
      <c r="CO83" s="33"/>
      <c r="CP83" s="33"/>
      <c r="CQ83" s="33"/>
      <c r="CR83" s="33"/>
      <c r="CS83" s="33"/>
      <c r="CT83" s="33"/>
      <c r="CU83" s="33"/>
      <c r="CV83" s="33"/>
      <c r="CW83" s="33"/>
      <c r="CX83" s="33"/>
      <c r="CY83" s="33"/>
      <c r="CZ83" s="33"/>
      <c r="DA83" s="33"/>
      <c r="DB83" s="33"/>
      <c r="DC83" s="33"/>
      <c r="DD83" s="33"/>
      <c r="DE83" s="33"/>
      <c r="DF83" s="33"/>
      <c r="DG83" s="33"/>
      <c r="DH83" s="33"/>
      <c r="DI83" s="33"/>
      <c r="DJ83" s="33"/>
      <c r="DK83" s="33"/>
      <c r="DL83" s="33"/>
      <c r="DM83" s="33"/>
      <c r="DN83" s="33"/>
      <c r="DO83" s="33"/>
      <c r="DP83" s="33"/>
      <c r="DQ83" s="33"/>
      <c r="DR83" s="33"/>
      <c r="DS83" s="33"/>
      <c r="DT83" s="33"/>
      <c r="DU83" s="33"/>
      <c r="DV83" s="33"/>
      <c r="DW83" s="33"/>
      <c r="DX83" s="33"/>
      <c r="DY83" s="33"/>
      <c r="DZ83" s="33"/>
      <c r="EA83" s="33"/>
      <c r="EB83" s="33"/>
      <c r="EC83" s="33"/>
      <c r="ED83" s="33"/>
      <c r="EE83" s="33"/>
      <c r="EF83" s="33"/>
      <c r="EG83" s="33"/>
      <c r="EH83" s="33"/>
      <c r="EI83" s="33"/>
      <c r="EJ83" s="33"/>
      <c r="EK83" s="33"/>
      <c r="EL83" s="33"/>
      <c r="EM83" s="33"/>
      <c r="EN83" s="33"/>
      <c r="EO83" s="33"/>
      <c r="EP83" s="33"/>
      <c r="EQ83" s="33"/>
      <c r="ER83" s="33"/>
      <c r="ES83" s="33"/>
      <c r="ET83" s="33"/>
      <c r="EU83" s="33"/>
      <c r="EV83" s="33"/>
      <c r="EW83" s="33"/>
      <c r="EX83" s="33"/>
      <c r="EY83" s="33"/>
      <c r="EZ83" s="33"/>
      <c r="FA83" s="33"/>
      <c r="FB83" s="33"/>
      <c r="FC83" s="33"/>
      <c r="FD83" s="33"/>
      <c r="FE83" s="33"/>
      <c r="FF83" s="33"/>
      <c r="FG83" s="33"/>
      <c r="FH83" s="33"/>
      <c r="FI83" s="33"/>
      <c r="FJ83" s="33"/>
      <c r="FK83" s="33"/>
      <c r="FL83" s="33"/>
      <c r="FM83" s="33"/>
      <c r="FN83" s="33"/>
      <c r="FO83" s="33"/>
      <c r="FP83" s="33"/>
      <c r="FQ83" s="33"/>
      <c r="FR83" s="33"/>
      <c r="FS83" s="33"/>
      <c r="FT83" s="33"/>
      <c r="FU83" s="33"/>
      <c r="FV83" s="33"/>
      <c r="FW83" s="33"/>
      <c r="FX83" s="33"/>
      <c r="FY83" s="33"/>
      <c r="FZ83" s="33"/>
      <c r="GA83" s="33"/>
      <c r="GB83" s="33"/>
      <c r="GC83" s="33"/>
      <c r="GD83" s="33"/>
      <c r="GE83" s="33"/>
      <c r="GF83" s="33"/>
      <c r="GG83" s="33"/>
      <c r="GH83" s="33"/>
      <c r="GI83" s="33"/>
      <c r="GJ83" s="33"/>
      <c r="GK83" s="33"/>
      <c r="GL83" s="33"/>
      <c r="GM83" s="33"/>
      <c r="GN83" s="33"/>
      <c r="GO83" s="33"/>
      <c r="GP83" s="33"/>
      <c r="GQ83" s="33"/>
      <c r="GR83" s="33"/>
      <c r="GS83" s="33"/>
      <c r="GT83" s="33"/>
      <c r="GU83" s="33"/>
      <c r="GV83" s="33"/>
      <c r="GW83" s="33"/>
      <c r="GX83" s="33"/>
      <c r="GY83" s="33"/>
      <c r="GZ83" s="33"/>
      <c r="HA83" s="33"/>
      <c r="HB83" s="33"/>
      <c r="HC83" s="33"/>
      <c r="HD83" s="33"/>
      <c r="HE83" s="33"/>
      <c r="HF83" s="33"/>
      <c r="HG83" s="33"/>
      <c r="HH83" s="33"/>
      <c r="HI83" s="33"/>
      <c r="HJ83" s="33">
        <v>4</v>
      </c>
      <c r="HK83" s="33"/>
      <c r="HL83" s="33"/>
      <c r="HM83" s="33"/>
      <c r="HN83" s="33"/>
      <c r="HO83" s="33"/>
      <c r="HP83" s="33"/>
      <c r="HQ83" s="33"/>
      <c r="HR83" s="33"/>
      <c r="HS83" s="33"/>
      <c r="HT83" s="33"/>
      <c r="HU83" s="33"/>
      <c r="HV83" s="33"/>
      <c r="HW83" s="33"/>
      <c r="HX83" s="33"/>
      <c r="HY83" s="33"/>
      <c r="HZ83" s="33"/>
      <c r="IA83" s="33"/>
      <c r="IB83" s="33"/>
      <c r="IC83" s="33"/>
      <c r="ID83" s="33"/>
      <c r="IE83" s="33"/>
      <c r="IF83" s="33"/>
      <c r="IG83" s="33"/>
      <c r="IH83" s="33"/>
      <c r="II83" s="33"/>
      <c r="IJ83" s="33"/>
      <c r="IK83" s="33"/>
      <c r="IL83" s="33"/>
      <c r="IM83" s="33"/>
      <c r="IN83" s="33"/>
      <c r="IO83" s="33"/>
      <c r="IP83" s="33"/>
      <c r="IQ83" s="33"/>
      <c r="IR83" s="33"/>
      <c r="IS83" s="33"/>
      <c r="IT83" s="33"/>
      <c r="IU83" s="33"/>
      <c r="IV83" s="33"/>
      <c r="IW83" s="33"/>
      <c r="IX83" s="33"/>
      <c r="IY83" s="33"/>
      <c r="IZ83" s="33"/>
      <c r="JA83" s="33"/>
      <c r="JB83" s="33"/>
      <c r="JC83" s="33"/>
      <c r="JD83" s="33"/>
      <c r="JE83" s="33"/>
      <c r="JF83" s="33"/>
      <c r="JG83" s="33"/>
      <c r="JH83" s="33"/>
      <c r="JI83" s="33"/>
      <c r="JJ83" s="33"/>
      <c r="JK83" s="33"/>
      <c r="JL83" s="33"/>
      <c r="JM83" s="33"/>
      <c r="JN83" s="33"/>
      <c r="JO83" s="33"/>
      <c r="JP83" s="33"/>
      <c r="JQ83" s="33"/>
      <c r="JR83" s="33"/>
      <c r="JS83" s="33"/>
      <c r="JT83" s="33"/>
      <c r="JU83" s="33"/>
      <c r="JV83" s="33"/>
      <c r="JW83" s="33"/>
      <c r="JX83" s="33"/>
      <c r="JY83" s="33"/>
      <c r="JZ83" s="33"/>
      <c r="KA83" s="33"/>
      <c r="KB83" s="33"/>
      <c r="KC83" s="33"/>
      <c r="KD83" s="33"/>
      <c r="KE83" s="33"/>
      <c r="KF83" s="33"/>
      <c r="KG83" s="33"/>
      <c r="KH83" s="33"/>
      <c r="KI83" s="33"/>
      <c r="KJ83" s="33"/>
      <c r="KK83" s="33"/>
      <c r="KL83" s="33"/>
      <c r="KM83" s="33"/>
      <c r="KN83" s="33"/>
      <c r="KO83" s="33"/>
      <c r="KP83" s="33"/>
      <c r="KQ83" s="33"/>
      <c r="KR83" s="33"/>
      <c r="KS83" s="33"/>
      <c r="KT83" s="33"/>
      <c r="KU83" s="33"/>
      <c r="KV83" s="33"/>
      <c r="KW83" s="33"/>
      <c r="KX83" s="33"/>
      <c r="KY83" s="33"/>
      <c r="KZ83" s="33"/>
      <c r="LA83" s="33"/>
      <c r="LB83" s="33"/>
      <c r="LC83" s="33"/>
      <c r="LD83" s="33"/>
      <c r="LE83" s="33"/>
      <c r="LF83" s="33"/>
      <c r="LG83" s="33"/>
      <c r="LH83" s="33"/>
      <c r="LI83" s="33"/>
      <c r="LJ83" s="33"/>
      <c r="LK83" s="33"/>
      <c r="LL83" s="33"/>
      <c r="LM83" s="33"/>
      <c r="LN83" s="33"/>
      <c r="LO83" s="33"/>
      <c r="LP83" s="33"/>
      <c r="LQ83" s="33"/>
      <c r="LR83" s="33"/>
      <c r="LS83" s="33"/>
      <c r="LT83" s="33"/>
      <c r="LU83" s="33"/>
      <c r="LV83" s="33"/>
      <c r="LW83" s="33"/>
      <c r="LX83" s="33"/>
      <c r="LY83" s="33"/>
      <c r="LZ83" s="33"/>
      <c r="MA83" s="33"/>
      <c r="MB83" s="33"/>
      <c r="MC83" s="33"/>
      <c r="MD83" s="33"/>
      <c r="ME83" s="33"/>
      <c r="MF83" s="33"/>
      <c r="MG83" s="33"/>
      <c r="MH83" s="33"/>
      <c r="MI83" s="33"/>
      <c r="MJ83" s="33"/>
      <c r="MK83" s="33"/>
      <c r="ML83" s="33"/>
      <c r="MM83" s="33"/>
      <c r="MN83" s="33"/>
      <c r="MO83" s="33"/>
      <c r="MP83" s="33"/>
      <c r="MQ83" s="33"/>
      <c r="MR83" s="33"/>
      <c r="MS83" s="33"/>
      <c r="MT83" s="33"/>
      <c r="MU83" s="33"/>
      <c r="MV83" s="33"/>
      <c r="MW83" s="33"/>
      <c r="MX83" s="33"/>
      <c r="MY83" s="33"/>
      <c r="MZ83" s="33"/>
      <c r="NA83" s="33"/>
      <c r="NB83" s="33"/>
      <c r="NC83" s="33"/>
      <c r="ND83" s="33"/>
      <c r="NE83" s="33"/>
      <c r="NF83" s="33"/>
      <c r="NG83" s="33"/>
      <c r="NH83" s="33"/>
      <c r="NI83" s="33"/>
      <c r="NJ83" s="33"/>
      <c r="NK83" s="33"/>
      <c r="NL83" s="34"/>
    </row>
    <row r="84" spans="1:376" x14ac:dyDescent="0.15">
      <c r="A84" s="35">
        <f>A83</f>
        <v>36</v>
      </c>
      <c r="B84" s="36" t="str">
        <f>B83</f>
        <v>DD</v>
      </c>
      <c r="C84" s="36" t="str">
        <f>C83</f>
        <v>Webアプリ単体評価仕様書レビュー</v>
      </c>
      <c r="D84" s="37" t="str">
        <f>D83</f>
        <v>伊藤</v>
      </c>
      <c r="E84" s="53" t="s">
        <v>0</v>
      </c>
      <c r="F84" s="54"/>
      <c r="G84" s="54"/>
      <c r="H84" s="55">
        <f t="shared" si="234"/>
        <v>0</v>
      </c>
      <c r="I84" s="56">
        <f>IF(OR(H83="",H84=""),"",H84-H83)</f>
        <v>-4</v>
      </c>
      <c r="J84" s="57"/>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c r="BS84" s="59"/>
      <c r="BT84" s="59"/>
      <c r="BU84" s="59"/>
      <c r="BV84" s="59"/>
      <c r="BW84" s="59"/>
      <c r="BX84" s="59"/>
      <c r="BY84" s="59"/>
      <c r="BZ84" s="59"/>
      <c r="CA84" s="59"/>
      <c r="CB84" s="59"/>
      <c r="CC84" s="59"/>
      <c r="CD84" s="59"/>
      <c r="CE84" s="59"/>
      <c r="CF84" s="59"/>
      <c r="CG84" s="59"/>
      <c r="CH84" s="59"/>
      <c r="CI84" s="59"/>
      <c r="CJ84" s="59"/>
      <c r="CK84" s="59"/>
      <c r="CL84" s="59"/>
      <c r="CM84" s="59"/>
      <c r="CN84" s="59"/>
      <c r="CO84" s="59"/>
      <c r="CP84" s="59"/>
      <c r="CQ84" s="59"/>
      <c r="CR84" s="59"/>
      <c r="CS84" s="59"/>
      <c r="CT84" s="59"/>
      <c r="CU84" s="59"/>
      <c r="CV84" s="59"/>
      <c r="CW84" s="59"/>
      <c r="CX84" s="59"/>
      <c r="CY84" s="59"/>
      <c r="CZ84" s="59"/>
      <c r="DA84" s="59"/>
      <c r="DB84" s="59"/>
      <c r="DC84" s="59"/>
      <c r="DD84" s="59"/>
      <c r="DE84" s="59"/>
      <c r="DF84" s="59"/>
      <c r="DG84" s="59"/>
      <c r="DH84" s="59"/>
      <c r="DI84" s="59"/>
      <c r="DJ84" s="59"/>
      <c r="DK84" s="59"/>
      <c r="DL84" s="59"/>
      <c r="DM84" s="59"/>
      <c r="DN84" s="59"/>
      <c r="DO84" s="59"/>
      <c r="DP84" s="59"/>
      <c r="DQ84" s="59"/>
      <c r="DR84" s="59"/>
      <c r="DS84" s="59"/>
      <c r="DT84" s="59"/>
      <c r="DU84" s="59"/>
      <c r="DV84" s="59"/>
      <c r="DW84" s="59"/>
      <c r="DX84" s="59"/>
      <c r="DY84" s="59"/>
      <c r="DZ84" s="59"/>
      <c r="EA84" s="59"/>
      <c r="EB84" s="59"/>
      <c r="EC84" s="59"/>
      <c r="ED84" s="59"/>
      <c r="EE84" s="59"/>
      <c r="EF84" s="59"/>
      <c r="EG84" s="59"/>
      <c r="EH84" s="59"/>
      <c r="EI84" s="59"/>
      <c r="EJ84" s="59"/>
      <c r="EK84" s="59"/>
      <c r="EL84" s="59"/>
      <c r="EM84" s="59"/>
      <c r="EN84" s="59"/>
      <c r="EO84" s="59"/>
      <c r="EP84" s="59"/>
      <c r="EQ84" s="59"/>
      <c r="ER84" s="59"/>
      <c r="ES84" s="59"/>
      <c r="ET84" s="59"/>
      <c r="EU84" s="59"/>
      <c r="EV84" s="59"/>
      <c r="EW84" s="59"/>
      <c r="EX84" s="59"/>
      <c r="EY84" s="59"/>
      <c r="EZ84" s="59"/>
      <c r="FA84" s="59"/>
      <c r="FB84" s="59"/>
      <c r="FC84" s="59"/>
      <c r="FD84" s="59"/>
      <c r="FE84" s="59"/>
      <c r="FF84" s="59"/>
      <c r="FG84" s="59"/>
      <c r="FH84" s="59"/>
      <c r="FI84" s="59"/>
      <c r="FJ84" s="59"/>
      <c r="FK84" s="59"/>
      <c r="FL84" s="59"/>
      <c r="FM84" s="59"/>
      <c r="FN84" s="59"/>
      <c r="FO84" s="59"/>
      <c r="FP84" s="59"/>
      <c r="FQ84" s="59"/>
      <c r="FR84" s="59"/>
      <c r="FS84" s="59"/>
      <c r="FT84" s="59"/>
      <c r="FU84" s="59"/>
      <c r="FV84" s="59"/>
      <c r="FW84" s="59"/>
      <c r="FX84" s="59"/>
      <c r="FY84" s="59"/>
      <c r="FZ84" s="59"/>
      <c r="GA84" s="59"/>
      <c r="GB84" s="59"/>
      <c r="GC84" s="59"/>
      <c r="GD84" s="59"/>
      <c r="GE84" s="59"/>
      <c r="GF84" s="59"/>
      <c r="GG84" s="59"/>
      <c r="GH84" s="59"/>
      <c r="GI84" s="59"/>
      <c r="GJ84" s="59"/>
      <c r="GK84" s="59"/>
      <c r="GL84" s="59"/>
      <c r="GM84" s="59"/>
      <c r="GN84" s="59"/>
      <c r="GO84" s="59"/>
      <c r="GP84" s="59"/>
      <c r="GQ84" s="59"/>
      <c r="GR84" s="59"/>
      <c r="GS84" s="59"/>
      <c r="GT84" s="59"/>
      <c r="GU84" s="59"/>
      <c r="GV84" s="59"/>
      <c r="GW84" s="59"/>
      <c r="GX84" s="59"/>
      <c r="GY84" s="59"/>
      <c r="GZ84" s="59"/>
      <c r="HA84" s="59"/>
      <c r="HB84" s="59"/>
      <c r="HC84" s="59"/>
      <c r="HD84" s="59"/>
      <c r="HE84" s="59"/>
      <c r="HF84" s="59"/>
      <c r="HG84" s="59"/>
      <c r="HH84" s="59"/>
      <c r="HI84" s="59"/>
      <c r="HJ84" s="59"/>
      <c r="HK84" s="59"/>
      <c r="HL84" s="59"/>
      <c r="HM84" s="59"/>
      <c r="HN84" s="59"/>
      <c r="HO84" s="59"/>
      <c r="HP84" s="59"/>
      <c r="HQ84" s="59"/>
      <c r="HR84" s="59"/>
      <c r="HS84" s="59"/>
      <c r="HT84" s="59"/>
      <c r="HU84" s="59"/>
      <c r="HV84" s="59"/>
      <c r="HW84" s="59"/>
      <c r="HX84" s="59"/>
      <c r="HY84" s="59"/>
      <c r="HZ84" s="59"/>
      <c r="IA84" s="59"/>
      <c r="IB84" s="59"/>
      <c r="IC84" s="59"/>
      <c r="ID84" s="59"/>
      <c r="IE84" s="59"/>
      <c r="IF84" s="59"/>
      <c r="IG84" s="59"/>
      <c r="IH84" s="59"/>
      <c r="II84" s="59"/>
      <c r="IJ84" s="59"/>
      <c r="IK84" s="59"/>
      <c r="IL84" s="59"/>
      <c r="IM84" s="59"/>
      <c r="IN84" s="59"/>
      <c r="IO84" s="59"/>
      <c r="IP84" s="59"/>
      <c r="IQ84" s="59"/>
      <c r="IR84" s="59"/>
      <c r="IS84" s="59"/>
      <c r="IT84" s="59"/>
      <c r="IU84" s="59"/>
      <c r="IV84" s="59"/>
      <c r="IW84" s="59"/>
      <c r="IX84" s="59"/>
      <c r="IY84" s="59"/>
      <c r="IZ84" s="59"/>
      <c r="JA84" s="59"/>
      <c r="JB84" s="59"/>
      <c r="JC84" s="59"/>
      <c r="JD84" s="59"/>
      <c r="JE84" s="59"/>
      <c r="JF84" s="59"/>
      <c r="JG84" s="59"/>
      <c r="JH84" s="59"/>
      <c r="JI84" s="59"/>
      <c r="JJ84" s="59"/>
      <c r="JK84" s="59"/>
      <c r="JL84" s="59"/>
      <c r="JM84" s="59"/>
      <c r="JN84" s="59"/>
      <c r="JO84" s="59"/>
      <c r="JP84" s="59"/>
      <c r="JQ84" s="59"/>
      <c r="JR84" s="59"/>
      <c r="JS84" s="59"/>
      <c r="JT84" s="59"/>
      <c r="JU84" s="59"/>
      <c r="JV84" s="59"/>
      <c r="JW84" s="59"/>
      <c r="JX84" s="59"/>
      <c r="JY84" s="59"/>
      <c r="JZ84" s="59"/>
      <c r="KA84" s="59"/>
      <c r="KB84" s="59"/>
      <c r="KC84" s="59"/>
      <c r="KD84" s="59"/>
      <c r="KE84" s="59"/>
      <c r="KF84" s="59"/>
      <c r="KG84" s="59"/>
      <c r="KH84" s="59"/>
      <c r="KI84" s="59"/>
      <c r="KJ84" s="59"/>
      <c r="KK84" s="59"/>
      <c r="KL84" s="59"/>
      <c r="KM84" s="59"/>
      <c r="KN84" s="59"/>
      <c r="KO84" s="59"/>
      <c r="KP84" s="59"/>
      <c r="KQ84" s="59"/>
      <c r="KR84" s="59"/>
      <c r="KS84" s="59"/>
      <c r="KT84" s="59"/>
      <c r="KU84" s="59"/>
      <c r="KV84" s="59"/>
      <c r="KW84" s="59"/>
      <c r="KX84" s="59"/>
      <c r="KY84" s="59"/>
      <c r="KZ84" s="59"/>
      <c r="LA84" s="59"/>
      <c r="LB84" s="59"/>
      <c r="LC84" s="59"/>
      <c r="LD84" s="59"/>
      <c r="LE84" s="59"/>
      <c r="LF84" s="59"/>
      <c r="LG84" s="59"/>
      <c r="LH84" s="59"/>
      <c r="LI84" s="59"/>
      <c r="LJ84" s="59"/>
      <c r="LK84" s="59"/>
      <c r="LL84" s="59"/>
      <c r="LM84" s="59"/>
      <c r="LN84" s="59"/>
      <c r="LO84" s="59"/>
      <c r="LP84" s="59"/>
      <c r="LQ84" s="59"/>
      <c r="LR84" s="59"/>
      <c r="LS84" s="59"/>
      <c r="LT84" s="59"/>
      <c r="LU84" s="59"/>
      <c r="LV84" s="59"/>
      <c r="LW84" s="59"/>
      <c r="LX84" s="59"/>
      <c r="LY84" s="59"/>
      <c r="LZ84" s="59"/>
      <c r="MA84" s="59"/>
      <c r="MB84" s="59"/>
      <c r="MC84" s="59"/>
      <c r="MD84" s="59"/>
      <c r="ME84" s="59"/>
      <c r="MF84" s="59"/>
      <c r="MG84" s="59"/>
      <c r="MH84" s="59"/>
      <c r="MI84" s="59"/>
      <c r="MJ84" s="59"/>
      <c r="MK84" s="59"/>
      <c r="ML84" s="59"/>
      <c r="MM84" s="59"/>
      <c r="MN84" s="59"/>
      <c r="MO84" s="59"/>
      <c r="MP84" s="59"/>
      <c r="MQ84" s="59"/>
      <c r="MR84" s="59"/>
      <c r="MS84" s="59"/>
      <c r="MT84" s="59"/>
      <c r="MU84" s="59"/>
      <c r="MV84" s="59"/>
      <c r="MW84" s="59"/>
      <c r="MX84" s="59"/>
      <c r="MY84" s="59"/>
      <c r="MZ84" s="59"/>
      <c r="NA84" s="59"/>
      <c r="NB84" s="59"/>
      <c r="NC84" s="59"/>
      <c r="ND84" s="59"/>
      <c r="NE84" s="59"/>
      <c r="NF84" s="59"/>
      <c r="NG84" s="59"/>
      <c r="NH84" s="59"/>
      <c r="NI84" s="59"/>
      <c r="NJ84" s="59"/>
      <c r="NK84" s="59"/>
      <c r="NL84" s="60"/>
    </row>
    <row r="85" spans="1:376" x14ac:dyDescent="0.15">
      <c r="A85" s="23">
        <v>37</v>
      </c>
      <c r="B85" s="24" t="s">
        <v>140</v>
      </c>
      <c r="C85" s="45" t="s">
        <v>176</v>
      </c>
      <c r="D85" s="26" t="s">
        <v>165</v>
      </c>
      <c r="E85" s="27" t="s">
        <v>13</v>
      </c>
      <c r="F85" s="28">
        <v>43037</v>
      </c>
      <c r="G85" s="28">
        <v>43044</v>
      </c>
      <c r="H85" s="29">
        <f t="shared" si="234"/>
        <v>6</v>
      </c>
      <c r="I85" s="30"/>
      <c r="J85" s="31"/>
      <c r="K85" s="32"/>
      <c r="L85" s="32"/>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3"/>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33"/>
      <c r="CA85" s="33"/>
      <c r="CB85" s="33"/>
      <c r="CC85" s="33"/>
      <c r="CD85" s="33"/>
      <c r="CE85" s="33"/>
      <c r="CF85" s="33"/>
      <c r="CG85" s="33"/>
      <c r="CH85" s="33"/>
      <c r="CI85" s="33"/>
      <c r="CJ85" s="33"/>
      <c r="CK85" s="33"/>
      <c r="CL85" s="33"/>
      <c r="CM85" s="33"/>
      <c r="CN85" s="33"/>
      <c r="CO85" s="33"/>
      <c r="CP85" s="33"/>
      <c r="CQ85" s="33"/>
      <c r="CR85" s="33"/>
      <c r="CS85" s="33"/>
      <c r="CT85" s="33"/>
      <c r="CU85" s="33"/>
      <c r="CV85" s="33"/>
      <c r="CW85" s="33"/>
      <c r="CX85" s="33"/>
      <c r="CY85" s="33"/>
      <c r="CZ85" s="33"/>
      <c r="DA85" s="33"/>
      <c r="DB85" s="33"/>
      <c r="DC85" s="33"/>
      <c r="DD85" s="33"/>
      <c r="DE85" s="33"/>
      <c r="DF85" s="33"/>
      <c r="DG85" s="33"/>
      <c r="DH85" s="33"/>
      <c r="DI85" s="33"/>
      <c r="DJ85" s="33"/>
      <c r="DK85" s="33"/>
      <c r="DL85" s="33"/>
      <c r="DM85" s="33"/>
      <c r="DN85" s="33"/>
      <c r="DO85" s="33"/>
      <c r="DP85" s="33"/>
      <c r="DQ85" s="33"/>
      <c r="DR85" s="33"/>
      <c r="DS85" s="33"/>
      <c r="DT85" s="33"/>
      <c r="DU85" s="33"/>
      <c r="DV85" s="33"/>
      <c r="DW85" s="33"/>
      <c r="DX85" s="33"/>
      <c r="DY85" s="33"/>
      <c r="DZ85" s="33"/>
      <c r="EA85" s="33"/>
      <c r="EB85" s="33"/>
      <c r="EC85" s="33"/>
      <c r="ED85" s="33"/>
      <c r="EE85" s="33"/>
      <c r="EF85" s="33"/>
      <c r="EG85" s="33"/>
      <c r="EH85" s="33"/>
      <c r="EI85" s="33"/>
      <c r="EJ85" s="33"/>
      <c r="EK85" s="33"/>
      <c r="EL85" s="33"/>
      <c r="EM85" s="33"/>
      <c r="EN85" s="33"/>
      <c r="EO85" s="33"/>
      <c r="EP85" s="33"/>
      <c r="EQ85" s="33"/>
      <c r="ER85" s="33"/>
      <c r="ES85" s="33"/>
      <c r="ET85" s="33"/>
      <c r="EU85" s="33"/>
      <c r="EV85" s="33"/>
      <c r="EW85" s="33"/>
      <c r="EX85" s="33"/>
      <c r="EY85" s="33"/>
      <c r="EZ85" s="33"/>
      <c r="FA85" s="33"/>
      <c r="FB85" s="33"/>
      <c r="FC85" s="33"/>
      <c r="FD85" s="33"/>
      <c r="FE85" s="33"/>
      <c r="FF85" s="33"/>
      <c r="FG85" s="33"/>
      <c r="FH85" s="33"/>
      <c r="FI85" s="33"/>
      <c r="FJ85" s="33"/>
      <c r="FK85" s="33"/>
      <c r="FL85" s="33"/>
      <c r="FM85" s="33"/>
      <c r="FN85" s="33"/>
      <c r="FO85" s="33"/>
      <c r="FP85" s="33"/>
      <c r="FQ85" s="33"/>
      <c r="FR85" s="33"/>
      <c r="FS85" s="33"/>
      <c r="FT85" s="33"/>
      <c r="FU85" s="33"/>
      <c r="FV85" s="33"/>
      <c r="FW85" s="33"/>
      <c r="FX85" s="33"/>
      <c r="FY85" s="33"/>
      <c r="FZ85" s="33"/>
      <c r="GA85" s="33"/>
      <c r="GB85" s="33"/>
      <c r="GC85" s="33"/>
      <c r="GD85" s="33"/>
      <c r="GE85" s="33"/>
      <c r="GF85" s="33"/>
      <c r="GG85" s="33"/>
      <c r="GH85" s="33"/>
      <c r="GI85" s="33"/>
      <c r="GJ85" s="33"/>
      <c r="GK85" s="33"/>
      <c r="GL85" s="33"/>
      <c r="GM85" s="33"/>
      <c r="GN85" s="33"/>
      <c r="GO85" s="33"/>
      <c r="GP85" s="33"/>
      <c r="GQ85" s="33"/>
      <c r="GR85" s="33"/>
      <c r="GS85" s="33"/>
      <c r="GT85" s="33"/>
      <c r="GU85" s="33"/>
      <c r="GV85" s="33"/>
      <c r="GW85" s="33"/>
      <c r="GX85" s="33"/>
      <c r="GY85" s="33"/>
      <c r="GZ85" s="33"/>
      <c r="HA85" s="33"/>
      <c r="HB85" s="33"/>
      <c r="HC85" s="33"/>
      <c r="HD85" s="33"/>
      <c r="HE85" s="33"/>
      <c r="HF85" s="33"/>
      <c r="HG85" s="33"/>
      <c r="HH85" s="33"/>
      <c r="HI85" s="33"/>
      <c r="HJ85" s="33"/>
      <c r="HK85" s="33">
        <v>2</v>
      </c>
      <c r="HL85" s="33"/>
      <c r="HM85" s="33"/>
      <c r="HN85" s="33"/>
      <c r="HO85" s="33"/>
      <c r="HP85" s="33"/>
      <c r="HQ85" s="33">
        <v>4</v>
      </c>
      <c r="HR85" s="33"/>
      <c r="HS85" s="33"/>
      <c r="HT85" s="33"/>
      <c r="HU85" s="33"/>
      <c r="HV85" s="33"/>
      <c r="HW85" s="33"/>
      <c r="HX85" s="33"/>
      <c r="HY85" s="33"/>
      <c r="HZ85" s="33"/>
      <c r="IA85" s="33"/>
      <c r="IB85" s="33"/>
      <c r="IC85" s="33"/>
      <c r="ID85" s="33"/>
      <c r="IE85" s="33"/>
      <c r="IF85" s="33"/>
      <c r="IG85" s="33"/>
      <c r="IH85" s="33"/>
      <c r="II85" s="33"/>
      <c r="IJ85" s="33"/>
      <c r="IK85" s="33"/>
      <c r="IL85" s="33"/>
      <c r="IM85" s="33"/>
      <c r="IN85" s="33"/>
      <c r="IO85" s="33"/>
      <c r="IP85" s="33"/>
      <c r="IQ85" s="33"/>
      <c r="IR85" s="33"/>
      <c r="IS85" s="33"/>
      <c r="IT85" s="33"/>
      <c r="IU85" s="33"/>
      <c r="IV85" s="33"/>
      <c r="IW85" s="33"/>
      <c r="IX85" s="33"/>
      <c r="IY85" s="33"/>
      <c r="IZ85" s="33"/>
      <c r="JA85" s="33"/>
      <c r="JB85" s="33"/>
      <c r="JC85" s="33"/>
      <c r="JD85" s="33"/>
      <c r="JE85" s="33"/>
      <c r="JF85" s="33"/>
      <c r="JG85" s="33"/>
      <c r="JH85" s="33"/>
      <c r="JI85" s="33"/>
      <c r="JJ85" s="33"/>
      <c r="JK85" s="33"/>
      <c r="JL85" s="33"/>
      <c r="JM85" s="33"/>
      <c r="JN85" s="33"/>
      <c r="JO85" s="33"/>
      <c r="JP85" s="33"/>
      <c r="JQ85" s="33"/>
      <c r="JR85" s="33"/>
      <c r="JS85" s="33"/>
      <c r="JT85" s="33"/>
      <c r="JU85" s="33"/>
      <c r="JV85" s="33"/>
      <c r="JW85" s="33"/>
      <c r="JX85" s="33"/>
      <c r="JY85" s="33"/>
      <c r="JZ85" s="33"/>
      <c r="KA85" s="33"/>
      <c r="KB85" s="33"/>
      <c r="KC85" s="33"/>
      <c r="KD85" s="33"/>
      <c r="KE85" s="33"/>
      <c r="KF85" s="33"/>
      <c r="KG85" s="33"/>
      <c r="KH85" s="33"/>
      <c r="KI85" s="33"/>
      <c r="KJ85" s="33"/>
      <c r="KK85" s="33"/>
      <c r="KL85" s="33"/>
      <c r="KM85" s="33"/>
      <c r="KN85" s="33"/>
      <c r="KO85" s="33"/>
      <c r="KP85" s="33"/>
      <c r="KQ85" s="33"/>
      <c r="KR85" s="33"/>
      <c r="KS85" s="33"/>
      <c r="KT85" s="33"/>
      <c r="KU85" s="33"/>
      <c r="KV85" s="33"/>
      <c r="KW85" s="33"/>
      <c r="KX85" s="33"/>
      <c r="KY85" s="33"/>
      <c r="KZ85" s="33"/>
      <c r="LA85" s="33"/>
      <c r="LB85" s="33"/>
      <c r="LC85" s="33"/>
      <c r="LD85" s="33"/>
      <c r="LE85" s="33"/>
      <c r="LF85" s="33"/>
      <c r="LG85" s="33"/>
      <c r="LH85" s="33"/>
      <c r="LI85" s="33"/>
      <c r="LJ85" s="33"/>
      <c r="LK85" s="33"/>
      <c r="LL85" s="33"/>
      <c r="LM85" s="33"/>
      <c r="LN85" s="33"/>
      <c r="LO85" s="33"/>
      <c r="LP85" s="33"/>
      <c r="LQ85" s="33"/>
      <c r="LR85" s="33"/>
      <c r="LS85" s="33"/>
      <c r="LT85" s="33"/>
      <c r="LU85" s="33"/>
      <c r="LV85" s="33"/>
      <c r="LW85" s="33"/>
      <c r="LX85" s="33"/>
      <c r="LY85" s="33"/>
      <c r="LZ85" s="33"/>
      <c r="MA85" s="33"/>
      <c r="MB85" s="33"/>
      <c r="MC85" s="33"/>
      <c r="MD85" s="33"/>
      <c r="ME85" s="33"/>
      <c r="MF85" s="33"/>
      <c r="MG85" s="33"/>
      <c r="MH85" s="33"/>
      <c r="MI85" s="33"/>
      <c r="MJ85" s="33"/>
      <c r="MK85" s="33"/>
      <c r="ML85" s="33"/>
      <c r="MM85" s="33"/>
      <c r="MN85" s="33"/>
      <c r="MO85" s="33"/>
      <c r="MP85" s="33"/>
      <c r="MQ85" s="33"/>
      <c r="MR85" s="33"/>
      <c r="MS85" s="33"/>
      <c r="MT85" s="33"/>
      <c r="MU85" s="33"/>
      <c r="MV85" s="33"/>
      <c r="MW85" s="33"/>
      <c r="MX85" s="33"/>
      <c r="MY85" s="33"/>
      <c r="MZ85" s="33"/>
      <c r="NA85" s="33"/>
      <c r="NB85" s="33"/>
      <c r="NC85" s="33"/>
      <c r="ND85" s="33"/>
      <c r="NE85" s="33"/>
      <c r="NF85" s="33"/>
      <c r="NG85" s="33"/>
      <c r="NH85" s="33"/>
      <c r="NI85" s="33"/>
      <c r="NJ85" s="33"/>
      <c r="NK85" s="33"/>
      <c r="NL85" s="34"/>
    </row>
    <row r="86" spans="1:376" x14ac:dyDescent="0.15">
      <c r="A86" s="35">
        <f>A85</f>
        <v>37</v>
      </c>
      <c r="B86" s="36" t="str">
        <f>B85</f>
        <v>DD</v>
      </c>
      <c r="C86" s="36" t="str">
        <f>C85</f>
        <v>Webアプリ単体評価仕様書レビュー指摘対応</v>
      </c>
      <c r="D86" s="37" t="str">
        <f>D85</f>
        <v>高澤</v>
      </c>
      <c r="E86" s="53" t="s">
        <v>0</v>
      </c>
      <c r="F86" s="54"/>
      <c r="G86" s="54"/>
      <c r="H86" s="55">
        <f t="shared" si="234"/>
        <v>0</v>
      </c>
      <c r="I86" s="56">
        <f>IF(OR(H85="",H86=""),"",H86-H85)</f>
        <v>-6</v>
      </c>
      <c r="J86" s="57"/>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c r="BS86" s="59"/>
      <c r="BT86" s="59"/>
      <c r="BU86" s="59"/>
      <c r="BV86" s="59"/>
      <c r="BW86" s="59"/>
      <c r="BX86" s="59"/>
      <c r="BY86" s="59"/>
      <c r="BZ86" s="59"/>
      <c r="CA86" s="59"/>
      <c r="CB86" s="59"/>
      <c r="CC86" s="59"/>
      <c r="CD86" s="59"/>
      <c r="CE86" s="59"/>
      <c r="CF86" s="59"/>
      <c r="CG86" s="59"/>
      <c r="CH86" s="59"/>
      <c r="CI86" s="59"/>
      <c r="CJ86" s="59"/>
      <c r="CK86" s="59"/>
      <c r="CL86" s="59"/>
      <c r="CM86" s="59"/>
      <c r="CN86" s="59"/>
      <c r="CO86" s="59"/>
      <c r="CP86" s="59"/>
      <c r="CQ86" s="59"/>
      <c r="CR86" s="59"/>
      <c r="CS86" s="59"/>
      <c r="CT86" s="59"/>
      <c r="CU86" s="59"/>
      <c r="CV86" s="59"/>
      <c r="CW86" s="59"/>
      <c r="CX86" s="59"/>
      <c r="CY86" s="59"/>
      <c r="CZ86" s="59"/>
      <c r="DA86" s="59"/>
      <c r="DB86" s="59"/>
      <c r="DC86" s="59"/>
      <c r="DD86" s="59"/>
      <c r="DE86" s="59"/>
      <c r="DF86" s="59"/>
      <c r="DG86" s="59"/>
      <c r="DH86" s="59"/>
      <c r="DI86" s="59"/>
      <c r="DJ86" s="59"/>
      <c r="DK86" s="59"/>
      <c r="DL86" s="59"/>
      <c r="DM86" s="59"/>
      <c r="DN86" s="59"/>
      <c r="DO86" s="59"/>
      <c r="DP86" s="59"/>
      <c r="DQ86" s="59"/>
      <c r="DR86" s="59"/>
      <c r="DS86" s="59"/>
      <c r="DT86" s="59"/>
      <c r="DU86" s="59"/>
      <c r="DV86" s="59"/>
      <c r="DW86" s="59"/>
      <c r="DX86" s="59"/>
      <c r="DY86" s="59"/>
      <c r="DZ86" s="59"/>
      <c r="EA86" s="59"/>
      <c r="EB86" s="59"/>
      <c r="EC86" s="59"/>
      <c r="ED86" s="59"/>
      <c r="EE86" s="59"/>
      <c r="EF86" s="59"/>
      <c r="EG86" s="59"/>
      <c r="EH86" s="59"/>
      <c r="EI86" s="59"/>
      <c r="EJ86" s="59"/>
      <c r="EK86" s="59"/>
      <c r="EL86" s="59"/>
      <c r="EM86" s="59"/>
      <c r="EN86" s="59"/>
      <c r="EO86" s="59"/>
      <c r="EP86" s="59"/>
      <c r="EQ86" s="59"/>
      <c r="ER86" s="59"/>
      <c r="ES86" s="59"/>
      <c r="ET86" s="59"/>
      <c r="EU86" s="59"/>
      <c r="EV86" s="59"/>
      <c r="EW86" s="59"/>
      <c r="EX86" s="59"/>
      <c r="EY86" s="59"/>
      <c r="EZ86" s="59"/>
      <c r="FA86" s="59"/>
      <c r="FB86" s="59"/>
      <c r="FC86" s="59"/>
      <c r="FD86" s="59"/>
      <c r="FE86" s="59"/>
      <c r="FF86" s="59"/>
      <c r="FG86" s="59"/>
      <c r="FH86" s="59"/>
      <c r="FI86" s="59"/>
      <c r="FJ86" s="59"/>
      <c r="FK86" s="59"/>
      <c r="FL86" s="59"/>
      <c r="FM86" s="59"/>
      <c r="FN86" s="59"/>
      <c r="FO86" s="59"/>
      <c r="FP86" s="59"/>
      <c r="FQ86" s="59"/>
      <c r="FR86" s="59"/>
      <c r="FS86" s="59"/>
      <c r="FT86" s="59"/>
      <c r="FU86" s="59"/>
      <c r="FV86" s="59"/>
      <c r="FW86" s="59"/>
      <c r="FX86" s="59"/>
      <c r="FY86" s="59"/>
      <c r="FZ86" s="59"/>
      <c r="GA86" s="59"/>
      <c r="GB86" s="59"/>
      <c r="GC86" s="59"/>
      <c r="GD86" s="59"/>
      <c r="GE86" s="59"/>
      <c r="GF86" s="59"/>
      <c r="GG86" s="59"/>
      <c r="GH86" s="59"/>
      <c r="GI86" s="59"/>
      <c r="GJ86" s="59"/>
      <c r="GK86" s="59"/>
      <c r="GL86" s="59"/>
      <c r="GM86" s="59"/>
      <c r="GN86" s="59"/>
      <c r="GO86" s="59"/>
      <c r="GP86" s="59"/>
      <c r="GQ86" s="59"/>
      <c r="GR86" s="59"/>
      <c r="GS86" s="59"/>
      <c r="GT86" s="59"/>
      <c r="GU86" s="59"/>
      <c r="GV86" s="59"/>
      <c r="GW86" s="59"/>
      <c r="GX86" s="59"/>
      <c r="GY86" s="59"/>
      <c r="GZ86" s="59"/>
      <c r="HA86" s="59"/>
      <c r="HB86" s="59"/>
      <c r="HC86" s="59"/>
      <c r="HD86" s="59"/>
      <c r="HE86" s="59"/>
      <c r="HF86" s="59"/>
      <c r="HG86" s="59"/>
      <c r="HH86" s="59"/>
      <c r="HI86" s="59"/>
      <c r="HJ86" s="59"/>
      <c r="HK86" s="59"/>
      <c r="HL86" s="59"/>
      <c r="HM86" s="59"/>
      <c r="HN86" s="59"/>
      <c r="HO86" s="59"/>
      <c r="HP86" s="59"/>
      <c r="HQ86" s="59"/>
      <c r="HR86" s="59"/>
      <c r="HS86" s="59"/>
      <c r="HT86" s="59"/>
      <c r="HU86" s="59"/>
      <c r="HV86" s="59"/>
      <c r="HW86" s="59"/>
      <c r="HX86" s="59"/>
      <c r="HY86" s="59"/>
      <c r="HZ86" s="59"/>
      <c r="IA86" s="59"/>
      <c r="IB86" s="59"/>
      <c r="IC86" s="59"/>
      <c r="ID86" s="59"/>
      <c r="IE86" s="59"/>
      <c r="IF86" s="59"/>
      <c r="IG86" s="59"/>
      <c r="IH86" s="59"/>
      <c r="II86" s="59"/>
      <c r="IJ86" s="59"/>
      <c r="IK86" s="59"/>
      <c r="IL86" s="59"/>
      <c r="IM86" s="59"/>
      <c r="IN86" s="59"/>
      <c r="IO86" s="59"/>
      <c r="IP86" s="59"/>
      <c r="IQ86" s="59"/>
      <c r="IR86" s="59"/>
      <c r="IS86" s="59"/>
      <c r="IT86" s="59"/>
      <c r="IU86" s="59"/>
      <c r="IV86" s="59"/>
      <c r="IW86" s="59"/>
      <c r="IX86" s="59"/>
      <c r="IY86" s="59"/>
      <c r="IZ86" s="59"/>
      <c r="JA86" s="59"/>
      <c r="JB86" s="59"/>
      <c r="JC86" s="59"/>
      <c r="JD86" s="59"/>
      <c r="JE86" s="59"/>
      <c r="JF86" s="59"/>
      <c r="JG86" s="59"/>
      <c r="JH86" s="59"/>
      <c r="JI86" s="59"/>
      <c r="JJ86" s="59"/>
      <c r="JK86" s="59"/>
      <c r="JL86" s="59"/>
      <c r="JM86" s="59"/>
      <c r="JN86" s="59"/>
      <c r="JO86" s="59"/>
      <c r="JP86" s="59"/>
      <c r="JQ86" s="59"/>
      <c r="JR86" s="59"/>
      <c r="JS86" s="59"/>
      <c r="JT86" s="59"/>
      <c r="JU86" s="59"/>
      <c r="JV86" s="59"/>
      <c r="JW86" s="59"/>
      <c r="JX86" s="59"/>
      <c r="JY86" s="59"/>
      <c r="JZ86" s="59"/>
      <c r="KA86" s="59"/>
      <c r="KB86" s="59"/>
      <c r="KC86" s="59"/>
      <c r="KD86" s="59"/>
      <c r="KE86" s="59"/>
      <c r="KF86" s="59"/>
      <c r="KG86" s="59"/>
      <c r="KH86" s="59"/>
      <c r="KI86" s="59"/>
      <c r="KJ86" s="59"/>
      <c r="KK86" s="59"/>
      <c r="KL86" s="59"/>
      <c r="KM86" s="59"/>
      <c r="KN86" s="59"/>
      <c r="KO86" s="59"/>
      <c r="KP86" s="59"/>
      <c r="KQ86" s="59"/>
      <c r="KR86" s="59"/>
      <c r="KS86" s="59"/>
      <c r="KT86" s="59"/>
      <c r="KU86" s="59"/>
      <c r="KV86" s="59"/>
      <c r="KW86" s="59"/>
      <c r="KX86" s="59"/>
      <c r="KY86" s="59"/>
      <c r="KZ86" s="59"/>
      <c r="LA86" s="59"/>
      <c r="LB86" s="59"/>
      <c r="LC86" s="59"/>
      <c r="LD86" s="59"/>
      <c r="LE86" s="59"/>
      <c r="LF86" s="59"/>
      <c r="LG86" s="59"/>
      <c r="LH86" s="59"/>
      <c r="LI86" s="59"/>
      <c r="LJ86" s="59"/>
      <c r="LK86" s="59"/>
      <c r="LL86" s="59"/>
      <c r="LM86" s="59"/>
      <c r="LN86" s="59"/>
      <c r="LO86" s="59"/>
      <c r="LP86" s="59"/>
      <c r="LQ86" s="59"/>
      <c r="LR86" s="59"/>
      <c r="LS86" s="59"/>
      <c r="LT86" s="59"/>
      <c r="LU86" s="59"/>
      <c r="LV86" s="59"/>
      <c r="LW86" s="59"/>
      <c r="LX86" s="59"/>
      <c r="LY86" s="59"/>
      <c r="LZ86" s="59"/>
      <c r="MA86" s="59"/>
      <c r="MB86" s="59"/>
      <c r="MC86" s="59"/>
      <c r="MD86" s="59"/>
      <c r="ME86" s="59"/>
      <c r="MF86" s="59"/>
      <c r="MG86" s="59"/>
      <c r="MH86" s="59"/>
      <c r="MI86" s="59"/>
      <c r="MJ86" s="59"/>
      <c r="MK86" s="59"/>
      <c r="ML86" s="59"/>
      <c r="MM86" s="59"/>
      <c r="MN86" s="59"/>
      <c r="MO86" s="59"/>
      <c r="MP86" s="59"/>
      <c r="MQ86" s="59"/>
      <c r="MR86" s="59"/>
      <c r="MS86" s="59"/>
      <c r="MT86" s="59"/>
      <c r="MU86" s="59"/>
      <c r="MV86" s="59"/>
      <c r="MW86" s="59"/>
      <c r="MX86" s="59"/>
      <c r="MY86" s="59"/>
      <c r="MZ86" s="59"/>
      <c r="NA86" s="59"/>
      <c r="NB86" s="59"/>
      <c r="NC86" s="59"/>
      <c r="ND86" s="59"/>
      <c r="NE86" s="59"/>
      <c r="NF86" s="59"/>
      <c r="NG86" s="59"/>
      <c r="NH86" s="59"/>
      <c r="NI86" s="59"/>
      <c r="NJ86" s="59"/>
      <c r="NK86" s="59"/>
      <c r="NL86" s="60"/>
    </row>
    <row r="87" spans="1:376" x14ac:dyDescent="0.15">
      <c r="A87" s="23">
        <v>38</v>
      </c>
      <c r="B87" s="24" t="s">
        <v>140</v>
      </c>
      <c r="C87" s="45" t="s">
        <v>175</v>
      </c>
      <c r="D87" s="26" t="s">
        <v>166</v>
      </c>
      <c r="E87" s="27" t="s">
        <v>13</v>
      </c>
      <c r="F87" s="28">
        <v>42982</v>
      </c>
      <c r="G87" s="28">
        <v>43036</v>
      </c>
      <c r="H87" s="29">
        <f t="shared" si="234"/>
        <v>32</v>
      </c>
      <c r="I87" s="30"/>
      <c r="J87" s="31"/>
      <c r="K87" s="32"/>
      <c r="L87" s="32"/>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3"/>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33"/>
      <c r="CA87" s="33"/>
      <c r="CB87" s="33"/>
      <c r="CC87" s="33"/>
      <c r="CD87" s="33"/>
      <c r="CE87" s="33"/>
      <c r="CF87" s="33"/>
      <c r="CG87" s="33"/>
      <c r="CH87" s="33"/>
      <c r="CI87" s="33"/>
      <c r="CJ87" s="33"/>
      <c r="CK87" s="33"/>
      <c r="CL87" s="33"/>
      <c r="CM87" s="33"/>
      <c r="CN87" s="33"/>
      <c r="CO87" s="33"/>
      <c r="CP87" s="33"/>
      <c r="CQ87" s="33"/>
      <c r="CR87" s="33"/>
      <c r="CS87" s="33"/>
      <c r="CT87" s="33"/>
      <c r="CU87" s="33"/>
      <c r="CV87" s="33"/>
      <c r="CW87" s="33"/>
      <c r="CX87" s="33"/>
      <c r="CY87" s="33"/>
      <c r="CZ87" s="33"/>
      <c r="DA87" s="33"/>
      <c r="DB87" s="33"/>
      <c r="DC87" s="33"/>
      <c r="DD87" s="33"/>
      <c r="DE87" s="33"/>
      <c r="DF87" s="33"/>
      <c r="DG87" s="33"/>
      <c r="DH87" s="33"/>
      <c r="DI87" s="33"/>
      <c r="DJ87" s="33"/>
      <c r="DK87" s="33"/>
      <c r="DL87" s="33"/>
      <c r="DM87" s="33"/>
      <c r="DN87" s="33"/>
      <c r="DO87" s="33"/>
      <c r="DP87" s="33"/>
      <c r="DQ87" s="33"/>
      <c r="DR87" s="33"/>
      <c r="DS87" s="33"/>
      <c r="DT87" s="33"/>
      <c r="DU87" s="33"/>
      <c r="DV87" s="33"/>
      <c r="DW87" s="33"/>
      <c r="DX87" s="33"/>
      <c r="DY87" s="33"/>
      <c r="DZ87" s="33"/>
      <c r="EA87" s="33"/>
      <c r="EB87" s="33"/>
      <c r="EC87" s="33"/>
      <c r="ED87" s="33"/>
      <c r="EE87" s="33"/>
      <c r="EF87" s="33"/>
      <c r="EG87" s="33"/>
      <c r="EH87" s="33"/>
      <c r="EI87" s="33"/>
      <c r="EJ87" s="33"/>
      <c r="EK87" s="33"/>
      <c r="EL87" s="33"/>
      <c r="EM87" s="33"/>
      <c r="EN87" s="33"/>
      <c r="EO87" s="33"/>
      <c r="EP87" s="33"/>
      <c r="EQ87" s="33"/>
      <c r="ER87" s="33"/>
      <c r="ES87" s="33"/>
      <c r="ET87" s="33"/>
      <c r="EU87" s="33"/>
      <c r="EV87" s="33"/>
      <c r="EW87" s="33"/>
      <c r="EX87" s="33"/>
      <c r="EY87" s="33"/>
      <c r="EZ87" s="33"/>
      <c r="FA87" s="33"/>
      <c r="FB87" s="33"/>
      <c r="FC87" s="33"/>
      <c r="FD87" s="33"/>
      <c r="FE87" s="33"/>
      <c r="FF87" s="33"/>
      <c r="FG87" s="33"/>
      <c r="FH87" s="33"/>
      <c r="FI87" s="33"/>
      <c r="FJ87" s="33"/>
      <c r="FK87" s="33"/>
      <c r="FL87" s="33"/>
      <c r="FM87" s="33">
        <v>4</v>
      </c>
      <c r="FN87" s="33"/>
      <c r="FO87" s="33"/>
      <c r="FP87" s="33"/>
      <c r="FQ87" s="33"/>
      <c r="FR87" s="33"/>
      <c r="FS87" s="33"/>
      <c r="FT87" s="33">
        <v>4</v>
      </c>
      <c r="FU87" s="33"/>
      <c r="FV87" s="33"/>
      <c r="FW87" s="33"/>
      <c r="FX87" s="33"/>
      <c r="FY87" s="33"/>
      <c r="FZ87" s="33"/>
      <c r="GA87" s="33">
        <v>4</v>
      </c>
      <c r="GB87" s="33"/>
      <c r="GC87" s="33"/>
      <c r="GD87" s="33"/>
      <c r="GE87" s="33"/>
      <c r="GF87" s="33"/>
      <c r="GG87" s="33"/>
      <c r="GH87" s="33">
        <v>4</v>
      </c>
      <c r="GI87" s="33"/>
      <c r="GJ87" s="33"/>
      <c r="GK87" s="33"/>
      <c r="GL87" s="33"/>
      <c r="GM87" s="33"/>
      <c r="GN87" s="33"/>
      <c r="GO87" s="33">
        <v>4</v>
      </c>
      <c r="GP87" s="33"/>
      <c r="GQ87" s="33"/>
      <c r="GR87" s="33"/>
      <c r="GS87" s="33"/>
      <c r="GT87" s="33"/>
      <c r="GU87" s="33"/>
      <c r="GV87" s="33">
        <v>4</v>
      </c>
      <c r="GW87" s="33"/>
      <c r="GX87" s="33"/>
      <c r="GY87" s="33"/>
      <c r="GZ87" s="33"/>
      <c r="HA87" s="33"/>
      <c r="HB87" s="33"/>
      <c r="HC87" s="33">
        <v>4</v>
      </c>
      <c r="HD87" s="33"/>
      <c r="HE87" s="33"/>
      <c r="HF87" s="33"/>
      <c r="HG87" s="33"/>
      <c r="HH87" s="33"/>
      <c r="HI87" s="33"/>
      <c r="HJ87" s="33">
        <v>4</v>
      </c>
      <c r="HK87" s="33"/>
      <c r="HL87" s="33"/>
      <c r="HM87" s="33"/>
      <c r="HN87" s="33"/>
      <c r="HO87" s="33"/>
      <c r="HP87" s="33"/>
      <c r="HQ87" s="33"/>
      <c r="HR87" s="33"/>
      <c r="HS87" s="33"/>
      <c r="HT87" s="33"/>
      <c r="HU87" s="33"/>
      <c r="HV87" s="33"/>
      <c r="HW87" s="33"/>
      <c r="HX87" s="33"/>
      <c r="HY87" s="33"/>
      <c r="HZ87" s="33"/>
      <c r="IA87" s="33"/>
      <c r="IB87" s="33"/>
      <c r="IC87" s="33"/>
      <c r="ID87" s="33"/>
      <c r="IE87" s="33"/>
      <c r="IF87" s="33"/>
      <c r="IG87" s="33"/>
      <c r="IH87" s="33"/>
      <c r="II87" s="33"/>
      <c r="IJ87" s="33"/>
      <c r="IK87" s="33"/>
      <c r="IL87" s="33"/>
      <c r="IM87" s="33"/>
      <c r="IN87" s="33"/>
      <c r="IO87" s="33"/>
      <c r="IP87" s="33"/>
      <c r="IQ87" s="33"/>
      <c r="IR87" s="33"/>
      <c r="IS87" s="33"/>
      <c r="IT87" s="33"/>
      <c r="IU87" s="33"/>
      <c r="IV87" s="33"/>
      <c r="IW87" s="33"/>
      <c r="IX87" s="33"/>
      <c r="IY87" s="33"/>
      <c r="IZ87" s="33"/>
      <c r="JA87" s="33"/>
      <c r="JB87" s="33"/>
      <c r="JC87" s="33"/>
      <c r="JD87" s="33"/>
      <c r="JE87" s="33"/>
      <c r="JF87" s="33"/>
      <c r="JG87" s="33"/>
      <c r="JH87" s="33"/>
      <c r="JI87" s="33"/>
      <c r="JJ87" s="33"/>
      <c r="JK87" s="33"/>
      <c r="JL87" s="33"/>
      <c r="JM87" s="33"/>
      <c r="JN87" s="33"/>
      <c r="JO87" s="33"/>
      <c r="JP87" s="33"/>
      <c r="JQ87" s="33"/>
      <c r="JR87" s="33"/>
      <c r="JS87" s="33"/>
      <c r="JT87" s="33"/>
      <c r="JU87" s="33"/>
      <c r="JV87" s="33"/>
      <c r="JW87" s="33"/>
      <c r="JX87" s="33"/>
      <c r="JY87" s="33"/>
      <c r="JZ87" s="33"/>
      <c r="KA87" s="33"/>
      <c r="KB87" s="33"/>
      <c r="KC87" s="33"/>
      <c r="KD87" s="33"/>
      <c r="KE87" s="33"/>
      <c r="KF87" s="33"/>
      <c r="KG87" s="33"/>
      <c r="KH87" s="33"/>
      <c r="KI87" s="33"/>
      <c r="KJ87" s="33"/>
      <c r="KK87" s="33"/>
      <c r="KL87" s="33"/>
      <c r="KM87" s="33"/>
      <c r="KN87" s="33"/>
      <c r="KO87" s="33"/>
      <c r="KP87" s="33"/>
      <c r="KQ87" s="33"/>
      <c r="KR87" s="33"/>
      <c r="KS87" s="33"/>
      <c r="KT87" s="33"/>
      <c r="KU87" s="33"/>
      <c r="KV87" s="33"/>
      <c r="KW87" s="33"/>
      <c r="KX87" s="33"/>
      <c r="KY87" s="33"/>
      <c r="KZ87" s="33"/>
      <c r="LA87" s="33"/>
      <c r="LB87" s="33"/>
      <c r="LC87" s="33"/>
      <c r="LD87" s="33"/>
      <c r="LE87" s="33"/>
      <c r="LF87" s="33"/>
      <c r="LG87" s="33"/>
      <c r="LH87" s="33"/>
      <c r="LI87" s="33"/>
      <c r="LJ87" s="33"/>
      <c r="LK87" s="33"/>
      <c r="LL87" s="33"/>
      <c r="LM87" s="33"/>
      <c r="LN87" s="33"/>
      <c r="LO87" s="33"/>
      <c r="LP87" s="33"/>
      <c r="LQ87" s="33"/>
      <c r="LR87" s="33"/>
      <c r="LS87" s="33"/>
      <c r="LT87" s="33"/>
      <c r="LU87" s="33"/>
      <c r="LV87" s="33"/>
      <c r="LW87" s="33"/>
      <c r="LX87" s="33"/>
      <c r="LY87" s="33"/>
      <c r="LZ87" s="33"/>
      <c r="MA87" s="33"/>
      <c r="MB87" s="33"/>
      <c r="MC87" s="33"/>
      <c r="MD87" s="33"/>
      <c r="ME87" s="33"/>
      <c r="MF87" s="33"/>
      <c r="MG87" s="33"/>
      <c r="MH87" s="33"/>
      <c r="MI87" s="33"/>
      <c r="MJ87" s="33"/>
      <c r="MK87" s="33"/>
      <c r="ML87" s="33"/>
      <c r="MM87" s="33"/>
      <c r="MN87" s="33"/>
      <c r="MO87" s="33"/>
      <c r="MP87" s="33"/>
      <c r="MQ87" s="33"/>
      <c r="MR87" s="33"/>
      <c r="MS87" s="33"/>
      <c r="MT87" s="33"/>
      <c r="MU87" s="33"/>
      <c r="MV87" s="33"/>
      <c r="MW87" s="33"/>
      <c r="MX87" s="33"/>
      <c r="MY87" s="33"/>
      <c r="MZ87" s="33"/>
      <c r="NA87" s="33"/>
      <c r="NB87" s="33"/>
      <c r="NC87" s="33"/>
      <c r="ND87" s="33"/>
      <c r="NE87" s="33"/>
      <c r="NF87" s="33"/>
      <c r="NG87" s="33"/>
      <c r="NH87" s="33"/>
      <c r="NI87" s="33"/>
      <c r="NJ87" s="33"/>
      <c r="NK87" s="33"/>
      <c r="NL87" s="34"/>
    </row>
    <row r="88" spans="1:376" x14ac:dyDescent="0.15">
      <c r="A88" s="35">
        <f>A87</f>
        <v>38</v>
      </c>
      <c r="B88" s="36" t="str">
        <f>B87</f>
        <v>DD</v>
      </c>
      <c r="C88" s="36" t="str">
        <f>C87</f>
        <v>監視端末単体評価仕様書作成</v>
      </c>
      <c r="D88" s="37" t="str">
        <f>D87</f>
        <v>長田</v>
      </c>
      <c r="E88" s="53" t="s">
        <v>0</v>
      </c>
      <c r="F88" s="54"/>
      <c r="G88" s="54"/>
      <c r="H88" s="55">
        <f t="shared" si="234"/>
        <v>0</v>
      </c>
      <c r="I88" s="56">
        <f>IF(OR(H87="",H88=""),"",H88-H87)</f>
        <v>-32</v>
      </c>
      <c r="J88" s="57"/>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c r="BS88" s="59"/>
      <c r="BT88" s="59"/>
      <c r="BU88" s="59"/>
      <c r="BV88" s="59"/>
      <c r="BW88" s="59"/>
      <c r="BX88" s="59"/>
      <c r="BY88" s="59"/>
      <c r="BZ88" s="59"/>
      <c r="CA88" s="59"/>
      <c r="CB88" s="59"/>
      <c r="CC88" s="59"/>
      <c r="CD88" s="59"/>
      <c r="CE88" s="59"/>
      <c r="CF88" s="59"/>
      <c r="CG88" s="59"/>
      <c r="CH88" s="59"/>
      <c r="CI88" s="59"/>
      <c r="CJ88" s="59"/>
      <c r="CK88" s="59"/>
      <c r="CL88" s="59"/>
      <c r="CM88" s="59"/>
      <c r="CN88" s="59"/>
      <c r="CO88" s="59"/>
      <c r="CP88" s="59"/>
      <c r="CQ88" s="59"/>
      <c r="CR88" s="59"/>
      <c r="CS88" s="59"/>
      <c r="CT88" s="59"/>
      <c r="CU88" s="59"/>
      <c r="CV88" s="59"/>
      <c r="CW88" s="59"/>
      <c r="CX88" s="59"/>
      <c r="CY88" s="59"/>
      <c r="CZ88" s="59"/>
      <c r="DA88" s="59"/>
      <c r="DB88" s="59"/>
      <c r="DC88" s="59"/>
      <c r="DD88" s="59"/>
      <c r="DE88" s="59"/>
      <c r="DF88" s="59"/>
      <c r="DG88" s="59"/>
      <c r="DH88" s="59"/>
      <c r="DI88" s="59"/>
      <c r="DJ88" s="59"/>
      <c r="DK88" s="59"/>
      <c r="DL88" s="59"/>
      <c r="DM88" s="59"/>
      <c r="DN88" s="59"/>
      <c r="DO88" s="59"/>
      <c r="DP88" s="59"/>
      <c r="DQ88" s="59"/>
      <c r="DR88" s="59"/>
      <c r="DS88" s="59"/>
      <c r="DT88" s="59"/>
      <c r="DU88" s="59"/>
      <c r="DV88" s="59"/>
      <c r="DW88" s="59"/>
      <c r="DX88" s="59"/>
      <c r="DY88" s="59"/>
      <c r="DZ88" s="59"/>
      <c r="EA88" s="59"/>
      <c r="EB88" s="59"/>
      <c r="EC88" s="59"/>
      <c r="ED88" s="59"/>
      <c r="EE88" s="59"/>
      <c r="EF88" s="59"/>
      <c r="EG88" s="59"/>
      <c r="EH88" s="59"/>
      <c r="EI88" s="59"/>
      <c r="EJ88" s="59"/>
      <c r="EK88" s="59"/>
      <c r="EL88" s="59"/>
      <c r="EM88" s="59"/>
      <c r="EN88" s="59"/>
      <c r="EO88" s="59"/>
      <c r="EP88" s="59"/>
      <c r="EQ88" s="59"/>
      <c r="ER88" s="59"/>
      <c r="ES88" s="59"/>
      <c r="ET88" s="59"/>
      <c r="EU88" s="59"/>
      <c r="EV88" s="59"/>
      <c r="EW88" s="59"/>
      <c r="EX88" s="59"/>
      <c r="EY88" s="59"/>
      <c r="EZ88" s="59"/>
      <c r="FA88" s="59"/>
      <c r="FB88" s="59"/>
      <c r="FC88" s="59"/>
      <c r="FD88" s="59"/>
      <c r="FE88" s="59"/>
      <c r="FF88" s="59"/>
      <c r="FG88" s="59"/>
      <c r="FH88" s="59"/>
      <c r="FI88" s="59"/>
      <c r="FJ88" s="59"/>
      <c r="FK88" s="59"/>
      <c r="FL88" s="59"/>
      <c r="FM88" s="59"/>
      <c r="FN88" s="59"/>
      <c r="FO88" s="59"/>
      <c r="FP88" s="59"/>
      <c r="FQ88" s="59"/>
      <c r="FR88" s="59"/>
      <c r="FS88" s="59"/>
      <c r="FT88" s="59"/>
      <c r="FU88" s="59"/>
      <c r="FV88" s="59"/>
      <c r="FW88" s="59"/>
      <c r="FX88" s="59"/>
      <c r="FY88" s="59"/>
      <c r="FZ88" s="59"/>
      <c r="GA88" s="59"/>
      <c r="GB88" s="59"/>
      <c r="GC88" s="59"/>
      <c r="GD88" s="59"/>
      <c r="GE88" s="59"/>
      <c r="GF88" s="59"/>
      <c r="GG88" s="59"/>
      <c r="GH88" s="59"/>
      <c r="GI88" s="59"/>
      <c r="GJ88" s="59"/>
      <c r="GK88" s="59"/>
      <c r="GL88" s="59"/>
      <c r="GM88" s="59"/>
      <c r="GN88" s="59"/>
      <c r="GO88" s="59"/>
      <c r="GP88" s="59"/>
      <c r="GQ88" s="59"/>
      <c r="GR88" s="59"/>
      <c r="GS88" s="59"/>
      <c r="GT88" s="59"/>
      <c r="GU88" s="59"/>
      <c r="GV88" s="59"/>
      <c r="GW88" s="59"/>
      <c r="GX88" s="59"/>
      <c r="GY88" s="59"/>
      <c r="GZ88" s="59"/>
      <c r="HA88" s="59"/>
      <c r="HB88" s="59"/>
      <c r="HC88" s="59"/>
      <c r="HD88" s="59"/>
      <c r="HE88" s="59"/>
      <c r="HF88" s="59"/>
      <c r="HG88" s="59"/>
      <c r="HH88" s="59"/>
      <c r="HI88" s="59"/>
      <c r="HJ88" s="59"/>
      <c r="HK88" s="59"/>
      <c r="HL88" s="59"/>
      <c r="HM88" s="59"/>
      <c r="HN88" s="59"/>
      <c r="HO88" s="59"/>
      <c r="HP88" s="59"/>
      <c r="HQ88" s="59"/>
      <c r="HR88" s="59"/>
      <c r="HS88" s="59"/>
      <c r="HT88" s="59"/>
      <c r="HU88" s="59"/>
      <c r="HV88" s="59"/>
      <c r="HW88" s="59"/>
      <c r="HX88" s="59"/>
      <c r="HY88" s="59"/>
      <c r="HZ88" s="59"/>
      <c r="IA88" s="59"/>
      <c r="IB88" s="59"/>
      <c r="IC88" s="59"/>
      <c r="ID88" s="59"/>
      <c r="IE88" s="59"/>
      <c r="IF88" s="59"/>
      <c r="IG88" s="59"/>
      <c r="IH88" s="59"/>
      <c r="II88" s="59"/>
      <c r="IJ88" s="59"/>
      <c r="IK88" s="59"/>
      <c r="IL88" s="59"/>
      <c r="IM88" s="59"/>
      <c r="IN88" s="59"/>
      <c r="IO88" s="59"/>
      <c r="IP88" s="59"/>
      <c r="IQ88" s="59"/>
      <c r="IR88" s="59"/>
      <c r="IS88" s="59"/>
      <c r="IT88" s="59"/>
      <c r="IU88" s="59"/>
      <c r="IV88" s="59"/>
      <c r="IW88" s="59"/>
      <c r="IX88" s="59"/>
      <c r="IY88" s="59"/>
      <c r="IZ88" s="59"/>
      <c r="JA88" s="59"/>
      <c r="JB88" s="59"/>
      <c r="JC88" s="59"/>
      <c r="JD88" s="59"/>
      <c r="JE88" s="59"/>
      <c r="JF88" s="59"/>
      <c r="JG88" s="59"/>
      <c r="JH88" s="59"/>
      <c r="JI88" s="59"/>
      <c r="JJ88" s="59"/>
      <c r="JK88" s="59"/>
      <c r="JL88" s="59"/>
      <c r="JM88" s="59"/>
      <c r="JN88" s="59"/>
      <c r="JO88" s="59"/>
      <c r="JP88" s="59"/>
      <c r="JQ88" s="59"/>
      <c r="JR88" s="59"/>
      <c r="JS88" s="59"/>
      <c r="JT88" s="59"/>
      <c r="JU88" s="59"/>
      <c r="JV88" s="59"/>
      <c r="JW88" s="59"/>
      <c r="JX88" s="59"/>
      <c r="JY88" s="59"/>
      <c r="JZ88" s="59"/>
      <c r="KA88" s="59"/>
      <c r="KB88" s="59"/>
      <c r="KC88" s="59"/>
      <c r="KD88" s="59"/>
      <c r="KE88" s="59"/>
      <c r="KF88" s="59"/>
      <c r="KG88" s="59"/>
      <c r="KH88" s="59"/>
      <c r="KI88" s="59"/>
      <c r="KJ88" s="59"/>
      <c r="KK88" s="59"/>
      <c r="KL88" s="59"/>
      <c r="KM88" s="59"/>
      <c r="KN88" s="59"/>
      <c r="KO88" s="59"/>
      <c r="KP88" s="59"/>
      <c r="KQ88" s="59"/>
      <c r="KR88" s="59"/>
      <c r="KS88" s="59"/>
      <c r="KT88" s="59"/>
      <c r="KU88" s="59"/>
      <c r="KV88" s="59"/>
      <c r="KW88" s="59"/>
      <c r="KX88" s="59"/>
      <c r="KY88" s="59"/>
      <c r="KZ88" s="59"/>
      <c r="LA88" s="59"/>
      <c r="LB88" s="59"/>
      <c r="LC88" s="59"/>
      <c r="LD88" s="59"/>
      <c r="LE88" s="59"/>
      <c r="LF88" s="59"/>
      <c r="LG88" s="59"/>
      <c r="LH88" s="59"/>
      <c r="LI88" s="59"/>
      <c r="LJ88" s="59"/>
      <c r="LK88" s="59"/>
      <c r="LL88" s="59"/>
      <c r="LM88" s="59"/>
      <c r="LN88" s="59"/>
      <c r="LO88" s="59"/>
      <c r="LP88" s="59"/>
      <c r="LQ88" s="59"/>
      <c r="LR88" s="59"/>
      <c r="LS88" s="59"/>
      <c r="LT88" s="59"/>
      <c r="LU88" s="59"/>
      <c r="LV88" s="59"/>
      <c r="LW88" s="59"/>
      <c r="LX88" s="59"/>
      <c r="LY88" s="59"/>
      <c r="LZ88" s="59"/>
      <c r="MA88" s="59"/>
      <c r="MB88" s="59"/>
      <c r="MC88" s="59"/>
      <c r="MD88" s="59"/>
      <c r="ME88" s="59"/>
      <c r="MF88" s="59"/>
      <c r="MG88" s="59"/>
      <c r="MH88" s="59"/>
      <c r="MI88" s="59"/>
      <c r="MJ88" s="59"/>
      <c r="MK88" s="59"/>
      <c r="ML88" s="59"/>
      <c r="MM88" s="59"/>
      <c r="MN88" s="59"/>
      <c r="MO88" s="59"/>
      <c r="MP88" s="59"/>
      <c r="MQ88" s="59"/>
      <c r="MR88" s="59"/>
      <c r="MS88" s="59"/>
      <c r="MT88" s="59"/>
      <c r="MU88" s="59"/>
      <c r="MV88" s="59"/>
      <c r="MW88" s="59"/>
      <c r="MX88" s="59"/>
      <c r="MY88" s="59"/>
      <c r="MZ88" s="59"/>
      <c r="NA88" s="59"/>
      <c r="NB88" s="59"/>
      <c r="NC88" s="59"/>
      <c r="ND88" s="59"/>
      <c r="NE88" s="59"/>
      <c r="NF88" s="59"/>
      <c r="NG88" s="59"/>
      <c r="NH88" s="59"/>
      <c r="NI88" s="59"/>
      <c r="NJ88" s="59"/>
      <c r="NK88" s="59"/>
      <c r="NL88" s="60"/>
    </row>
    <row r="89" spans="1:376" x14ac:dyDescent="0.15">
      <c r="A89" s="23">
        <v>39</v>
      </c>
      <c r="B89" s="24" t="s">
        <v>140</v>
      </c>
      <c r="C89" s="45" t="s">
        <v>174</v>
      </c>
      <c r="D89" s="26" t="s">
        <v>164</v>
      </c>
      <c r="E89" s="27" t="s">
        <v>13</v>
      </c>
      <c r="F89" s="28">
        <v>43036</v>
      </c>
      <c r="G89" s="28">
        <v>43036</v>
      </c>
      <c r="H89" s="29">
        <f t="shared" si="234"/>
        <v>4</v>
      </c>
      <c r="I89" s="30"/>
      <c r="J89" s="31"/>
      <c r="K89" s="32"/>
      <c r="L89" s="32"/>
      <c r="M89" s="32"/>
      <c r="N89" s="32"/>
      <c r="O89" s="32"/>
      <c r="P89" s="32"/>
      <c r="Q89" s="32"/>
      <c r="R89" s="32"/>
      <c r="S89" s="32"/>
      <c r="T89" s="32"/>
      <c r="U89" s="32"/>
      <c r="V89" s="32"/>
      <c r="W89" s="32"/>
      <c r="X89" s="32"/>
      <c r="Y89" s="32"/>
      <c r="Z89" s="32"/>
      <c r="AA89" s="32"/>
      <c r="AB89" s="32"/>
      <c r="AC89" s="32"/>
      <c r="AD89" s="32"/>
      <c r="AE89" s="32"/>
      <c r="AF89" s="32"/>
      <c r="AG89" s="32"/>
      <c r="AH89" s="32"/>
      <c r="AI89" s="32"/>
      <c r="AJ89" s="32"/>
      <c r="AK89" s="32"/>
      <c r="AL89" s="32"/>
      <c r="AM89" s="32"/>
      <c r="AN89" s="32"/>
      <c r="AO89" s="32"/>
      <c r="AP89" s="33"/>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33"/>
      <c r="CA89" s="33"/>
      <c r="CB89" s="33"/>
      <c r="CC89" s="33"/>
      <c r="CD89" s="33"/>
      <c r="CE89" s="33"/>
      <c r="CF89" s="33"/>
      <c r="CG89" s="33"/>
      <c r="CH89" s="33"/>
      <c r="CI89" s="33"/>
      <c r="CJ89" s="33"/>
      <c r="CK89" s="33"/>
      <c r="CL89" s="33"/>
      <c r="CM89" s="33"/>
      <c r="CN89" s="33"/>
      <c r="CO89" s="33"/>
      <c r="CP89" s="33"/>
      <c r="CQ89" s="33"/>
      <c r="CR89" s="33"/>
      <c r="CS89" s="33"/>
      <c r="CT89" s="33"/>
      <c r="CU89" s="33"/>
      <c r="CV89" s="33"/>
      <c r="CW89" s="33"/>
      <c r="CX89" s="33"/>
      <c r="CY89" s="33"/>
      <c r="CZ89" s="33"/>
      <c r="DA89" s="33"/>
      <c r="DB89" s="33"/>
      <c r="DC89" s="33"/>
      <c r="DD89" s="33"/>
      <c r="DE89" s="33"/>
      <c r="DF89" s="33"/>
      <c r="DG89" s="33"/>
      <c r="DH89" s="33"/>
      <c r="DI89" s="33"/>
      <c r="DJ89" s="33"/>
      <c r="DK89" s="33"/>
      <c r="DL89" s="33"/>
      <c r="DM89" s="33"/>
      <c r="DN89" s="33"/>
      <c r="DO89" s="33"/>
      <c r="DP89" s="33"/>
      <c r="DQ89" s="33"/>
      <c r="DR89" s="33"/>
      <c r="DS89" s="33"/>
      <c r="DT89" s="33"/>
      <c r="DU89" s="33"/>
      <c r="DV89" s="33"/>
      <c r="DW89" s="33"/>
      <c r="DX89" s="33"/>
      <c r="DY89" s="33"/>
      <c r="DZ89" s="33"/>
      <c r="EA89" s="33"/>
      <c r="EB89" s="33"/>
      <c r="EC89" s="33"/>
      <c r="ED89" s="33"/>
      <c r="EE89" s="33"/>
      <c r="EF89" s="33"/>
      <c r="EG89" s="33"/>
      <c r="EH89" s="33"/>
      <c r="EI89" s="33"/>
      <c r="EJ89" s="33"/>
      <c r="EK89" s="33"/>
      <c r="EL89" s="33"/>
      <c r="EM89" s="33"/>
      <c r="EN89" s="33"/>
      <c r="EO89" s="33"/>
      <c r="EP89" s="33"/>
      <c r="EQ89" s="33"/>
      <c r="ER89" s="33"/>
      <c r="ES89" s="33"/>
      <c r="ET89" s="33"/>
      <c r="EU89" s="33"/>
      <c r="EV89" s="33"/>
      <c r="EW89" s="33"/>
      <c r="EX89" s="33"/>
      <c r="EY89" s="33"/>
      <c r="EZ89" s="33"/>
      <c r="FA89" s="33"/>
      <c r="FB89" s="33"/>
      <c r="FC89" s="33"/>
      <c r="FD89" s="33"/>
      <c r="FE89" s="33"/>
      <c r="FF89" s="33"/>
      <c r="FG89" s="33"/>
      <c r="FH89" s="33"/>
      <c r="FI89" s="33"/>
      <c r="FJ89" s="33"/>
      <c r="FK89" s="33"/>
      <c r="FL89" s="33"/>
      <c r="FM89" s="33"/>
      <c r="FN89" s="33"/>
      <c r="FO89" s="33"/>
      <c r="FP89" s="33"/>
      <c r="FQ89" s="33"/>
      <c r="FR89" s="33"/>
      <c r="FS89" s="33"/>
      <c r="FT89" s="33"/>
      <c r="FU89" s="33"/>
      <c r="FV89" s="33"/>
      <c r="FW89" s="33"/>
      <c r="FX89" s="33"/>
      <c r="FY89" s="33"/>
      <c r="FZ89" s="33"/>
      <c r="GA89" s="33"/>
      <c r="GB89" s="33"/>
      <c r="GC89" s="33"/>
      <c r="GD89" s="33"/>
      <c r="GE89" s="33"/>
      <c r="GF89" s="33"/>
      <c r="GG89" s="33"/>
      <c r="GH89" s="33"/>
      <c r="GI89" s="33"/>
      <c r="GJ89" s="33"/>
      <c r="GK89" s="33"/>
      <c r="GL89" s="33"/>
      <c r="GM89" s="33"/>
      <c r="GN89" s="33"/>
      <c r="GO89" s="33"/>
      <c r="GP89" s="33"/>
      <c r="GQ89" s="33"/>
      <c r="GR89" s="33"/>
      <c r="GS89" s="33"/>
      <c r="GT89" s="33"/>
      <c r="GU89" s="33"/>
      <c r="GV89" s="33"/>
      <c r="GW89" s="33"/>
      <c r="GX89" s="33"/>
      <c r="GY89" s="33"/>
      <c r="GZ89" s="33"/>
      <c r="HA89" s="33"/>
      <c r="HB89" s="33"/>
      <c r="HC89" s="33"/>
      <c r="HD89" s="33"/>
      <c r="HE89" s="33"/>
      <c r="HF89" s="33"/>
      <c r="HG89" s="33"/>
      <c r="HH89" s="33"/>
      <c r="HI89" s="33"/>
      <c r="HJ89" s="33">
        <v>4</v>
      </c>
      <c r="HK89" s="33"/>
      <c r="HL89" s="33"/>
      <c r="HM89" s="33"/>
      <c r="HN89" s="33"/>
      <c r="HO89" s="33"/>
      <c r="HP89" s="33"/>
      <c r="HQ89" s="33"/>
      <c r="HR89" s="33"/>
      <c r="HS89" s="33"/>
      <c r="HT89" s="33"/>
      <c r="HU89" s="33"/>
      <c r="HV89" s="33"/>
      <c r="HW89" s="33"/>
      <c r="HX89" s="33"/>
      <c r="HY89" s="33"/>
      <c r="HZ89" s="33"/>
      <c r="IA89" s="33"/>
      <c r="IB89" s="33"/>
      <c r="IC89" s="33"/>
      <c r="ID89" s="33"/>
      <c r="IE89" s="33"/>
      <c r="IF89" s="33"/>
      <c r="IG89" s="33"/>
      <c r="IH89" s="33"/>
      <c r="II89" s="33"/>
      <c r="IJ89" s="33"/>
      <c r="IK89" s="33"/>
      <c r="IL89" s="33"/>
      <c r="IM89" s="33"/>
      <c r="IN89" s="33"/>
      <c r="IO89" s="33"/>
      <c r="IP89" s="33"/>
      <c r="IQ89" s="33"/>
      <c r="IR89" s="33"/>
      <c r="IS89" s="33"/>
      <c r="IT89" s="33"/>
      <c r="IU89" s="33"/>
      <c r="IV89" s="33"/>
      <c r="IW89" s="33"/>
      <c r="IX89" s="33"/>
      <c r="IY89" s="33"/>
      <c r="IZ89" s="33"/>
      <c r="JA89" s="33"/>
      <c r="JB89" s="33"/>
      <c r="JC89" s="33"/>
      <c r="JD89" s="33"/>
      <c r="JE89" s="33"/>
      <c r="JF89" s="33"/>
      <c r="JG89" s="33"/>
      <c r="JH89" s="33"/>
      <c r="JI89" s="33"/>
      <c r="JJ89" s="33"/>
      <c r="JK89" s="33"/>
      <c r="JL89" s="33"/>
      <c r="JM89" s="33"/>
      <c r="JN89" s="33"/>
      <c r="JO89" s="33"/>
      <c r="JP89" s="33"/>
      <c r="JQ89" s="33"/>
      <c r="JR89" s="33"/>
      <c r="JS89" s="33"/>
      <c r="JT89" s="33"/>
      <c r="JU89" s="33"/>
      <c r="JV89" s="33"/>
      <c r="JW89" s="33"/>
      <c r="JX89" s="33"/>
      <c r="JY89" s="33"/>
      <c r="JZ89" s="33"/>
      <c r="KA89" s="33"/>
      <c r="KB89" s="33"/>
      <c r="KC89" s="33"/>
      <c r="KD89" s="33"/>
      <c r="KE89" s="33"/>
      <c r="KF89" s="33"/>
      <c r="KG89" s="33"/>
      <c r="KH89" s="33"/>
      <c r="KI89" s="33"/>
      <c r="KJ89" s="33"/>
      <c r="KK89" s="33"/>
      <c r="KL89" s="33"/>
      <c r="KM89" s="33"/>
      <c r="KN89" s="33"/>
      <c r="KO89" s="33"/>
      <c r="KP89" s="33"/>
      <c r="KQ89" s="33"/>
      <c r="KR89" s="33"/>
      <c r="KS89" s="33"/>
      <c r="KT89" s="33"/>
      <c r="KU89" s="33"/>
      <c r="KV89" s="33"/>
      <c r="KW89" s="33"/>
      <c r="KX89" s="33"/>
      <c r="KY89" s="33"/>
      <c r="KZ89" s="33"/>
      <c r="LA89" s="33"/>
      <c r="LB89" s="33"/>
      <c r="LC89" s="33"/>
      <c r="LD89" s="33"/>
      <c r="LE89" s="33"/>
      <c r="LF89" s="33"/>
      <c r="LG89" s="33"/>
      <c r="LH89" s="33"/>
      <c r="LI89" s="33"/>
      <c r="LJ89" s="33"/>
      <c r="LK89" s="33"/>
      <c r="LL89" s="33"/>
      <c r="LM89" s="33"/>
      <c r="LN89" s="33"/>
      <c r="LO89" s="33"/>
      <c r="LP89" s="33"/>
      <c r="LQ89" s="33"/>
      <c r="LR89" s="33"/>
      <c r="LS89" s="33"/>
      <c r="LT89" s="33"/>
      <c r="LU89" s="33"/>
      <c r="LV89" s="33"/>
      <c r="LW89" s="33"/>
      <c r="LX89" s="33"/>
      <c r="LY89" s="33"/>
      <c r="LZ89" s="33"/>
      <c r="MA89" s="33"/>
      <c r="MB89" s="33"/>
      <c r="MC89" s="33"/>
      <c r="MD89" s="33"/>
      <c r="ME89" s="33"/>
      <c r="MF89" s="33"/>
      <c r="MG89" s="33"/>
      <c r="MH89" s="33"/>
      <c r="MI89" s="33"/>
      <c r="MJ89" s="33"/>
      <c r="MK89" s="33"/>
      <c r="ML89" s="33"/>
      <c r="MM89" s="33"/>
      <c r="MN89" s="33"/>
      <c r="MO89" s="33"/>
      <c r="MP89" s="33"/>
      <c r="MQ89" s="33"/>
      <c r="MR89" s="33"/>
      <c r="MS89" s="33"/>
      <c r="MT89" s="33"/>
      <c r="MU89" s="33"/>
      <c r="MV89" s="33"/>
      <c r="MW89" s="33"/>
      <c r="MX89" s="33"/>
      <c r="MY89" s="33"/>
      <c r="MZ89" s="33"/>
      <c r="NA89" s="33"/>
      <c r="NB89" s="33"/>
      <c r="NC89" s="33"/>
      <c r="ND89" s="33"/>
      <c r="NE89" s="33"/>
      <c r="NF89" s="33"/>
      <c r="NG89" s="33"/>
      <c r="NH89" s="33"/>
      <c r="NI89" s="33"/>
      <c r="NJ89" s="33"/>
      <c r="NK89" s="33"/>
      <c r="NL89" s="34"/>
    </row>
    <row r="90" spans="1:376" x14ac:dyDescent="0.15">
      <c r="A90" s="35">
        <f>A89</f>
        <v>39</v>
      </c>
      <c r="B90" s="36" t="str">
        <f>B89</f>
        <v>DD</v>
      </c>
      <c r="C90" s="36" t="str">
        <f>C89</f>
        <v>監視端末単体評価仕様書レビュー</v>
      </c>
      <c r="D90" s="37" t="str">
        <f>D89</f>
        <v>伊藤</v>
      </c>
      <c r="E90" s="53" t="s">
        <v>0</v>
      </c>
      <c r="F90" s="54"/>
      <c r="G90" s="54"/>
      <c r="H90" s="55">
        <f t="shared" si="234"/>
        <v>0</v>
      </c>
      <c r="I90" s="56">
        <f>IF(OR(H89="",H90=""),"",H90-H89)</f>
        <v>-4</v>
      </c>
      <c r="J90" s="57"/>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c r="BS90" s="59"/>
      <c r="BT90" s="59"/>
      <c r="BU90" s="59"/>
      <c r="BV90" s="59"/>
      <c r="BW90" s="59"/>
      <c r="BX90" s="59"/>
      <c r="BY90" s="59"/>
      <c r="BZ90" s="59"/>
      <c r="CA90" s="59"/>
      <c r="CB90" s="59"/>
      <c r="CC90" s="59"/>
      <c r="CD90" s="59"/>
      <c r="CE90" s="59"/>
      <c r="CF90" s="59"/>
      <c r="CG90" s="59"/>
      <c r="CH90" s="59"/>
      <c r="CI90" s="59"/>
      <c r="CJ90" s="59"/>
      <c r="CK90" s="59"/>
      <c r="CL90" s="59"/>
      <c r="CM90" s="59"/>
      <c r="CN90" s="59"/>
      <c r="CO90" s="59"/>
      <c r="CP90" s="59"/>
      <c r="CQ90" s="59"/>
      <c r="CR90" s="59"/>
      <c r="CS90" s="59"/>
      <c r="CT90" s="59"/>
      <c r="CU90" s="59"/>
      <c r="CV90" s="59"/>
      <c r="CW90" s="59"/>
      <c r="CX90" s="59"/>
      <c r="CY90" s="59"/>
      <c r="CZ90" s="59"/>
      <c r="DA90" s="59"/>
      <c r="DB90" s="59"/>
      <c r="DC90" s="59"/>
      <c r="DD90" s="59"/>
      <c r="DE90" s="59"/>
      <c r="DF90" s="59"/>
      <c r="DG90" s="59"/>
      <c r="DH90" s="59"/>
      <c r="DI90" s="59"/>
      <c r="DJ90" s="59"/>
      <c r="DK90" s="59"/>
      <c r="DL90" s="59"/>
      <c r="DM90" s="59"/>
      <c r="DN90" s="59"/>
      <c r="DO90" s="59"/>
      <c r="DP90" s="59"/>
      <c r="DQ90" s="59"/>
      <c r="DR90" s="59"/>
      <c r="DS90" s="59"/>
      <c r="DT90" s="59"/>
      <c r="DU90" s="59"/>
      <c r="DV90" s="59"/>
      <c r="DW90" s="59"/>
      <c r="DX90" s="59"/>
      <c r="DY90" s="59"/>
      <c r="DZ90" s="59"/>
      <c r="EA90" s="59"/>
      <c r="EB90" s="59"/>
      <c r="EC90" s="59"/>
      <c r="ED90" s="59"/>
      <c r="EE90" s="59"/>
      <c r="EF90" s="59"/>
      <c r="EG90" s="59"/>
      <c r="EH90" s="59"/>
      <c r="EI90" s="59"/>
      <c r="EJ90" s="59"/>
      <c r="EK90" s="59"/>
      <c r="EL90" s="59"/>
      <c r="EM90" s="59"/>
      <c r="EN90" s="59"/>
      <c r="EO90" s="59"/>
      <c r="EP90" s="59"/>
      <c r="EQ90" s="59"/>
      <c r="ER90" s="59"/>
      <c r="ES90" s="59"/>
      <c r="ET90" s="59"/>
      <c r="EU90" s="59"/>
      <c r="EV90" s="59"/>
      <c r="EW90" s="59"/>
      <c r="EX90" s="59"/>
      <c r="EY90" s="59"/>
      <c r="EZ90" s="59"/>
      <c r="FA90" s="59"/>
      <c r="FB90" s="59"/>
      <c r="FC90" s="59"/>
      <c r="FD90" s="59"/>
      <c r="FE90" s="59"/>
      <c r="FF90" s="59"/>
      <c r="FG90" s="59"/>
      <c r="FH90" s="59"/>
      <c r="FI90" s="59"/>
      <c r="FJ90" s="59"/>
      <c r="FK90" s="59"/>
      <c r="FL90" s="59"/>
      <c r="FM90" s="59"/>
      <c r="FN90" s="59"/>
      <c r="FO90" s="59"/>
      <c r="FP90" s="59"/>
      <c r="FQ90" s="59"/>
      <c r="FR90" s="59"/>
      <c r="FS90" s="59"/>
      <c r="FT90" s="59"/>
      <c r="FU90" s="59"/>
      <c r="FV90" s="59"/>
      <c r="FW90" s="59"/>
      <c r="FX90" s="59"/>
      <c r="FY90" s="59"/>
      <c r="FZ90" s="59"/>
      <c r="GA90" s="59"/>
      <c r="GB90" s="59"/>
      <c r="GC90" s="59"/>
      <c r="GD90" s="59"/>
      <c r="GE90" s="59"/>
      <c r="GF90" s="59"/>
      <c r="GG90" s="59"/>
      <c r="GH90" s="59"/>
      <c r="GI90" s="59"/>
      <c r="GJ90" s="59"/>
      <c r="GK90" s="59"/>
      <c r="GL90" s="59"/>
      <c r="GM90" s="59"/>
      <c r="GN90" s="59"/>
      <c r="GO90" s="59"/>
      <c r="GP90" s="59"/>
      <c r="GQ90" s="59"/>
      <c r="GR90" s="59"/>
      <c r="GS90" s="59"/>
      <c r="GT90" s="59"/>
      <c r="GU90" s="59"/>
      <c r="GV90" s="59"/>
      <c r="GW90" s="59"/>
      <c r="GX90" s="59"/>
      <c r="GY90" s="59"/>
      <c r="GZ90" s="59"/>
      <c r="HA90" s="59"/>
      <c r="HB90" s="59"/>
      <c r="HC90" s="59"/>
      <c r="HD90" s="59"/>
      <c r="HE90" s="59"/>
      <c r="HF90" s="59"/>
      <c r="HG90" s="59"/>
      <c r="HH90" s="59"/>
      <c r="HI90" s="59"/>
      <c r="HJ90" s="59"/>
      <c r="HK90" s="59"/>
      <c r="HL90" s="59"/>
      <c r="HM90" s="59"/>
      <c r="HN90" s="59"/>
      <c r="HO90" s="59"/>
      <c r="HP90" s="59"/>
      <c r="HQ90" s="59"/>
      <c r="HR90" s="59"/>
      <c r="HS90" s="59"/>
      <c r="HT90" s="59"/>
      <c r="HU90" s="59"/>
      <c r="HV90" s="59"/>
      <c r="HW90" s="59"/>
      <c r="HX90" s="59"/>
      <c r="HY90" s="59"/>
      <c r="HZ90" s="59"/>
      <c r="IA90" s="59"/>
      <c r="IB90" s="59"/>
      <c r="IC90" s="59"/>
      <c r="ID90" s="59"/>
      <c r="IE90" s="59"/>
      <c r="IF90" s="59"/>
      <c r="IG90" s="59"/>
      <c r="IH90" s="59"/>
      <c r="II90" s="59"/>
      <c r="IJ90" s="59"/>
      <c r="IK90" s="59"/>
      <c r="IL90" s="59"/>
      <c r="IM90" s="59"/>
      <c r="IN90" s="59"/>
      <c r="IO90" s="59"/>
      <c r="IP90" s="59"/>
      <c r="IQ90" s="59"/>
      <c r="IR90" s="59"/>
      <c r="IS90" s="59"/>
      <c r="IT90" s="59"/>
      <c r="IU90" s="59"/>
      <c r="IV90" s="59"/>
      <c r="IW90" s="59"/>
      <c r="IX90" s="59"/>
      <c r="IY90" s="59"/>
      <c r="IZ90" s="59"/>
      <c r="JA90" s="59"/>
      <c r="JB90" s="59"/>
      <c r="JC90" s="59"/>
      <c r="JD90" s="59"/>
      <c r="JE90" s="59"/>
      <c r="JF90" s="59"/>
      <c r="JG90" s="59"/>
      <c r="JH90" s="59"/>
      <c r="JI90" s="59"/>
      <c r="JJ90" s="59"/>
      <c r="JK90" s="59"/>
      <c r="JL90" s="59"/>
      <c r="JM90" s="59"/>
      <c r="JN90" s="59"/>
      <c r="JO90" s="59"/>
      <c r="JP90" s="59"/>
      <c r="JQ90" s="59"/>
      <c r="JR90" s="59"/>
      <c r="JS90" s="59"/>
      <c r="JT90" s="59"/>
      <c r="JU90" s="59"/>
      <c r="JV90" s="59"/>
      <c r="JW90" s="59"/>
      <c r="JX90" s="59"/>
      <c r="JY90" s="59"/>
      <c r="JZ90" s="59"/>
      <c r="KA90" s="59"/>
      <c r="KB90" s="59"/>
      <c r="KC90" s="59"/>
      <c r="KD90" s="59"/>
      <c r="KE90" s="59"/>
      <c r="KF90" s="59"/>
      <c r="KG90" s="59"/>
      <c r="KH90" s="59"/>
      <c r="KI90" s="59"/>
      <c r="KJ90" s="59"/>
      <c r="KK90" s="59"/>
      <c r="KL90" s="59"/>
      <c r="KM90" s="59"/>
      <c r="KN90" s="59"/>
      <c r="KO90" s="59"/>
      <c r="KP90" s="59"/>
      <c r="KQ90" s="59"/>
      <c r="KR90" s="59"/>
      <c r="KS90" s="59"/>
      <c r="KT90" s="59"/>
      <c r="KU90" s="59"/>
      <c r="KV90" s="59"/>
      <c r="KW90" s="59"/>
      <c r="KX90" s="59"/>
      <c r="KY90" s="59"/>
      <c r="KZ90" s="59"/>
      <c r="LA90" s="59"/>
      <c r="LB90" s="59"/>
      <c r="LC90" s="59"/>
      <c r="LD90" s="59"/>
      <c r="LE90" s="59"/>
      <c r="LF90" s="59"/>
      <c r="LG90" s="59"/>
      <c r="LH90" s="59"/>
      <c r="LI90" s="59"/>
      <c r="LJ90" s="59"/>
      <c r="LK90" s="59"/>
      <c r="LL90" s="59"/>
      <c r="LM90" s="59"/>
      <c r="LN90" s="59"/>
      <c r="LO90" s="59"/>
      <c r="LP90" s="59"/>
      <c r="LQ90" s="59"/>
      <c r="LR90" s="59"/>
      <c r="LS90" s="59"/>
      <c r="LT90" s="59"/>
      <c r="LU90" s="59"/>
      <c r="LV90" s="59"/>
      <c r="LW90" s="59"/>
      <c r="LX90" s="59"/>
      <c r="LY90" s="59"/>
      <c r="LZ90" s="59"/>
      <c r="MA90" s="59"/>
      <c r="MB90" s="59"/>
      <c r="MC90" s="59"/>
      <c r="MD90" s="59"/>
      <c r="ME90" s="59"/>
      <c r="MF90" s="59"/>
      <c r="MG90" s="59"/>
      <c r="MH90" s="59"/>
      <c r="MI90" s="59"/>
      <c r="MJ90" s="59"/>
      <c r="MK90" s="59"/>
      <c r="ML90" s="59"/>
      <c r="MM90" s="59"/>
      <c r="MN90" s="59"/>
      <c r="MO90" s="59"/>
      <c r="MP90" s="59"/>
      <c r="MQ90" s="59"/>
      <c r="MR90" s="59"/>
      <c r="MS90" s="59"/>
      <c r="MT90" s="59"/>
      <c r="MU90" s="59"/>
      <c r="MV90" s="59"/>
      <c r="MW90" s="59"/>
      <c r="MX90" s="59"/>
      <c r="MY90" s="59"/>
      <c r="MZ90" s="59"/>
      <c r="NA90" s="59"/>
      <c r="NB90" s="59"/>
      <c r="NC90" s="59"/>
      <c r="ND90" s="59"/>
      <c r="NE90" s="59"/>
      <c r="NF90" s="59"/>
      <c r="NG90" s="59"/>
      <c r="NH90" s="59"/>
      <c r="NI90" s="59"/>
      <c r="NJ90" s="59"/>
      <c r="NK90" s="59"/>
      <c r="NL90" s="60"/>
    </row>
    <row r="91" spans="1:376" x14ac:dyDescent="0.15">
      <c r="A91" s="23">
        <v>40</v>
      </c>
      <c r="B91" s="24" t="s">
        <v>140</v>
      </c>
      <c r="C91" s="45" t="s">
        <v>173</v>
      </c>
      <c r="D91" s="26" t="s">
        <v>166</v>
      </c>
      <c r="E91" s="27" t="s">
        <v>13</v>
      </c>
      <c r="F91" s="28">
        <v>43037</v>
      </c>
      <c r="G91" s="28">
        <v>43044</v>
      </c>
      <c r="H91" s="29">
        <f t="shared" si="234"/>
        <v>6</v>
      </c>
      <c r="I91" s="30"/>
      <c r="J91" s="31"/>
      <c r="K91" s="32"/>
      <c r="L91" s="32"/>
      <c r="M91" s="32"/>
      <c r="N91" s="32"/>
      <c r="O91" s="32"/>
      <c r="P91" s="32"/>
      <c r="Q91" s="32"/>
      <c r="R91" s="32"/>
      <c r="S91" s="32"/>
      <c r="T91" s="32"/>
      <c r="U91" s="32"/>
      <c r="V91" s="32"/>
      <c r="W91" s="32"/>
      <c r="X91" s="32"/>
      <c r="Y91" s="32"/>
      <c r="Z91" s="32"/>
      <c r="AA91" s="32"/>
      <c r="AB91" s="32"/>
      <c r="AC91" s="32"/>
      <c r="AD91" s="32"/>
      <c r="AE91" s="32"/>
      <c r="AF91" s="32"/>
      <c r="AG91" s="32"/>
      <c r="AH91" s="32"/>
      <c r="AI91" s="32"/>
      <c r="AJ91" s="32"/>
      <c r="AK91" s="32"/>
      <c r="AL91" s="32"/>
      <c r="AM91" s="32"/>
      <c r="AN91" s="32"/>
      <c r="AO91" s="32"/>
      <c r="AP91" s="33"/>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33"/>
      <c r="CA91" s="33"/>
      <c r="CB91" s="33"/>
      <c r="CC91" s="33"/>
      <c r="CD91" s="33"/>
      <c r="CE91" s="33"/>
      <c r="CF91" s="33"/>
      <c r="CG91" s="33"/>
      <c r="CH91" s="33"/>
      <c r="CI91" s="33"/>
      <c r="CJ91" s="33"/>
      <c r="CK91" s="33"/>
      <c r="CL91" s="33"/>
      <c r="CM91" s="33"/>
      <c r="CN91" s="33"/>
      <c r="CO91" s="33"/>
      <c r="CP91" s="33"/>
      <c r="CQ91" s="33"/>
      <c r="CR91" s="33"/>
      <c r="CS91" s="33"/>
      <c r="CT91" s="33"/>
      <c r="CU91" s="33"/>
      <c r="CV91" s="33"/>
      <c r="CW91" s="33"/>
      <c r="CX91" s="33"/>
      <c r="CY91" s="33"/>
      <c r="CZ91" s="33"/>
      <c r="DA91" s="33"/>
      <c r="DB91" s="33"/>
      <c r="DC91" s="33"/>
      <c r="DD91" s="33"/>
      <c r="DE91" s="33"/>
      <c r="DF91" s="33"/>
      <c r="DG91" s="33"/>
      <c r="DH91" s="33"/>
      <c r="DI91" s="33"/>
      <c r="DJ91" s="33"/>
      <c r="DK91" s="33"/>
      <c r="DL91" s="33"/>
      <c r="DM91" s="33"/>
      <c r="DN91" s="33"/>
      <c r="DO91" s="33"/>
      <c r="DP91" s="33"/>
      <c r="DQ91" s="33"/>
      <c r="DR91" s="33"/>
      <c r="DS91" s="33"/>
      <c r="DT91" s="33"/>
      <c r="DU91" s="33"/>
      <c r="DV91" s="33"/>
      <c r="DW91" s="33"/>
      <c r="DX91" s="33"/>
      <c r="DY91" s="33"/>
      <c r="DZ91" s="33"/>
      <c r="EA91" s="33"/>
      <c r="EB91" s="33"/>
      <c r="EC91" s="33"/>
      <c r="ED91" s="33"/>
      <c r="EE91" s="33"/>
      <c r="EF91" s="33"/>
      <c r="EG91" s="33"/>
      <c r="EH91" s="33"/>
      <c r="EI91" s="33"/>
      <c r="EJ91" s="33"/>
      <c r="EK91" s="33"/>
      <c r="EL91" s="33"/>
      <c r="EM91" s="33"/>
      <c r="EN91" s="33"/>
      <c r="EO91" s="33"/>
      <c r="EP91" s="33"/>
      <c r="EQ91" s="33"/>
      <c r="ER91" s="33"/>
      <c r="ES91" s="33"/>
      <c r="ET91" s="33"/>
      <c r="EU91" s="33"/>
      <c r="EV91" s="33"/>
      <c r="EW91" s="33"/>
      <c r="EX91" s="33"/>
      <c r="EY91" s="33"/>
      <c r="EZ91" s="33"/>
      <c r="FA91" s="33"/>
      <c r="FB91" s="33"/>
      <c r="FC91" s="33"/>
      <c r="FD91" s="33"/>
      <c r="FE91" s="33"/>
      <c r="FF91" s="33"/>
      <c r="FG91" s="33"/>
      <c r="FH91" s="33"/>
      <c r="FI91" s="33"/>
      <c r="FJ91" s="33"/>
      <c r="FK91" s="33"/>
      <c r="FL91" s="33"/>
      <c r="FM91" s="33"/>
      <c r="FN91" s="33"/>
      <c r="FO91" s="33"/>
      <c r="FP91" s="33"/>
      <c r="FQ91" s="33"/>
      <c r="FR91" s="33"/>
      <c r="FS91" s="33"/>
      <c r="FT91" s="33"/>
      <c r="FU91" s="33"/>
      <c r="FV91" s="33"/>
      <c r="FW91" s="33"/>
      <c r="FX91" s="33"/>
      <c r="FY91" s="33"/>
      <c r="FZ91" s="33"/>
      <c r="GA91" s="33"/>
      <c r="GB91" s="33"/>
      <c r="GC91" s="33"/>
      <c r="GD91" s="33"/>
      <c r="GE91" s="33"/>
      <c r="GF91" s="33"/>
      <c r="GG91" s="33"/>
      <c r="GH91" s="33"/>
      <c r="GI91" s="33"/>
      <c r="GJ91" s="33"/>
      <c r="GK91" s="33"/>
      <c r="GL91" s="33"/>
      <c r="GM91" s="33"/>
      <c r="GN91" s="33"/>
      <c r="GO91" s="33"/>
      <c r="GP91" s="33"/>
      <c r="GQ91" s="33"/>
      <c r="GR91" s="33"/>
      <c r="GS91" s="33"/>
      <c r="GT91" s="33"/>
      <c r="GU91" s="33"/>
      <c r="GV91" s="33"/>
      <c r="GW91" s="33"/>
      <c r="GX91" s="33"/>
      <c r="GY91" s="33"/>
      <c r="GZ91" s="33"/>
      <c r="HA91" s="33"/>
      <c r="HB91" s="33"/>
      <c r="HC91" s="33"/>
      <c r="HD91" s="33"/>
      <c r="HE91" s="33"/>
      <c r="HF91" s="33"/>
      <c r="HG91" s="33"/>
      <c r="HH91" s="33"/>
      <c r="HI91" s="33"/>
      <c r="HJ91" s="33"/>
      <c r="HK91" s="33">
        <v>2</v>
      </c>
      <c r="HL91" s="33"/>
      <c r="HM91" s="33"/>
      <c r="HN91" s="33"/>
      <c r="HO91" s="33"/>
      <c r="HP91" s="33"/>
      <c r="HQ91" s="33">
        <v>4</v>
      </c>
      <c r="HR91" s="33"/>
      <c r="HS91" s="33"/>
      <c r="HT91" s="33"/>
      <c r="HU91" s="33"/>
      <c r="HV91" s="33"/>
      <c r="HW91" s="33"/>
      <c r="HX91" s="33"/>
      <c r="HY91" s="33"/>
      <c r="HZ91" s="33"/>
      <c r="IA91" s="33"/>
      <c r="IB91" s="33"/>
      <c r="IC91" s="33"/>
      <c r="ID91" s="33"/>
      <c r="IE91" s="33"/>
      <c r="IF91" s="33"/>
      <c r="IG91" s="33"/>
      <c r="IH91" s="33"/>
      <c r="II91" s="33"/>
      <c r="IJ91" s="33"/>
      <c r="IK91" s="33"/>
      <c r="IL91" s="33"/>
      <c r="IM91" s="33"/>
      <c r="IN91" s="33"/>
      <c r="IO91" s="33"/>
      <c r="IP91" s="33"/>
      <c r="IQ91" s="33"/>
      <c r="IR91" s="33"/>
      <c r="IS91" s="33"/>
      <c r="IT91" s="33"/>
      <c r="IU91" s="33"/>
      <c r="IV91" s="33"/>
      <c r="IW91" s="33"/>
      <c r="IX91" s="33"/>
      <c r="IY91" s="33"/>
      <c r="IZ91" s="33"/>
      <c r="JA91" s="33"/>
      <c r="JB91" s="33"/>
      <c r="JC91" s="33"/>
      <c r="JD91" s="33"/>
      <c r="JE91" s="33"/>
      <c r="JF91" s="33"/>
      <c r="JG91" s="33"/>
      <c r="JH91" s="33"/>
      <c r="JI91" s="33"/>
      <c r="JJ91" s="33"/>
      <c r="JK91" s="33"/>
      <c r="JL91" s="33"/>
      <c r="JM91" s="33"/>
      <c r="JN91" s="33"/>
      <c r="JO91" s="33"/>
      <c r="JP91" s="33"/>
      <c r="JQ91" s="33"/>
      <c r="JR91" s="33"/>
      <c r="JS91" s="33"/>
      <c r="JT91" s="33"/>
      <c r="JU91" s="33"/>
      <c r="JV91" s="33"/>
      <c r="JW91" s="33"/>
      <c r="JX91" s="33"/>
      <c r="JY91" s="33"/>
      <c r="JZ91" s="33"/>
      <c r="KA91" s="33"/>
      <c r="KB91" s="33"/>
      <c r="KC91" s="33"/>
      <c r="KD91" s="33"/>
      <c r="KE91" s="33"/>
      <c r="KF91" s="33"/>
      <c r="KG91" s="33"/>
      <c r="KH91" s="33"/>
      <c r="KI91" s="33"/>
      <c r="KJ91" s="33"/>
      <c r="KK91" s="33"/>
      <c r="KL91" s="33"/>
      <c r="KM91" s="33"/>
      <c r="KN91" s="33"/>
      <c r="KO91" s="33"/>
      <c r="KP91" s="33"/>
      <c r="KQ91" s="33"/>
      <c r="KR91" s="33"/>
      <c r="KS91" s="33"/>
      <c r="KT91" s="33"/>
      <c r="KU91" s="33"/>
      <c r="KV91" s="33"/>
      <c r="KW91" s="33"/>
      <c r="KX91" s="33"/>
      <c r="KY91" s="33"/>
      <c r="KZ91" s="33"/>
      <c r="LA91" s="33"/>
      <c r="LB91" s="33"/>
      <c r="LC91" s="33"/>
      <c r="LD91" s="33"/>
      <c r="LE91" s="33"/>
      <c r="LF91" s="33"/>
      <c r="LG91" s="33"/>
      <c r="LH91" s="33"/>
      <c r="LI91" s="33"/>
      <c r="LJ91" s="33"/>
      <c r="LK91" s="33"/>
      <c r="LL91" s="33"/>
      <c r="LM91" s="33"/>
      <c r="LN91" s="33"/>
      <c r="LO91" s="33"/>
      <c r="LP91" s="33"/>
      <c r="LQ91" s="33"/>
      <c r="LR91" s="33"/>
      <c r="LS91" s="33"/>
      <c r="LT91" s="33"/>
      <c r="LU91" s="33"/>
      <c r="LV91" s="33"/>
      <c r="LW91" s="33"/>
      <c r="LX91" s="33"/>
      <c r="LY91" s="33"/>
      <c r="LZ91" s="33"/>
      <c r="MA91" s="33"/>
      <c r="MB91" s="33"/>
      <c r="MC91" s="33"/>
      <c r="MD91" s="33"/>
      <c r="ME91" s="33"/>
      <c r="MF91" s="33"/>
      <c r="MG91" s="33"/>
      <c r="MH91" s="33"/>
      <c r="MI91" s="33"/>
      <c r="MJ91" s="33"/>
      <c r="MK91" s="33"/>
      <c r="ML91" s="33"/>
      <c r="MM91" s="33"/>
      <c r="MN91" s="33"/>
      <c r="MO91" s="33"/>
      <c r="MP91" s="33"/>
      <c r="MQ91" s="33"/>
      <c r="MR91" s="33"/>
      <c r="MS91" s="33"/>
      <c r="MT91" s="33"/>
      <c r="MU91" s="33"/>
      <c r="MV91" s="33"/>
      <c r="MW91" s="33"/>
      <c r="MX91" s="33"/>
      <c r="MY91" s="33"/>
      <c r="MZ91" s="33"/>
      <c r="NA91" s="33"/>
      <c r="NB91" s="33"/>
      <c r="NC91" s="33"/>
      <c r="ND91" s="33"/>
      <c r="NE91" s="33"/>
      <c r="NF91" s="33"/>
      <c r="NG91" s="33"/>
      <c r="NH91" s="33"/>
      <c r="NI91" s="33"/>
      <c r="NJ91" s="33"/>
      <c r="NK91" s="33"/>
      <c r="NL91" s="34"/>
    </row>
    <row r="92" spans="1:376" x14ac:dyDescent="0.15">
      <c r="A92" s="35">
        <f>A91</f>
        <v>40</v>
      </c>
      <c r="B92" s="36" t="str">
        <f>B91</f>
        <v>DD</v>
      </c>
      <c r="C92" s="36" t="str">
        <f>C91</f>
        <v>監視端末単体評価仕様書レビュー指摘対応</v>
      </c>
      <c r="D92" s="37" t="str">
        <f>D91</f>
        <v>長田</v>
      </c>
      <c r="E92" s="53" t="s">
        <v>0</v>
      </c>
      <c r="F92" s="54"/>
      <c r="G92" s="54"/>
      <c r="H92" s="55">
        <f t="shared" si="234"/>
        <v>0</v>
      </c>
      <c r="I92" s="56">
        <f>IF(OR(H91="",H92=""),"",H92-H91)</f>
        <v>-6</v>
      </c>
      <c r="J92" s="57"/>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c r="BS92" s="59"/>
      <c r="BT92" s="59"/>
      <c r="BU92" s="59"/>
      <c r="BV92" s="59"/>
      <c r="BW92" s="59"/>
      <c r="BX92" s="59"/>
      <c r="BY92" s="59"/>
      <c r="BZ92" s="59"/>
      <c r="CA92" s="59"/>
      <c r="CB92" s="59"/>
      <c r="CC92" s="59"/>
      <c r="CD92" s="59"/>
      <c r="CE92" s="59"/>
      <c r="CF92" s="59"/>
      <c r="CG92" s="59"/>
      <c r="CH92" s="59"/>
      <c r="CI92" s="59"/>
      <c r="CJ92" s="59"/>
      <c r="CK92" s="59"/>
      <c r="CL92" s="59"/>
      <c r="CM92" s="59"/>
      <c r="CN92" s="59"/>
      <c r="CO92" s="59"/>
      <c r="CP92" s="59"/>
      <c r="CQ92" s="59"/>
      <c r="CR92" s="59"/>
      <c r="CS92" s="59"/>
      <c r="CT92" s="59"/>
      <c r="CU92" s="59"/>
      <c r="CV92" s="59"/>
      <c r="CW92" s="59"/>
      <c r="CX92" s="59"/>
      <c r="CY92" s="59"/>
      <c r="CZ92" s="59"/>
      <c r="DA92" s="59"/>
      <c r="DB92" s="59"/>
      <c r="DC92" s="59"/>
      <c r="DD92" s="59"/>
      <c r="DE92" s="59"/>
      <c r="DF92" s="59"/>
      <c r="DG92" s="59"/>
      <c r="DH92" s="59"/>
      <c r="DI92" s="59"/>
      <c r="DJ92" s="59"/>
      <c r="DK92" s="59"/>
      <c r="DL92" s="59"/>
      <c r="DM92" s="59"/>
      <c r="DN92" s="59"/>
      <c r="DO92" s="59"/>
      <c r="DP92" s="59"/>
      <c r="DQ92" s="59"/>
      <c r="DR92" s="59"/>
      <c r="DS92" s="59"/>
      <c r="DT92" s="59"/>
      <c r="DU92" s="59"/>
      <c r="DV92" s="59"/>
      <c r="DW92" s="59"/>
      <c r="DX92" s="59"/>
      <c r="DY92" s="59"/>
      <c r="DZ92" s="59"/>
      <c r="EA92" s="59"/>
      <c r="EB92" s="59"/>
      <c r="EC92" s="59"/>
      <c r="ED92" s="59"/>
      <c r="EE92" s="59"/>
      <c r="EF92" s="59"/>
      <c r="EG92" s="59"/>
      <c r="EH92" s="59"/>
      <c r="EI92" s="59"/>
      <c r="EJ92" s="59"/>
      <c r="EK92" s="59"/>
      <c r="EL92" s="59"/>
      <c r="EM92" s="59"/>
      <c r="EN92" s="59"/>
      <c r="EO92" s="59"/>
      <c r="EP92" s="59"/>
      <c r="EQ92" s="59"/>
      <c r="ER92" s="59"/>
      <c r="ES92" s="59"/>
      <c r="ET92" s="59"/>
      <c r="EU92" s="59"/>
      <c r="EV92" s="59"/>
      <c r="EW92" s="59"/>
      <c r="EX92" s="59"/>
      <c r="EY92" s="59"/>
      <c r="EZ92" s="59"/>
      <c r="FA92" s="59"/>
      <c r="FB92" s="59"/>
      <c r="FC92" s="59"/>
      <c r="FD92" s="59"/>
      <c r="FE92" s="59"/>
      <c r="FF92" s="59"/>
      <c r="FG92" s="59"/>
      <c r="FH92" s="59"/>
      <c r="FI92" s="59"/>
      <c r="FJ92" s="59"/>
      <c r="FK92" s="59"/>
      <c r="FL92" s="59"/>
      <c r="FM92" s="59"/>
      <c r="FN92" s="59"/>
      <c r="FO92" s="59"/>
      <c r="FP92" s="59"/>
      <c r="FQ92" s="59"/>
      <c r="FR92" s="59"/>
      <c r="FS92" s="59"/>
      <c r="FT92" s="59"/>
      <c r="FU92" s="59"/>
      <c r="FV92" s="59"/>
      <c r="FW92" s="59"/>
      <c r="FX92" s="59"/>
      <c r="FY92" s="59"/>
      <c r="FZ92" s="59"/>
      <c r="GA92" s="59"/>
      <c r="GB92" s="59"/>
      <c r="GC92" s="59"/>
      <c r="GD92" s="59"/>
      <c r="GE92" s="59"/>
      <c r="GF92" s="59"/>
      <c r="GG92" s="59"/>
      <c r="GH92" s="59"/>
      <c r="GI92" s="59"/>
      <c r="GJ92" s="59"/>
      <c r="GK92" s="59"/>
      <c r="GL92" s="59"/>
      <c r="GM92" s="59"/>
      <c r="GN92" s="59"/>
      <c r="GO92" s="59"/>
      <c r="GP92" s="59"/>
      <c r="GQ92" s="59"/>
      <c r="GR92" s="59"/>
      <c r="GS92" s="59"/>
      <c r="GT92" s="59"/>
      <c r="GU92" s="59"/>
      <c r="GV92" s="59"/>
      <c r="GW92" s="59"/>
      <c r="GX92" s="59"/>
      <c r="GY92" s="59"/>
      <c r="GZ92" s="59"/>
      <c r="HA92" s="59"/>
      <c r="HB92" s="59"/>
      <c r="HC92" s="59"/>
      <c r="HD92" s="59"/>
      <c r="HE92" s="59"/>
      <c r="HF92" s="59"/>
      <c r="HG92" s="59"/>
      <c r="HH92" s="59"/>
      <c r="HI92" s="59"/>
      <c r="HJ92" s="59"/>
      <c r="HK92" s="59"/>
      <c r="HL92" s="59"/>
      <c r="HM92" s="59"/>
      <c r="HN92" s="59"/>
      <c r="HO92" s="59"/>
      <c r="HP92" s="59"/>
      <c r="HQ92" s="59"/>
      <c r="HR92" s="59"/>
      <c r="HS92" s="59"/>
      <c r="HT92" s="59"/>
      <c r="HU92" s="59"/>
      <c r="HV92" s="59"/>
      <c r="HW92" s="59"/>
      <c r="HX92" s="59"/>
      <c r="HY92" s="59"/>
      <c r="HZ92" s="59"/>
      <c r="IA92" s="59"/>
      <c r="IB92" s="59"/>
      <c r="IC92" s="59"/>
      <c r="ID92" s="59"/>
      <c r="IE92" s="59"/>
      <c r="IF92" s="59"/>
      <c r="IG92" s="59"/>
      <c r="IH92" s="59"/>
      <c r="II92" s="59"/>
      <c r="IJ92" s="59"/>
      <c r="IK92" s="59"/>
      <c r="IL92" s="59"/>
      <c r="IM92" s="59"/>
      <c r="IN92" s="59"/>
      <c r="IO92" s="59"/>
      <c r="IP92" s="59"/>
      <c r="IQ92" s="59"/>
      <c r="IR92" s="59"/>
      <c r="IS92" s="59"/>
      <c r="IT92" s="59"/>
      <c r="IU92" s="59"/>
      <c r="IV92" s="59"/>
      <c r="IW92" s="59"/>
      <c r="IX92" s="59"/>
      <c r="IY92" s="59"/>
      <c r="IZ92" s="59"/>
      <c r="JA92" s="59"/>
      <c r="JB92" s="59"/>
      <c r="JC92" s="59"/>
      <c r="JD92" s="59"/>
      <c r="JE92" s="59"/>
      <c r="JF92" s="59"/>
      <c r="JG92" s="59"/>
      <c r="JH92" s="59"/>
      <c r="JI92" s="59"/>
      <c r="JJ92" s="59"/>
      <c r="JK92" s="59"/>
      <c r="JL92" s="59"/>
      <c r="JM92" s="59"/>
      <c r="JN92" s="59"/>
      <c r="JO92" s="59"/>
      <c r="JP92" s="59"/>
      <c r="JQ92" s="59"/>
      <c r="JR92" s="59"/>
      <c r="JS92" s="59"/>
      <c r="JT92" s="59"/>
      <c r="JU92" s="59"/>
      <c r="JV92" s="59"/>
      <c r="JW92" s="59"/>
      <c r="JX92" s="59"/>
      <c r="JY92" s="59"/>
      <c r="JZ92" s="59"/>
      <c r="KA92" s="59"/>
      <c r="KB92" s="59"/>
      <c r="KC92" s="59"/>
      <c r="KD92" s="59"/>
      <c r="KE92" s="59"/>
      <c r="KF92" s="59"/>
      <c r="KG92" s="59"/>
      <c r="KH92" s="59"/>
      <c r="KI92" s="59"/>
      <c r="KJ92" s="59"/>
      <c r="KK92" s="59"/>
      <c r="KL92" s="59"/>
      <c r="KM92" s="59"/>
      <c r="KN92" s="59"/>
      <c r="KO92" s="59"/>
      <c r="KP92" s="59"/>
      <c r="KQ92" s="59"/>
      <c r="KR92" s="59"/>
      <c r="KS92" s="59"/>
      <c r="KT92" s="59"/>
      <c r="KU92" s="59"/>
      <c r="KV92" s="59"/>
      <c r="KW92" s="59"/>
      <c r="KX92" s="59"/>
      <c r="KY92" s="59"/>
      <c r="KZ92" s="59"/>
      <c r="LA92" s="59"/>
      <c r="LB92" s="59"/>
      <c r="LC92" s="59"/>
      <c r="LD92" s="59"/>
      <c r="LE92" s="59"/>
      <c r="LF92" s="59"/>
      <c r="LG92" s="59"/>
      <c r="LH92" s="59"/>
      <c r="LI92" s="59"/>
      <c r="LJ92" s="59"/>
      <c r="LK92" s="59"/>
      <c r="LL92" s="59"/>
      <c r="LM92" s="59"/>
      <c r="LN92" s="59"/>
      <c r="LO92" s="59"/>
      <c r="LP92" s="59"/>
      <c r="LQ92" s="59"/>
      <c r="LR92" s="59"/>
      <c r="LS92" s="59"/>
      <c r="LT92" s="59"/>
      <c r="LU92" s="59"/>
      <c r="LV92" s="59"/>
      <c r="LW92" s="59"/>
      <c r="LX92" s="59"/>
      <c r="LY92" s="59"/>
      <c r="LZ92" s="59"/>
      <c r="MA92" s="59"/>
      <c r="MB92" s="59"/>
      <c r="MC92" s="59"/>
      <c r="MD92" s="59"/>
      <c r="ME92" s="59"/>
      <c r="MF92" s="59"/>
      <c r="MG92" s="59"/>
      <c r="MH92" s="59"/>
      <c r="MI92" s="59"/>
      <c r="MJ92" s="59"/>
      <c r="MK92" s="59"/>
      <c r="ML92" s="59"/>
      <c r="MM92" s="59"/>
      <c r="MN92" s="59"/>
      <c r="MO92" s="59"/>
      <c r="MP92" s="59"/>
      <c r="MQ92" s="59"/>
      <c r="MR92" s="59"/>
      <c r="MS92" s="59"/>
      <c r="MT92" s="59"/>
      <c r="MU92" s="59"/>
      <c r="MV92" s="59"/>
      <c r="MW92" s="59"/>
      <c r="MX92" s="59"/>
      <c r="MY92" s="59"/>
      <c r="MZ92" s="59"/>
      <c r="NA92" s="59"/>
      <c r="NB92" s="59"/>
      <c r="NC92" s="59"/>
      <c r="ND92" s="59"/>
      <c r="NE92" s="59"/>
      <c r="NF92" s="59"/>
      <c r="NG92" s="59"/>
      <c r="NH92" s="59"/>
      <c r="NI92" s="59"/>
      <c r="NJ92" s="59"/>
      <c r="NK92" s="59"/>
      <c r="NL92" s="60"/>
    </row>
    <row r="93" spans="1:376" x14ac:dyDescent="0.15">
      <c r="A93" s="23">
        <v>41</v>
      </c>
      <c r="B93" s="24" t="s">
        <v>147</v>
      </c>
      <c r="C93" s="45" t="s">
        <v>149</v>
      </c>
      <c r="D93" s="26" t="s">
        <v>114</v>
      </c>
      <c r="E93" s="27" t="s">
        <v>13</v>
      </c>
      <c r="F93" s="28">
        <v>42982</v>
      </c>
      <c r="G93" s="28">
        <v>43092</v>
      </c>
      <c r="H93" s="29">
        <f t="shared" si="234"/>
        <v>64</v>
      </c>
      <c r="I93" s="30"/>
      <c r="J93" s="31"/>
      <c r="K93" s="32"/>
      <c r="L93" s="32"/>
      <c r="M93" s="32"/>
      <c r="N93" s="32"/>
      <c r="O93" s="32"/>
      <c r="P93" s="32"/>
      <c r="Q93" s="32"/>
      <c r="R93" s="32"/>
      <c r="S93" s="32"/>
      <c r="T93" s="32"/>
      <c r="U93" s="32"/>
      <c r="V93" s="32"/>
      <c r="W93" s="32"/>
      <c r="X93" s="32"/>
      <c r="Y93" s="32"/>
      <c r="Z93" s="32"/>
      <c r="AA93" s="32"/>
      <c r="AB93" s="32"/>
      <c r="AC93" s="32"/>
      <c r="AD93" s="32"/>
      <c r="AE93" s="32"/>
      <c r="AF93" s="32"/>
      <c r="AG93" s="32"/>
      <c r="AH93" s="32"/>
      <c r="AI93" s="32"/>
      <c r="AJ93" s="32"/>
      <c r="AK93" s="32"/>
      <c r="AL93" s="32"/>
      <c r="AM93" s="32"/>
      <c r="AN93" s="32"/>
      <c r="AO93" s="32"/>
      <c r="AP93" s="33"/>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33"/>
      <c r="CA93" s="33"/>
      <c r="CB93" s="33"/>
      <c r="CC93" s="33"/>
      <c r="CD93" s="33"/>
      <c r="CE93" s="33"/>
      <c r="CF93" s="33"/>
      <c r="CG93" s="33"/>
      <c r="CH93" s="33"/>
      <c r="CI93" s="33"/>
      <c r="CJ93" s="33"/>
      <c r="CK93" s="33"/>
      <c r="CL93" s="33"/>
      <c r="CM93" s="33"/>
      <c r="CN93" s="33"/>
      <c r="CO93" s="33"/>
      <c r="CP93" s="33"/>
      <c r="CQ93" s="33"/>
      <c r="CR93" s="33"/>
      <c r="CS93" s="33"/>
      <c r="CT93" s="33"/>
      <c r="CU93" s="33"/>
      <c r="CV93" s="33"/>
      <c r="CW93" s="33"/>
      <c r="CX93" s="33"/>
      <c r="CY93" s="33"/>
      <c r="CZ93" s="33"/>
      <c r="DA93" s="33"/>
      <c r="DB93" s="33"/>
      <c r="DC93" s="33"/>
      <c r="DD93" s="33"/>
      <c r="DE93" s="33"/>
      <c r="DF93" s="33"/>
      <c r="DG93" s="33"/>
      <c r="DH93" s="33"/>
      <c r="DI93" s="33"/>
      <c r="DJ93" s="33"/>
      <c r="DK93" s="33"/>
      <c r="DL93" s="33"/>
      <c r="DM93" s="33"/>
      <c r="DN93" s="33"/>
      <c r="DO93" s="33"/>
      <c r="DP93" s="33"/>
      <c r="DQ93" s="33"/>
      <c r="DR93" s="33"/>
      <c r="DS93" s="33"/>
      <c r="DT93" s="33"/>
      <c r="DU93" s="33"/>
      <c r="DV93" s="33"/>
      <c r="DW93" s="33"/>
      <c r="DX93" s="33"/>
      <c r="DY93" s="33"/>
      <c r="DZ93" s="33"/>
      <c r="EA93" s="33"/>
      <c r="EB93" s="33"/>
      <c r="EC93" s="33"/>
      <c r="ED93" s="33"/>
      <c r="EE93" s="33"/>
      <c r="EF93" s="33"/>
      <c r="EG93" s="33"/>
      <c r="EH93" s="33"/>
      <c r="EI93" s="33"/>
      <c r="EJ93" s="33"/>
      <c r="EK93" s="33"/>
      <c r="EL93" s="33"/>
      <c r="EM93" s="33"/>
      <c r="EN93" s="33"/>
      <c r="EO93" s="33"/>
      <c r="EP93" s="33"/>
      <c r="EQ93" s="33"/>
      <c r="ER93" s="33"/>
      <c r="ES93" s="33"/>
      <c r="ET93" s="33"/>
      <c r="EU93" s="33"/>
      <c r="EV93" s="33"/>
      <c r="EW93" s="33"/>
      <c r="EX93" s="33"/>
      <c r="EY93" s="33"/>
      <c r="EZ93" s="33"/>
      <c r="FA93" s="33"/>
      <c r="FB93" s="33"/>
      <c r="FC93" s="33"/>
      <c r="FD93" s="33"/>
      <c r="FE93" s="33"/>
      <c r="FF93" s="33"/>
      <c r="FG93" s="33"/>
      <c r="FH93" s="33"/>
      <c r="FI93" s="33"/>
      <c r="FJ93" s="33"/>
      <c r="FK93" s="33"/>
      <c r="FL93" s="33"/>
      <c r="FM93" s="33">
        <v>4</v>
      </c>
      <c r="FN93" s="33"/>
      <c r="FO93" s="33"/>
      <c r="FP93" s="33"/>
      <c r="FQ93" s="33"/>
      <c r="FR93" s="33"/>
      <c r="FS93" s="33"/>
      <c r="FT93" s="33">
        <v>4</v>
      </c>
      <c r="FU93" s="33"/>
      <c r="FV93" s="33"/>
      <c r="FW93" s="33"/>
      <c r="FX93" s="33"/>
      <c r="FY93" s="33"/>
      <c r="FZ93" s="33"/>
      <c r="GA93" s="33">
        <v>4</v>
      </c>
      <c r="GB93" s="33"/>
      <c r="GC93" s="33"/>
      <c r="GD93" s="33"/>
      <c r="GE93" s="33"/>
      <c r="GF93" s="33"/>
      <c r="GG93" s="33"/>
      <c r="GH93" s="33">
        <v>4</v>
      </c>
      <c r="GI93" s="33"/>
      <c r="GJ93" s="33"/>
      <c r="GK93" s="33"/>
      <c r="GL93" s="33"/>
      <c r="GM93" s="33"/>
      <c r="GN93" s="33"/>
      <c r="GO93" s="33">
        <v>4</v>
      </c>
      <c r="GP93" s="33"/>
      <c r="GQ93" s="33"/>
      <c r="GR93" s="33"/>
      <c r="GS93" s="33"/>
      <c r="GT93" s="33"/>
      <c r="GU93" s="33"/>
      <c r="GV93" s="33">
        <v>4</v>
      </c>
      <c r="GW93" s="33"/>
      <c r="GX93" s="33"/>
      <c r="GY93" s="33"/>
      <c r="GZ93" s="33"/>
      <c r="HA93" s="33"/>
      <c r="HB93" s="33"/>
      <c r="HC93" s="33">
        <v>4</v>
      </c>
      <c r="HD93" s="33"/>
      <c r="HE93" s="33"/>
      <c r="HF93" s="33"/>
      <c r="HG93" s="33"/>
      <c r="HH93" s="33"/>
      <c r="HI93" s="33"/>
      <c r="HJ93" s="33">
        <v>4</v>
      </c>
      <c r="HK93" s="33"/>
      <c r="HL93" s="33"/>
      <c r="HM93" s="33"/>
      <c r="HN93" s="33"/>
      <c r="HO93" s="33"/>
      <c r="HP93" s="33"/>
      <c r="HQ93" s="33">
        <v>4</v>
      </c>
      <c r="HR93" s="33"/>
      <c r="HS93" s="33"/>
      <c r="HT93" s="33"/>
      <c r="HU93" s="33"/>
      <c r="HV93" s="33"/>
      <c r="HW93" s="33"/>
      <c r="HX93" s="33">
        <v>4</v>
      </c>
      <c r="HY93" s="33"/>
      <c r="HZ93" s="33"/>
      <c r="IA93" s="33"/>
      <c r="IB93" s="33"/>
      <c r="IC93" s="33"/>
      <c r="ID93" s="33"/>
      <c r="IE93" s="33">
        <v>4</v>
      </c>
      <c r="IF93" s="33"/>
      <c r="IG93" s="33"/>
      <c r="IH93" s="33"/>
      <c r="II93" s="33"/>
      <c r="IJ93" s="33"/>
      <c r="IK93" s="33"/>
      <c r="IL93" s="33">
        <v>4</v>
      </c>
      <c r="IM93" s="33"/>
      <c r="IN93" s="33"/>
      <c r="IO93" s="33"/>
      <c r="IP93" s="33"/>
      <c r="IQ93" s="33"/>
      <c r="IR93" s="33"/>
      <c r="IS93" s="33">
        <v>4</v>
      </c>
      <c r="IT93" s="33"/>
      <c r="IU93" s="33"/>
      <c r="IV93" s="33"/>
      <c r="IW93" s="33"/>
      <c r="IX93" s="33"/>
      <c r="IY93" s="33"/>
      <c r="IZ93" s="33">
        <v>4</v>
      </c>
      <c r="JA93" s="33"/>
      <c r="JB93" s="33"/>
      <c r="JC93" s="33"/>
      <c r="JD93" s="33"/>
      <c r="JE93" s="33"/>
      <c r="JF93" s="33"/>
      <c r="JG93" s="33">
        <v>4</v>
      </c>
      <c r="JH93" s="33"/>
      <c r="JI93" s="33"/>
      <c r="JJ93" s="33"/>
      <c r="JK93" s="33"/>
      <c r="JL93" s="33"/>
      <c r="JM93" s="33"/>
      <c r="JN93" s="33">
        <v>4</v>
      </c>
      <c r="JO93" s="33"/>
      <c r="JP93" s="33"/>
      <c r="JQ93" s="33"/>
      <c r="JR93" s="33"/>
      <c r="JS93" s="33"/>
      <c r="JT93" s="33"/>
      <c r="JU93" s="33"/>
      <c r="JV93" s="33"/>
      <c r="JW93" s="33"/>
      <c r="JX93" s="33"/>
      <c r="JY93" s="33"/>
      <c r="JZ93" s="33"/>
      <c r="KA93" s="33"/>
      <c r="KB93" s="33"/>
      <c r="KC93" s="33"/>
      <c r="KD93" s="33"/>
      <c r="KE93" s="33"/>
      <c r="KF93" s="33"/>
      <c r="KG93" s="33"/>
      <c r="KH93" s="33"/>
      <c r="KI93" s="33"/>
      <c r="KJ93" s="33"/>
      <c r="KK93" s="33"/>
      <c r="KL93" s="33"/>
      <c r="KM93" s="33"/>
      <c r="KN93" s="33"/>
      <c r="KO93" s="33"/>
      <c r="KP93" s="33"/>
      <c r="KQ93" s="33"/>
      <c r="KR93" s="33"/>
      <c r="KS93" s="33"/>
      <c r="KT93" s="33"/>
      <c r="KU93" s="33"/>
      <c r="KV93" s="33"/>
      <c r="KW93" s="33"/>
      <c r="KX93" s="33"/>
      <c r="KY93" s="33"/>
      <c r="KZ93" s="33"/>
      <c r="LA93" s="33"/>
      <c r="LB93" s="33"/>
      <c r="LC93" s="33"/>
      <c r="LD93" s="33"/>
      <c r="LE93" s="33"/>
      <c r="LF93" s="33"/>
      <c r="LG93" s="33"/>
      <c r="LH93" s="33"/>
      <c r="LI93" s="33"/>
      <c r="LJ93" s="33"/>
      <c r="LK93" s="33"/>
      <c r="LL93" s="33"/>
      <c r="LM93" s="33"/>
      <c r="LN93" s="33"/>
      <c r="LO93" s="33"/>
      <c r="LP93" s="33"/>
      <c r="LQ93" s="33"/>
      <c r="LR93" s="33"/>
      <c r="LS93" s="33"/>
      <c r="LT93" s="33"/>
      <c r="LU93" s="33"/>
      <c r="LV93" s="33"/>
      <c r="LW93" s="33"/>
      <c r="LX93" s="33"/>
      <c r="LY93" s="33"/>
      <c r="LZ93" s="33"/>
      <c r="MA93" s="33"/>
      <c r="MB93" s="33"/>
      <c r="MC93" s="33"/>
      <c r="MD93" s="33"/>
      <c r="ME93" s="33"/>
      <c r="MF93" s="33"/>
      <c r="MG93" s="33"/>
      <c r="MH93" s="33"/>
      <c r="MI93" s="33"/>
      <c r="MJ93" s="33"/>
      <c r="MK93" s="33"/>
      <c r="ML93" s="33"/>
      <c r="MM93" s="33"/>
      <c r="MN93" s="33"/>
      <c r="MO93" s="33"/>
      <c r="MP93" s="33"/>
      <c r="MQ93" s="33"/>
      <c r="MR93" s="33"/>
      <c r="MS93" s="33"/>
      <c r="MT93" s="33"/>
      <c r="MU93" s="33"/>
      <c r="MV93" s="33"/>
      <c r="MW93" s="33"/>
      <c r="MX93" s="33"/>
      <c r="MY93" s="33"/>
      <c r="MZ93" s="33"/>
      <c r="NA93" s="33"/>
      <c r="NB93" s="33"/>
      <c r="NC93" s="33"/>
      <c r="ND93" s="33"/>
      <c r="NE93" s="33"/>
      <c r="NF93" s="33"/>
      <c r="NG93" s="33"/>
      <c r="NH93" s="33"/>
      <c r="NI93" s="33"/>
      <c r="NJ93" s="33"/>
      <c r="NK93" s="33"/>
      <c r="NL93" s="34"/>
    </row>
    <row r="94" spans="1:376" x14ac:dyDescent="0.15">
      <c r="A94" s="35">
        <f>A93</f>
        <v>41</v>
      </c>
      <c r="B94" s="36" t="str">
        <f>B93</f>
        <v>PG</v>
      </c>
      <c r="C94" s="36" t="str">
        <f>C93</f>
        <v>Webアプリ実装</v>
      </c>
      <c r="D94" s="37" t="str">
        <f>D93</f>
        <v>那須</v>
      </c>
      <c r="E94" s="53" t="s">
        <v>0</v>
      </c>
      <c r="F94" s="54"/>
      <c r="G94" s="54"/>
      <c r="H94" s="55">
        <f t="shared" si="234"/>
        <v>0</v>
      </c>
      <c r="I94" s="56">
        <f>IF(OR(H93="",H94=""),"",H94-H93)</f>
        <v>-64</v>
      </c>
      <c r="J94" s="57"/>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c r="BS94" s="59"/>
      <c r="BT94" s="59"/>
      <c r="BU94" s="59"/>
      <c r="BV94" s="59"/>
      <c r="BW94" s="59"/>
      <c r="BX94" s="59"/>
      <c r="BY94" s="59"/>
      <c r="BZ94" s="59"/>
      <c r="CA94" s="59"/>
      <c r="CB94" s="59"/>
      <c r="CC94" s="59"/>
      <c r="CD94" s="59"/>
      <c r="CE94" s="59"/>
      <c r="CF94" s="59"/>
      <c r="CG94" s="59"/>
      <c r="CH94" s="59"/>
      <c r="CI94" s="59"/>
      <c r="CJ94" s="59"/>
      <c r="CK94" s="59"/>
      <c r="CL94" s="59"/>
      <c r="CM94" s="59"/>
      <c r="CN94" s="59"/>
      <c r="CO94" s="59"/>
      <c r="CP94" s="59"/>
      <c r="CQ94" s="59"/>
      <c r="CR94" s="59"/>
      <c r="CS94" s="59"/>
      <c r="CT94" s="59"/>
      <c r="CU94" s="59"/>
      <c r="CV94" s="59"/>
      <c r="CW94" s="59"/>
      <c r="CX94" s="59"/>
      <c r="CY94" s="59"/>
      <c r="CZ94" s="59"/>
      <c r="DA94" s="59"/>
      <c r="DB94" s="59"/>
      <c r="DC94" s="59"/>
      <c r="DD94" s="59"/>
      <c r="DE94" s="59"/>
      <c r="DF94" s="59"/>
      <c r="DG94" s="59"/>
      <c r="DH94" s="59"/>
      <c r="DI94" s="59"/>
      <c r="DJ94" s="59"/>
      <c r="DK94" s="59"/>
      <c r="DL94" s="59"/>
      <c r="DM94" s="59"/>
      <c r="DN94" s="59"/>
      <c r="DO94" s="59"/>
      <c r="DP94" s="59"/>
      <c r="DQ94" s="59"/>
      <c r="DR94" s="59"/>
      <c r="DS94" s="59"/>
      <c r="DT94" s="59"/>
      <c r="DU94" s="59"/>
      <c r="DV94" s="59"/>
      <c r="DW94" s="59"/>
      <c r="DX94" s="59"/>
      <c r="DY94" s="59"/>
      <c r="DZ94" s="59"/>
      <c r="EA94" s="59"/>
      <c r="EB94" s="59"/>
      <c r="EC94" s="59"/>
      <c r="ED94" s="59"/>
      <c r="EE94" s="59"/>
      <c r="EF94" s="59"/>
      <c r="EG94" s="59"/>
      <c r="EH94" s="59"/>
      <c r="EI94" s="59"/>
      <c r="EJ94" s="59"/>
      <c r="EK94" s="59"/>
      <c r="EL94" s="59"/>
      <c r="EM94" s="59"/>
      <c r="EN94" s="59"/>
      <c r="EO94" s="59"/>
      <c r="EP94" s="59"/>
      <c r="EQ94" s="59"/>
      <c r="ER94" s="59"/>
      <c r="ES94" s="59"/>
      <c r="ET94" s="59"/>
      <c r="EU94" s="59"/>
      <c r="EV94" s="59"/>
      <c r="EW94" s="59"/>
      <c r="EX94" s="59"/>
      <c r="EY94" s="59"/>
      <c r="EZ94" s="59"/>
      <c r="FA94" s="59"/>
      <c r="FB94" s="59"/>
      <c r="FC94" s="59"/>
      <c r="FD94" s="59"/>
      <c r="FE94" s="59"/>
      <c r="FF94" s="59"/>
      <c r="FG94" s="59"/>
      <c r="FH94" s="59"/>
      <c r="FI94" s="59"/>
      <c r="FJ94" s="59"/>
      <c r="FK94" s="59"/>
      <c r="FL94" s="59"/>
      <c r="FM94" s="59"/>
      <c r="FN94" s="59"/>
      <c r="FO94" s="59"/>
      <c r="FP94" s="59"/>
      <c r="FQ94" s="59"/>
      <c r="FR94" s="59"/>
      <c r="FS94" s="59"/>
      <c r="FT94" s="59"/>
      <c r="FU94" s="59"/>
      <c r="FV94" s="59"/>
      <c r="FW94" s="59"/>
      <c r="FX94" s="59"/>
      <c r="FY94" s="59"/>
      <c r="FZ94" s="59"/>
      <c r="GA94" s="59"/>
      <c r="GB94" s="59"/>
      <c r="GC94" s="59"/>
      <c r="GD94" s="59"/>
      <c r="GE94" s="59"/>
      <c r="GF94" s="59"/>
      <c r="GG94" s="59"/>
      <c r="GH94" s="59"/>
      <c r="GI94" s="59"/>
      <c r="GJ94" s="59"/>
      <c r="GK94" s="59"/>
      <c r="GL94" s="59"/>
      <c r="GM94" s="59"/>
      <c r="GN94" s="59"/>
      <c r="GO94" s="59"/>
      <c r="GP94" s="59"/>
      <c r="GQ94" s="59"/>
      <c r="GR94" s="59"/>
      <c r="GS94" s="59"/>
      <c r="GT94" s="59"/>
      <c r="GU94" s="59"/>
      <c r="GV94" s="59"/>
      <c r="GW94" s="59"/>
      <c r="GX94" s="59"/>
      <c r="GY94" s="59"/>
      <c r="GZ94" s="59"/>
      <c r="HA94" s="59"/>
      <c r="HB94" s="59"/>
      <c r="HC94" s="59"/>
      <c r="HD94" s="59"/>
      <c r="HE94" s="59"/>
      <c r="HF94" s="59"/>
      <c r="HG94" s="59"/>
      <c r="HH94" s="59"/>
      <c r="HI94" s="59"/>
      <c r="HJ94" s="59"/>
      <c r="HK94" s="59"/>
      <c r="HL94" s="59"/>
      <c r="HM94" s="59"/>
      <c r="HN94" s="59"/>
      <c r="HO94" s="59"/>
      <c r="HP94" s="59"/>
      <c r="HQ94" s="59"/>
      <c r="HR94" s="59"/>
      <c r="HS94" s="59"/>
      <c r="HT94" s="59"/>
      <c r="HU94" s="59"/>
      <c r="HV94" s="59"/>
      <c r="HW94" s="59"/>
      <c r="HX94" s="59"/>
      <c r="HY94" s="59"/>
      <c r="HZ94" s="59"/>
      <c r="IA94" s="59"/>
      <c r="IB94" s="59"/>
      <c r="IC94" s="59"/>
      <c r="ID94" s="59"/>
      <c r="IE94" s="59"/>
      <c r="IF94" s="59"/>
      <c r="IG94" s="59"/>
      <c r="IH94" s="59"/>
      <c r="II94" s="59"/>
      <c r="IJ94" s="59"/>
      <c r="IK94" s="59"/>
      <c r="IL94" s="59"/>
      <c r="IM94" s="59"/>
      <c r="IN94" s="59"/>
      <c r="IO94" s="59"/>
      <c r="IP94" s="59"/>
      <c r="IQ94" s="59"/>
      <c r="IR94" s="59"/>
      <c r="IS94" s="59"/>
      <c r="IT94" s="59"/>
      <c r="IU94" s="59"/>
      <c r="IV94" s="59"/>
      <c r="IW94" s="59"/>
      <c r="IX94" s="59"/>
      <c r="IY94" s="59"/>
      <c r="IZ94" s="59"/>
      <c r="JA94" s="59"/>
      <c r="JB94" s="59"/>
      <c r="JC94" s="59"/>
      <c r="JD94" s="59"/>
      <c r="JE94" s="59"/>
      <c r="JF94" s="59"/>
      <c r="JG94" s="59"/>
      <c r="JH94" s="59"/>
      <c r="JI94" s="59"/>
      <c r="JJ94" s="59"/>
      <c r="JK94" s="59"/>
      <c r="JL94" s="59"/>
      <c r="JM94" s="59"/>
      <c r="JN94" s="59"/>
      <c r="JO94" s="59"/>
      <c r="JP94" s="59"/>
      <c r="JQ94" s="59"/>
      <c r="JR94" s="59"/>
      <c r="JS94" s="59"/>
      <c r="JT94" s="59"/>
      <c r="JU94" s="59"/>
      <c r="JV94" s="59"/>
      <c r="JW94" s="59"/>
      <c r="JX94" s="59"/>
      <c r="JY94" s="59"/>
      <c r="JZ94" s="59"/>
      <c r="KA94" s="59"/>
      <c r="KB94" s="59"/>
      <c r="KC94" s="59"/>
      <c r="KD94" s="59"/>
      <c r="KE94" s="59"/>
      <c r="KF94" s="59"/>
      <c r="KG94" s="59"/>
      <c r="KH94" s="59"/>
      <c r="KI94" s="59"/>
      <c r="KJ94" s="59"/>
      <c r="KK94" s="59"/>
      <c r="KL94" s="59"/>
      <c r="KM94" s="59"/>
      <c r="KN94" s="59"/>
      <c r="KO94" s="59"/>
      <c r="KP94" s="59"/>
      <c r="KQ94" s="59"/>
      <c r="KR94" s="59"/>
      <c r="KS94" s="59"/>
      <c r="KT94" s="59"/>
      <c r="KU94" s="59"/>
      <c r="KV94" s="59"/>
      <c r="KW94" s="59"/>
      <c r="KX94" s="59"/>
      <c r="KY94" s="59"/>
      <c r="KZ94" s="59"/>
      <c r="LA94" s="59"/>
      <c r="LB94" s="59"/>
      <c r="LC94" s="59"/>
      <c r="LD94" s="59"/>
      <c r="LE94" s="59"/>
      <c r="LF94" s="59"/>
      <c r="LG94" s="59"/>
      <c r="LH94" s="59"/>
      <c r="LI94" s="59"/>
      <c r="LJ94" s="59"/>
      <c r="LK94" s="59"/>
      <c r="LL94" s="59"/>
      <c r="LM94" s="59"/>
      <c r="LN94" s="59"/>
      <c r="LO94" s="59"/>
      <c r="LP94" s="59"/>
      <c r="LQ94" s="59"/>
      <c r="LR94" s="59"/>
      <c r="LS94" s="59"/>
      <c r="LT94" s="59"/>
      <c r="LU94" s="59"/>
      <c r="LV94" s="59"/>
      <c r="LW94" s="59"/>
      <c r="LX94" s="59"/>
      <c r="LY94" s="59"/>
      <c r="LZ94" s="59"/>
      <c r="MA94" s="59"/>
      <c r="MB94" s="59"/>
      <c r="MC94" s="59"/>
      <c r="MD94" s="59"/>
      <c r="ME94" s="59"/>
      <c r="MF94" s="59"/>
      <c r="MG94" s="59"/>
      <c r="MH94" s="59"/>
      <c r="MI94" s="59"/>
      <c r="MJ94" s="59"/>
      <c r="MK94" s="59"/>
      <c r="ML94" s="59"/>
      <c r="MM94" s="59"/>
      <c r="MN94" s="59"/>
      <c r="MO94" s="59"/>
      <c r="MP94" s="59"/>
      <c r="MQ94" s="59"/>
      <c r="MR94" s="59"/>
      <c r="MS94" s="59"/>
      <c r="MT94" s="59"/>
      <c r="MU94" s="59"/>
      <c r="MV94" s="59"/>
      <c r="MW94" s="59"/>
      <c r="MX94" s="59"/>
      <c r="MY94" s="59"/>
      <c r="MZ94" s="59"/>
      <c r="NA94" s="59"/>
      <c r="NB94" s="59"/>
      <c r="NC94" s="59"/>
      <c r="ND94" s="59"/>
      <c r="NE94" s="59"/>
      <c r="NF94" s="59"/>
      <c r="NG94" s="59"/>
      <c r="NH94" s="59"/>
      <c r="NI94" s="59"/>
      <c r="NJ94" s="59"/>
      <c r="NK94" s="59"/>
      <c r="NL94" s="60"/>
    </row>
    <row r="95" spans="1:376" x14ac:dyDescent="0.15">
      <c r="A95" s="23">
        <v>42</v>
      </c>
      <c r="B95" s="24" t="s">
        <v>148</v>
      </c>
      <c r="C95" s="45" t="s">
        <v>150</v>
      </c>
      <c r="D95" s="26" t="s">
        <v>164</v>
      </c>
      <c r="E95" s="27" t="s">
        <v>13</v>
      </c>
      <c r="F95" s="28">
        <v>43092</v>
      </c>
      <c r="G95" s="28">
        <v>43092</v>
      </c>
      <c r="H95" s="29">
        <f t="shared" si="234"/>
        <v>4</v>
      </c>
      <c r="I95" s="30"/>
      <c r="J95" s="31"/>
      <c r="K95" s="32"/>
      <c r="L95" s="32"/>
      <c r="M95" s="32"/>
      <c r="N95" s="32"/>
      <c r="O95" s="32"/>
      <c r="P95" s="32"/>
      <c r="Q95" s="32"/>
      <c r="R95" s="32"/>
      <c r="S95" s="32"/>
      <c r="T95" s="32"/>
      <c r="U95" s="32"/>
      <c r="V95" s="32"/>
      <c r="W95" s="32"/>
      <c r="X95" s="32"/>
      <c r="Y95" s="32"/>
      <c r="Z95" s="32"/>
      <c r="AA95" s="32"/>
      <c r="AB95" s="32"/>
      <c r="AC95" s="32"/>
      <c r="AD95" s="32"/>
      <c r="AE95" s="32"/>
      <c r="AF95" s="32"/>
      <c r="AG95" s="32"/>
      <c r="AH95" s="32"/>
      <c r="AI95" s="32"/>
      <c r="AJ95" s="32"/>
      <c r="AK95" s="32"/>
      <c r="AL95" s="32"/>
      <c r="AM95" s="32"/>
      <c r="AN95" s="32"/>
      <c r="AO95" s="32"/>
      <c r="AP95" s="33"/>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33"/>
      <c r="CA95" s="33"/>
      <c r="CB95" s="33"/>
      <c r="CC95" s="33"/>
      <c r="CD95" s="33"/>
      <c r="CE95" s="33"/>
      <c r="CF95" s="33"/>
      <c r="CG95" s="33"/>
      <c r="CH95" s="33"/>
      <c r="CI95" s="33"/>
      <c r="CJ95" s="33"/>
      <c r="CK95" s="33"/>
      <c r="CL95" s="33"/>
      <c r="CM95" s="33"/>
      <c r="CN95" s="33"/>
      <c r="CO95" s="33"/>
      <c r="CP95" s="33"/>
      <c r="CQ95" s="33"/>
      <c r="CR95" s="33"/>
      <c r="CS95" s="33"/>
      <c r="CT95" s="33"/>
      <c r="CU95" s="33"/>
      <c r="CV95" s="33"/>
      <c r="CW95" s="33"/>
      <c r="CX95" s="33"/>
      <c r="CY95" s="33"/>
      <c r="CZ95" s="33"/>
      <c r="DA95" s="33"/>
      <c r="DB95" s="33"/>
      <c r="DC95" s="33"/>
      <c r="DD95" s="33"/>
      <c r="DE95" s="33"/>
      <c r="DF95" s="33"/>
      <c r="DG95" s="33"/>
      <c r="DH95" s="33"/>
      <c r="DI95" s="33"/>
      <c r="DJ95" s="33"/>
      <c r="DK95" s="33"/>
      <c r="DL95" s="33"/>
      <c r="DM95" s="33"/>
      <c r="DN95" s="33"/>
      <c r="DO95" s="33"/>
      <c r="DP95" s="33"/>
      <c r="DQ95" s="33"/>
      <c r="DR95" s="33"/>
      <c r="DS95" s="33"/>
      <c r="DT95" s="33"/>
      <c r="DU95" s="33"/>
      <c r="DV95" s="33"/>
      <c r="DW95" s="33"/>
      <c r="DX95" s="33"/>
      <c r="DY95" s="33"/>
      <c r="DZ95" s="33"/>
      <c r="EA95" s="33"/>
      <c r="EB95" s="33"/>
      <c r="EC95" s="33"/>
      <c r="ED95" s="33"/>
      <c r="EE95" s="33"/>
      <c r="EF95" s="33"/>
      <c r="EG95" s="33"/>
      <c r="EH95" s="33"/>
      <c r="EI95" s="33"/>
      <c r="EJ95" s="33"/>
      <c r="EK95" s="33"/>
      <c r="EL95" s="33"/>
      <c r="EM95" s="33"/>
      <c r="EN95" s="33"/>
      <c r="EO95" s="33"/>
      <c r="EP95" s="33"/>
      <c r="EQ95" s="33"/>
      <c r="ER95" s="33"/>
      <c r="ES95" s="33"/>
      <c r="ET95" s="33"/>
      <c r="EU95" s="33"/>
      <c r="EV95" s="33"/>
      <c r="EW95" s="33"/>
      <c r="EX95" s="33"/>
      <c r="EY95" s="33"/>
      <c r="EZ95" s="33"/>
      <c r="FA95" s="33"/>
      <c r="FB95" s="33"/>
      <c r="FC95" s="33"/>
      <c r="FD95" s="33"/>
      <c r="FE95" s="33"/>
      <c r="FF95" s="33"/>
      <c r="FG95" s="33"/>
      <c r="FH95" s="33"/>
      <c r="FI95" s="33"/>
      <c r="FJ95" s="33"/>
      <c r="FK95" s="33"/>
      <c r="FL95" s="33"/>
      <c r="FM95" s="33"/>
      <c r="FN95" s="33"/>
      <c r="FO95" s="33"/>
      <c r="FP95" s="33"/>
      <c r="FQ95" s="33"/>
      <c r="FR95" s="33"/>
      <c r="FS95" s="33"/>
      <c r="FT95" s="33"/>
      <c r="FU95" s="33"/>
      <c r="FV95" s="33"/>
      <c r="FW95" s="33"/>
      <c r="FX95" s="33"/>
      <c r="FY95" s="33"/>
      <c r="FZ95" s="33"/>
      <c r="GA95" s="33"/>
      <c r="GB95" s="33"/>
      <c r="GC95" s="33"/>
      <c r="GD95" s="33"/>
      <c r="GE95" s="33"/>
      <c r="GF95" s="33"/>
      <c r="GG95" s="33"/>
      <c r="GH95" s="33"/>
      <c r="GI95" s="33"/>
      <c r="GJ95" s="33"/>
      <c r="GK95" s="33"/>
      <c r="GL95" s="33"/>
      <c r="GM95" s="33"/>
      <c r="GN95" s="33"/>
      <c r="GO95" s="33"/>
      <c r="GP95" s="33"/>
      <c r="GQ95" s="33"/>
      <c r="GR95" s="33"/>
      <c r="GS95" s="33"/>
      <c r="GT95" s="33"/>
      <c r="GU95" s="33"/>
      <c r="GV95" s="33"/>
      <c r="GW95" s="33"/>
      <c r="GX95" s="33"/>
      <c r="GY95" s="33"/>
      <c r="GZ95" s="33"/>
      <c r="HA95" s="33"/>
      <c r="HB95" s="33"/>
      <c r="HC95" s="33"/>
      <c r="HD95" s="33"/>
      <c r="HE95" s="33"/>
      <c r="HF95" s="33"/>
      <c r="HG95" s="33"/>
      <c r="HH95" s="33"/>
      <c r="HI95" s="33"/>
      <c r="HJ95" s="33"/>
      <c r="HK95" s="33"/>
      <c r="HL95" s="33"/>
      <c r="HM95" s="33"/>
      <c r="HN95" s="33"/>
      <c r="HO95" s="33"/>
      <c r="HP95" s="33"/>
      <c r="HQ95" s="33"/>
      <c r="HR95" s="33"/>
      <c r="HS95" s="33"/>
      <c r="HT95" s="33"/>
      <c r="HU95" s="33"/>
      <c r="HV95" s="33"/>
      <c r="HW95" s="33"/>
      <c r="HX95" s="33"/>
      <c r="HY95" s="33"/>
      <c r="HZ95" s="33"/>
      <c r="IA95" s="33"/>
      <c r="IB95" s="33"/>
      <c r="IC95" s="33"/>
      <c r="ID95" s="33"/>
      <c r="IE95" s="33"/>
      <c r="IF95" s="33"/>
      <c r="IG95" s="33"/>
      <c r="IH95" s="33"/>
      <c r="II95" s="33"/>
      <c r="IJ95" s="33"/>
      <c r="IK95" s="33"/>
      <c r="IL95" s="33"/>
      <c r="IM95" s="33"/>
      <c r="IN95" s="33"/>
      <c r="IO95" s="33"/>
      <c r="IP95" s="33"/>
      <c r="IQ95" s="33"/>
      <c r="IR95" s="33"/>
      <c r="IS95" s="33"/>
      <c r="IT95" s="33"/>
      <c r="IU95" s="33"/>
      <c r="IV95" s="33"/>
      <c r="IW95" s="33"/>
      <c r="IX95" s="33"/>
      <c r="IY95" s="33"/>
      <c r="IZ95" s="33"/>
      <c r="JA95" s="33"/>
      <c r="JB95" s="33"/>
      <c r="JC95" s="33"/>
      <c r="JD95" s="33"/>
      <c r="JE95" s="33"/>
      <c r="JF95" s="33"/>
      <c r="JG95" s="33"/>
      <c r="JH95" s="33"/>
      <c r="JI95" s="33"/>
      <c r="JJ95" s="33"/>
      <c r="JK95" s="33"/>
      <c r="JL95" s="33"/>
      <c r="JM95" s="33"/>
      <c r="JN95" s="33">
        <v>4</v>
      </c>
      <c r="JO95" s="33"/>
      <c r="JP95" s="33"/>
      <c r="JQ95" s="33"/>
      <c r="JR95" s="33"/>
      <c r="JS95" s="33"/>
      <c r="JT95" s="33"/>
      <c r="JU95" s="33"/>
      <c r="JV95" s="33"/>
      <c r="JW95" s="33"/>
      <c r="JX95" s="33"/>
      <c r="JY95" s="33"/>
      <c r="JZ95" s="33"/>
      <c r="KA95" s="33"/>
      <c r="KB95" s="33"/>
      <c r="KC95" s="33"/>
      <c r="KD95" s="33"/>
      <c r="KE95" s="33"/>
      <c r="KF95" s="33"/>
      <c r="KG95" s="33"/>
      <c r="KH95" s="33"/>
      <c r="KI95" s="33"/>
      <c r="KJ95" s="33"/>
      <c r="KK95" s="33"/>
      <c r="KL95" s="33"/>
      <c r="KM95" s="33"/>
      <c r="KN95" s="33"/>
      <c r="KO95" s="33"/>
      <c r="KP95" s="33"/>
      <c r="KQ95" s="33"/>
      <c r="KR95" s="33"/>
      <c r="KS95" s="33"/>
      <c r="KT95" s="33"/>
      <c r="KU95" s="33"/>
      <c r="KV95" s="33"/>
      <c r="KW95" s="33"/>
      <c r="KX95" s="33"/>
      <c r="KY95" s="33"/>
      <c r="KZ95" s="33"/>
      <c r="LA95" s="33"/>
      <c r="LB95" s="33"/>
      <c r="LC95" s="33"/>
      <c r="LD95" s="33"/>
      <c r="LE95" s="33"/>
      <c r="LF95" s="33"/>
      <c r="LG95" s="33"/>
      <c r="LH95" s="33"/>
      <c r="LI95" s="33"/>
      <c r="LJ95" s="33"/>
      <c r="LK95" s="33"/>
      <c r="LL95" s="33"/>
      <c r="LM95" s="33"/>
      <c r="LN95" s="33"/>
      <c r="LO95" s="33"/>
      <c r="LP95" s="33"/>
      <c r="LQ95" s="33"/>
      <c r="LR95" s="33"/>
      <c r="LS95" s="33"/>
      <c r="LT95" s="33"/>
      <c r="LU95" s="33"/>
      <c r="LV95" s="33"/>
      <c r="LW95" s="33"/>
      <c r="LX95" s="33"/>
      <c r="LY95" s="33"/>
      <c r="LZ95" s="33"/>
      <c r="MA95" s="33"/>
      <c r="MB95" s="33"/>
      <c r="MC95" s="33"/>
      <c r="MD95" s="33"/>
      <c r="ME95" s="33"/>
      <c r="MF95" s="33"/>
      <c r="MG95" s="33"/>
      <c r="MH95" s="33"/>
      <c r="MI95" s="33"/>
      <c r="MJ95" s="33"/>
      <c r="MK95" s="33"/>
      <c r="ML95" s="33"/>
      <c r="MM95" s="33"/>
      <c r="MN95" s="33"/>
      <c r="MO95" s="33"/>
      <c r="MP95" s="33"/>
      <c r="MQ95" s="33"/>
      <c r="MR95" s="33"/>
      <c r="MS95" s="33"/>
      <c r="MT95" s="33"/>
      <c r="MU95" s="33"/>
      <c r="MV95" s="33"/>
      <c r="MW95" s="33"/>
      <c r="MX95" s="33"/>
      <c r="MY95" s="33"/>
      <c r="MZ95" s="33"/>
      <c r="NA95" s="33"/>
      <c r="NB95" s="33"/>
      <c r="NC95" s="33"/>
      <c r="ND95" s="33"/>
      <c r="NE95" s="33"/>
      <c r="NF95" s="33"/>
      <c r="NG95" s="33"/>
      <c r="NH95" s="33"/>
      <c r="NI95" s="33"/>
      <c r="NJ95" s="33"/>
      <c r="NK95" s="33"/>
      <c r="NL95" s="34"/>
    </row>
    <row r="96" spans="1:376" x14ac:dyDescent="0.15">
      <c r="A96" s="35">
        <f>A95</f>
        <v>42</v>
      </c>
      <c r="B96" s="36" t="str">
        <f>B95</f>
        <v>PG</v>
      </c>
      <c r="C96" s="36" t="str">
        <f>C95</f>
        <v>Webアプリ実装レビュー</v>
      </c>
      <c r="D96" s="37" t="str">
        <f>D95</f>
        <v>伊藤</v>
      </c>
      <c r="E96" s="53" t="s">
        <v>0</v>
      </c>
      <c r="F96" s="54"/>
      <c r="G96" s="54"/>
      <c r="H96" s="55">
        <f t="shared" si="234"/>
        <v>0</v>
      </c>
      <c r="I96" s="56">
        <f>IF(OR(H95="",H96=""),"",H96-H95)</f>
        <v>-4</v>
      </c>
      <c r="J96" s="57"/>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c r="BS96" s="59"/>
      <c r="BT96" s="59"/>
      <c r="BU96" s="59"/>
      <c r="BV96" s="59"/>
      <c r="BW96" s="59"/>
      <c r="BX96" s="59"/>
      <c r="BY96" s="59"/>
      <c r="BZ96" s="59"/>
      <c r="CA96" s="59"/>
      <c r="CB96" s="59"/>
      <c r="CC96" s="59"/>
      <c r="CD96" s="59"/>
      <c r="CE96" s="59"/>
      <c r="CF96" s="59"/>
      <c r="CG96" s="59"/>
      <c r="CH96" s="59"/>
      <c r="CI96" s="59"/>
      <c r="CJ96" s="59"/>
      <c r="CK96" s="59"/>
      <c r="CL96" s="59"/>
      <c r="CM96" s="59"/>
      <c r="CN96" s="59"/>
      <c r="CO96" s="59"/>
      <c r="CP96" s="59"/>
      <c r="CQ96" s="59"/>
      <c r="CR96" s="59"/>
      <c r="CS96" s="59"/>
      <c r="CT96" s="59"/>
      <c r="CU96" s="59"/>
      <c r="CV96" s="59"/>
      <c r="CW96" s="59"/>
      <c r="CX96" s="59"/>
      <c r="CY96" s="59"/>
      <c r="CZ96" s="59"/>
      <c r="DA96" s="59"/>
      <c r="DB96" s="59"/>
      <c r="DC96" s="59"/>
      <c r="DD96" s="59"/>
      <c r="DE96" s="59"/>
      <c r="DF96" s="59"/>
      <c r="DG96" s="59"/>
      <c r="DH96" s="59"/>
      <c r="DI96" s="59"/>
      <c r="DJ96" s="59"/>
      <c r="DK96" s="59"/>
      <c r="DL96" s="59"/>
      <c r="DM96" s="59"/>
      <c r="DN96" s="59"/>
      <c r="DO96" s="59"/>
      <c r="DP96" s="59"/>
      <c r="DQ96" s="59"/>
      <c r="DR96" s="59"/>
      <c r="DS96" s="59"/>
      <c r="DT96" s="59"/>
      <c r="DU96" s="59"/>
      <c r="DV96" s="59"/>
      <c r="DW96" s="59"/>
      <c r="DX96" s="59"/>
      <c r="DY96" s="59"/>
      <c r="DZ96" s="59"/>
      <c r="EA96" s="59"/>
      <c r="EB96" s="59"/>
      <c r="EC96" s="59"/>
      <c r="ED96" s="59"/>
      <c r="EE96" s="59"/>
      <c r="EF96" s="59"/>
      <c r="EG96" s="59"/>
      <c r="EH96" s="59"/>
      <c r="EI96" s="59"/>
      <c r="EJ96" s="59"/>
      <c r="EK96" s="59"/>
      <c r="EL96" s="59"/>
      <c r="EM96" s="59"/>
      <c r="EN96" s="59"/>
      <c r="EO96" s="59"/>
      <c r="EP96" s="59"/>
      <c r="EQ96" s="59"/>
      <c r="ER96" s="59"/>
      <c r="ES96" s="59"/>
      <c r="ET96" s="59"/>
      <c r="EU96" s="59"/>
      <c r="EV96" s="59"/>
      <c r="EW96" s="59"/>
      <c r="EX96" s="59"/>
      <c r="EY96" s="59"/>
      <c r="EZ96" s="59"/>
      <c r="FA96" s="59"/>
      <c r="FB96" s="59"/>
      <c r="FC96" s="59"/>
      <c r="FD96" s="59"/>
      <c r="FE96" s="59"/>
      <c r="FF96" s="59"/>
      <c r="FG96" s="59"/>
      <c r="FH96" s="59"/>
      <c r="FI96" s="59"/>
      <c r="FJ96" s="59"/>
      <c r="FK96" s="59"/>
      <c r="FL96" s="59"/>
      <c r="FM96" s="59"/>
      <c r="FN96" s="59"/>
      <c r="FO96" s="59"/>
      <c r="FP96" s="59"/>
      <c r="FQ96" s="59"/>
      <c r="FR96" s="59"/>
      <c r="FS96" s="59"/>
      <c r="FT96" s="59"/>
      <c r="FU96" s="59"/>
      <c r="FV96" s="59"/>
      <c r="FW96" s="59"/>
      <c r="FX96" s="59"/>
      <c r="FY96" s="59"/>
      <c r="FZ96" s="59"/>
      <c r="GA96" s="59"/>
      <c r="GB96" s="59"/>
      <c r="GC96" s="59"/>
      <c r="GD96" s="59"/>
      <c r="GE96" s="59"/>
      <c r="GF96" s="59"/>
      <c r="GG96" s="59"/>
      <c r="GH96" s="59"/>
      <c r="GI96" s="59"/>
      <c r="GJ96" s="59"/>
      <c r="GK96" s="59"/>
      <c r="GL96" s="59"/>
      <c r="GM96" s="59"/>
      <c r="GN96" s="59"/>
      <c r="GO96" s="59"/>
      <c r="GP96" s="59"/>
      <c r="GQ96" s="59"/>
      <c r="GR96" s="59"/>
      <c r="GS96" s="59"/>
      <c r="GT96" s="59"/>
      <c r="GU96" s="59"/>
      <c r="GV96" s="59"/>
      <c r="GW96" s="59"/>
      <c r="GX96" s="59"/>
      <c r="GY96" s="59"/>
      <c r="GZ96" s="59"/>
      <c r="HA96" s="59"/>
      <c r="HB96" s="59"/>
      <c r="HC96" s="59"/>
      <c r="HD96" s="59"/>
      <c r="HE96" s="59"/>
      <c r="HF96" s="59"/>
      <c r="HG96" s="59"/>
      <c r="HH96" s="59"/>
      <c r="HI96" s="59"/>
      <c r="HJ96" s="59"/>
      <c r="HK96" s="59"/>
      <c r="HL96" s="59"/>
      <c r="HM96" s="59"/>
      <c r="HN96" s="59"/>
      <c r="HO96" s="59"/>
      <c r="HP96" s="59"/>
      <c r="HQ96" s="59"/>
      <c r="HR96" s="59"/>
      <c r="HS96" s="59"/>
      <c r="HT96" s="59"/>
      <c r="HU96" s="59"/>
      <c r="HV96" s="59"/>
      <c r="HW96" s="59"/>
      <c r="HX96" s="59"/>
      <c r="HY96" s="59"/>
      <c r="HZ96" s="59"/>
      <c r="IA96" s="59"/>
      <c r="IB96" s="59"/>
      <c r="IC96" s="59"/>
      <c r="ID96" s="59"/>
      <c r="IE96" s="59"/>
      <c r="IF96" s="59"/>
      <c r="IG96" s="59"/>
      <c r="IH96" s="59"/>
      <c r="II96" s="59"/>
      <c r="IJ96" s="59"/>
      <c r="IK96" s="59"/>
      <c r="IL96" s="59"/>
      <c r="IM96" s="59"/>
      <c r="IN96" s="59"/>
      <c r="IO96" s="59"/>
      <c r="IP96" s="59"/>
      <c r="IQ96" s="59"/>
      <c r="IR96" s="59"/>
      <c r="IS96" s="59"/>
      <c r="IT96" s="59"/>
      <c r="IU96" s="59"/>
      <c r="IV96" s="59"/>
      <c r="IW96" s="59"/>
      <c r="IX96" s="59"/>
      <c r="IY96" s="59"/>
      <c r="IZ96" s="59"/>
      <c r="JA96" s="59"/>
      <c r="JB96" s="59"/>
      <c r="JC96" s="59"/>
      <c r="JD96" s="59"/>
      <c r="JE96" s="59"/>
      <c r="JF96" s="59"/>
      <c r="JG96" s="59"/>
      <c r="JH96" s="59"/>
      <c r="JI96" s="59"/>
      <c r="JJ96" s="59"/>
      <c r="JK96" s="59"/>
      <c r="JL96" s="59"/>
      <c r="JM96" s="59"/>
      <c r="JN96" s="59"/>
      <c r="JO96" s="59"/>
      <c r="JP96" s="59"/>
      <c r="JQ96" s="59"/>
      <c r="JR96" s="59"/>
      <c r="JS96" s="59"/>
      <c r="JT96" s="59"/>
      <c r="JU96" s="59"/>
      <c r="JV96" s="59"/>
      <c r="JW96" s="59"/>
      <c r="JX96" s="59"/>
      <c r="JY96" s="59"/>
      <c r="JZ96" s="59"/>
      <c r="KA96" s="59"/>
      <c r="KB96" s="59"/>
      <c r="KC96" s="59"/>
      <c r="KD96" s="59"/>
      <c r="KE96" s="59"/>
      <c r="KF96" s="59"/>
      <c r="KG96" s="59"/>
      <c r="KH96" s="59"/>
      <c r="KI96" s="59"/>
      <c r="KJ96" s="59"/>
      <c r="KK96" s="59"/>
      <c r="KL96" s="59"/>
      <c r="KM96" s="59"/>
      <c r="KN96" s="59"/>
      <c r="KO96" s="59"/>
      <c r="KP96" s="59"/>
      <c r="KQ96" s="59"/>
      <c r="KR96" s="59"/>
      <c r="KS96" s="59"/>
      <c r="KT96" s="59"/>
      <c r="KU96" s="59"/>
      <c r="KV96" s="59"/>
      <c r="KW96" s="59"/>
      <c r="KX96" s="59"/>
      <c r="KY96" s="59"/>
      <c r="KZ96" s="59"/>
      <c r="LA96" s="59"/>
      <c r="LB96" s="59"/>
      <c r="LC96" s="59"/>
      <c r="LD96" s="59"/>
      <c r="LE96" s="59"/>
      <c r="LF96" s="59"/>
      <c r="LG96" s="59"/>
      <c r="LH96" s="59"/>
      <c r="LI96" s="59"/>
      <c r="LJ96" s="59"/>
      <c r="LK96" s="59"/>
      <c r="LL96" s="59"/>
      <c r="LM96" s="59"/>
      <c r="LN96" s="59"/>
      <c r="LO96" s="59"/>
      <c r="LP96" s="59"/>
      <c r="LQ96" s="59"/>
      <c r="LR96" s="59"/>
      <c r="LS96" s="59"/>
      <c r="LT96" s="59"/>
      <c r="LU96" s="59"/>
      <c r="LV96" s="59"/>
      <c r="LW96" s="59"/>
      <c r="LX96" s="59"/>
      <c r="LY96" s="59"/>
      <c r="LZ96" s="59"/>
      <c r="MA96" s="59"/>
      <c r="MB96" s="59"/>
      <c r="MC96" s="59"/>
      <c r="MD96" s="59"/>
      <c r="ME96" s="59"/>
      <c r="MF96" s="59"/>
      <c r="MG96" s="59"/>
      <c r="MH96" s="59"/>
      <c r="MI96" s="59"/>
      <c r="MJ96" s="59"/>
      <c r="MK96" s="59"/>
      <c r="ML96" s="59"/>
      <c r="MM96" s="59"/>
      <c r="MN96" s="59"/>
      <c r="MO96" s="59"/>
      <c r="MP96" s="59"/>
      <c r="MQ96" s="59"/>
      <c r="MR96" s="59"/>
      <c r="MS96" s="59"/>
      <c r="MT96" s="59"/>
      <c r="MU96" s="59"/>
      <c r="MV96" s="59"/>
      <c r="MW96" s="59"/>
      <c r="MX96" s="59"/>
      <c r="MY96" s="59"/>
      <c r="MZ96" s="59"/>
      <c r="NA96" s="59"/>
      <c r="NB96" s="59"/>
      <c r="NC96" s="59"/>
      <c r="ND96" s="59"/>
      <c r="NE96" s="59"/>
      <c r="NF96" s="59"/>
      <c r="NG96" s="59"/>
      <c r="NH96" s="59"/>
      <c r="NI96" s="59"/>
      <c r="NJ96" s="59"/>
      <c r="NK96" s="59"/>
      <c r="NL96" s="60"/>
    </row>
    <row r="97" spans="1:376" x14ac:dyDescent="0.15">
      <c r="A97" s="23">
        <v>43</v>
      </c>
      <c r="B97" s="24" t="s">
        <v>148</v>
      </c>
      <c r="C97" s="45" t="s">
        <v>151</v>
      </c>
      <c r="D97" s="26" t="s">
        <v>114</v>
      </c>
      <c r="E97" s="27" t="s">
        <v>13</v>
      </c>
      <c r="F97" s="28">
        <v>43093</v>
      </c>
      <c r="G97" s="28">
        <v>43107</v>
      </c>
      <c r="H97" s="29">
        <f t="shared" si="234"/>
        <v>10</v>
      </c>
      <c r="I97" s="30"/>
      <c r="J97" s="31"/>
      <c r="K97" s="32"/>
      <c r="L97" s="32"/>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3"/>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33"/>
      <c r="CA97" s="33"/>
      <c r="CB97" s="33"/>
      <c r="CC97" s="33"/>
      <c r="CD97" s="33"/>
      <c r="CE97" s="33"/>
      <c r="CF97" s="33"/>
      <c r="CG97" s="33"/>
      <c r="CH97" s="33"/>
      <c r="CI97" s="33"/>
      <c r="CJ97" s="33"/>
      <c r="CK97" s="33"/>
      <c r="CL97" s="33"/>
      <c r="CM97" s="33"/>
      <c r="CN97" s="33"/>
      <c r="CO97" s="33"/>
      <c r="CP97" s="33"/>
      <c r="CQ97" s="33"/>
      <c r="CR97" s="33"/>
      <c r="CS97" s="33"/>
      <c r="CT97" s="33"/>
      <c r="CU97" s="33"/>
      <c r="CV97" s="33"/>
      <c r="CW97" s="33"/>
      <c r="CX97" s="33"/>
      <c r="CY97" s="33"/>
      <c r="CZ97" s="33"/>
      <c r="DA97" s="33"/>
      <c r="DB97" s="33"/>
      <c r="DC97" s="33"/>
      <c r="DD97" s="33"/>
      <c r="DE97" s="33"/>
      <c r="DF97" s="33"/>
      <c r="DG97" s="33"/>
      <c r="DH97" s="33"/>
      <c r="DI97" s="33"/>
      <c r="DJ97" s="33"/>
      <c r="DK97" s="33"/>
      <c r="DL97" s="33"/>
      <c r="DM97" s="33"/>
      <c r="DN97" s="33"/>
      <c r="DO97" s="33"/>
      <c r="DP97" s="33"/>
      <c r="DQ97" s="33"/>
      <c r="DR97" s="33"/>
      <c r="DS97" s="33"/>
      <c r="DT97" s="33"/>
      <c r="DU97" s="33"/>
      <c r="DV97" s="33"/>
      <c r="DW97" s="33"/>
      <c r="DX97" s="33"/>
      <c r="DY97" s="33"/>
      <c r="DZ97" s="33"/>
      <c r="EA97" s="33"/>
      <c r="EB97" s="33"/>
      <c r="EC97" s="33"/>
      <c r="ED97" s="33"/>
      <c r="EE97" s="33"/>
      <c r="EF97" s="33"/>
      <c r="EG97" s="33"/>
      <c r="EH97" s="33"/>
      <c r="EI97" s="33"/>
      <c r="EJ97" s="33"/>
      <c r="EK97" s="33"/>
      <c r="EL97" s="33"/>
      <c r="EM97" s="33"/>
      <c r="EN97" s="33"/>
      <c r="EO97" s="33"/>
      <c r="EP97" s="33"/>
      <c r="EQ97" s="33"/>
      <c r="ER97" s="33"/>
      <c r="ES97" s="33"/>
      <c r="ET97" s="33"/>
      <c r="EU97" s="33"/>
      <c r="EV97" s="33"/>
      <c r="EW97" s="33"/>
      <c r="EX97" s="33"/>
      <c r="EY97" s="33"/>
      <c r="EZ97" s="33"/>
      <c r="FA97" s="33"/>
      <c r="FB97" s="33"/>
      <c r="FC97" s="33"/>
      <c r="FD97" s="33"/>
      <c r="FE97" s="33"/>
      <c r="FF97" s="33"/>
      <c r="FG97" s="33"/>
      <c r="FH97" s="33"/>
      <c r="FI97" s="33"/>
      <c r="FJ97" s="33"/>
      <c r="FK97" s="33"/>
      <c r="FL97" s="33"/>
      <c r="FM97" s="33"/>
      <c r="FN97" s="33"/>
      <c r="FO97" s="33"/>
      <c r="FP97" s="33"/>
      <c r="FQ97" s="33"/>
      <c r="FR97" s="33"/>
      <c r="FS97" s="33"/>
      <c r="FT97" s="33"/>
      <c r="FU97" s="33"/>
      <c r="FV97" s="33"/>
      <c r="FW97" s="33"/>
      <c r="FX97" s="33"/>
      <c r="FY97" s="33"/>
      <c r="FZ97" s="33"/>
      <c r="GA97" s="33"/>
      <c r="GB97" s="33"/>
      <c r="GC97" s="33"/>
      <c r="GD97" s="33"/>
      <c r="GE97" s="33"/>
      <c r="GF97" s="33"/>
      <c r="GG97" s="33"/>
      <c r="GH97" s="33"/>
      <c r="GI97" s="33"/>
      <c r="GJ97" s="33"/>
      <c r="GK97" s="33"/>
      <c r="GL97" s="33"/>
      <c r="GM97" s="33"/>
      <c r="GN97" s="33"/>
      <c r="GO97" s="33"/>
      <c r="GP97" s="33"/>
      <c r="GQ97" s="33"/>
      <c r="GR97" s="33"/>
      <c r="GS97" s="33"/>
      <c r="GT97" s="33"/>
      <c r="GU97" s="33"/>
      <c r="GV97" s="33"/>
      <c r="GW97" s="33"/>
      <c r="GX97" s="33"/>
      <c r="GY97" s="33"/>
      <c r="GZ97" s="33"/>
      <c r="HA97" s="33"/>
      <c r="HB97" s="33"/>
      <c r="HC97" s="33"/>
      <c r="HD97" s="33"/>
      <c r="HE97" s="33"/>
      <c r="HF97" s="33"/>
      <c r="HG97" s="33"/>
      <c r="HH97" s="33"/>
      <c r="HI97" s="33"/>
      <c r="HJ97" s="33"/>
      <c r="HK97" s="33"/>
      <c r="HL97" s="33"/>
      <c r="HM97" s="33"/>
      <c r="HN97" s="33"/>
      <c r="HO97" s="33"/>
      <c r="HP97" s="33"/>
      <c r="HQ97" s="33"/>
      <c r="HR97" s="33"/>
      <c r="HS97" s="33"/>
      <c r="HT97" s="33"/>
      <c r="HU97" s="33"/>
      <c r="HV97" s="33"/>
      <c r="HW97" s="33"/>
      <c r="HX97" s="33"/>
      <c r="HY97" s="33"/>
      <c r="HZ97" s="33"/>
      <c r="IA97" s="33"/>
      <c r="IB97" s="33"/>
      <c r="IC97" s="33"/>
      <c r="ID97" s="33"/>
      <c r="IE97" s="33"/>
      <c r="IF97" s="33"/>
      <c r="IG97" s="33"/>
      <c r="IH97" s="33"/>
      <c r="II97" s="33"/>
      <c r="IJ97" s="33"/>
      <c r="IK97" s="33"/>
      <c r="IL97" s="33"/>
      <c r="IM97" s="33"/>
      <c r="IN97" s="33"/>
      <c r="IO97" s="33"/>
      <c r="IP97" s="33"/>
      <c r="IQ97" s="33"/>
      <c r="IR97" s="33"/>
      <c r="IS97" s="33"/>
      <c r="IT97" s="33"/>
      <c r="IU97" s="33"/>
      <c r="IV97" s="33"/>
      <c r="IW97" s="33"/>
      <c r="IX97" s="33"/>
      <c r="IY97" s="33"/>
      <c r="IZ97" s="33"/>
      <c r="JA97" s="33"/>
      <c r="JB97" s="33"/>
      <c r="JC97" s="33"/>
      <c r="JD97" s="33"/>
      <c r="JE97" s="33"/>
      <c r="JF97" s="33"/>
      <c r="JG97" s="33"/>
      <c r="JH97" s="33"/>
      <c r="JI97" s="33"/>
      <c r="JJ97" s="33"/>
      <c r="JK97" s="33"/>
      <c r="JL97" s="33"/>
      <c r="JM97" s="33"/>
      <c r="JN97" s="33"/>
      <c r="JO97" s="33">
        <v>2</v>
      </c>
      <c r="JP97" s="33"/>
      <c r="JQ97" s="33"/>
      <c r="JR97" s="33"/>
      <c r="JS97" s="33"/>
      <c r="JT97" s="33"/>
      <c r="JU97" s="33">
        <v>4</v>
      </c>
      <c r="JV97" s="33"/>
      <c r="JW97" s="33"/>
      <c r="JX97" s="33"/>
      <c r="JY97" s="33"/>
      <c r="JZ97" s="33"/>
      <c r="KA97" s="33"/>
      <c r="KB97" s="33">
        <v>4</v>
      </c>
      <c r="KC97" s="33"/>
      <c r="KD97" s="33"/>
      <c r="KE97" s="33"/>
      <c r="KF97" s="33"/>
      <c r="KG97" s="33"/>
      <c r="KH97" s="33"/>
      <c r="KI97" s="33"/>
      <c r="KJ97" s="33"/>
      <c r="KK97" s="33"/>
      <c r="KL97" s="33"/>
      <c r="KM97" s="33"/>
      <c r="KN97" s="33"/>
      <c r="KO97" s="33"/>
      <c r="KP97" s="33"/>
      <c r="KQ97" s="33"/>
      <c r="KR97" s="33"/>
      <c r="KS97" s="33"/>
      <c r="KT97" s="33"/>
      <c r="KU97" s="33"/>
      <c r="KV97" s="33"/>
      <c r="KW97" s="33"/>
      <c r="KX97" s="33"/>
      <c r="KY97" s="33"/>
      <c r="KZ97" s="33"/>
      <c r="LA97" s="33"/>
      <c r="LB97" s="33"/>
      <c r="LC97" s="33"/>
      <c r="LD97" s="33"/>
      <c r="LE97" s="33"/>
      <c r="LF97" s="33"/>
      <c r="LG97" s="33"/>
      <c r="LH97" s="33"/>
      <c r="LI97" s="33"/>
      <c r="LJ97" s="33"/>
      <c r="LK97" s="33"/>
      <c r="LL97" s="33"/>
      <c r="LM97" s="33"/>
      <c r="LN97" s="33"/>
      <c r="LO97" s="33"/>
      <c r="LP97" s="33"/>
      <c r="LQ97" s="33"/>
      <c r="LR97" s="33"/>
      <c r="LS97" s="33"/>
      <c r="LT97" s="33"/>
      <c r="LU97" s="33"/>
      <c r="LV97" s="33"/>
      <c r="LW97" s="33"/>
      <c r="LX97" s="33"/>
      <c r="LY97" s="33"/>
      <c r="LZ97" s="33"/>
      <c r="MA97" s="33"/>
      <c r="MB97" s="33"/>
      <c r="MC97" s="33"/>
      <c r="MD97" s="33"/>
      <c r="ME97" s="33"/>
      <c r="MF97" s="33"/>
      <c r="MG97" s="33"/>
      <c r="MH97" s="33"/>
      <c r="MI97" s="33"/>
      <c r="MJ97" s="33"/>
      <c r="MK97" s="33"/>
      <c r="ML97" s="33"/>
      <c r="MM97" s="33"/>
      <c r="MN97" s="33"/>
      <c r="MO97" s="33"/>
      <c r="MP97" s="33"/>
      <c r="MQ97" s="33"/>
      <c r="MR97" s="33"/>
      <c r="MS97" s="33"/>
      <c r="MT97" s="33"/>
      <c r="MU97" s="33"/>
      <c r="MV97" s="33"/>
      <c r="MW97" s="33"/>
      <c r="MX97" s="33"/>
      <c r="MY97" s="33"/>
      <c r="MZ97" s="33"/>
      <c r="NA97" s="33"/>
      <c r="NB97" s="33"/>
      <c r="NC97" s="33"/>
      <c r="ND97" s="33"/>
      <c r="NE97" s="33"/>
      <c r="NF97" s="33"/>
      <c r="NG97" s="33"/>
      <c r="NH97" s="33"/>
      <c r="NI97" s="33"/>
      <c r="NJ97" s="33"/>
      <c r="NK97" s="33"/>
      <c r="NL97" s="34"/>
    </row>
    <row r="98" spans="1:376" x14ac:dyDescent="0.15">
      <c r="A98" s="35">
        <f>A97</f>
        <v>43</v>
      </c>
      <c r="B98" s="36" t="str">
        <f>B97</f>
        <v>PG</v>
      </c>
      <c r="C98" s="36" t="str">
        <f>C97</f>
        <v>Webアプリ実装レビュー指摘対応</v>
      </c>
      <c r="D98" s="37" t="str">
        <f>D97</f>
        <v>那須</v>
      </c>
      <c r="E98" s="53" t="s">
        <v>0</v>
      </c>
      <c r="F98" s="54"/>
      <c r="G98" s="54"/>
      <c r="H98" s="55">
        <f t="shared" si="234"/>
        <v>0</v>
      </c>
      <c r="I98" s="56">
        <f>IF(OR(H97="",H98=""),"",H98-H97)</f>
        <v>-10</v>
      </c>
      <c r="J98" s="57"/>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c r="BS98" s="59"/>
      <c r="BT98" s="59"/>
      <c r="BU98" s="59"/>
      <c r="BV98" s="59"/>
      <c r="BW98" s="59"/>
      <c r="BX98" s="59"/>
      <c r="BY98" s="59"/>
      <c r="BZ98" s="59"/>
      <c r="CA98" s="59"/>
      <c r="CB98" s="59"/>
      <c r="CC98" s="59"/>
      <c r="CD98" s="59"/>
      <c r="CE98" s="59"/>
      <c r="CF98" s="59"/>
      <c r="CG98" s="59"/>
      <c r="CH98" s="59"/>
      <c r="CI98" s="59"/>
      <c r="CJ98" s="59"/>
      <c r="CK98" s="59"/>
      <c r="CL98" s="59"/>
      <c r="CM98" s="59"/>
      <c r="CN98" s="59"/>
      <c r="CO98" s="59"/>
      <c r="CP98" s="59"/>
      <c r="CQ98" s="59"/>
      <c r="CR98" s="59"/>
      <c r="CS98" s="59"/>
      <c r="CT98" s="59"/>
      <c r="CU98" s="59"/>
      <c r="CV98" s="59"/>
      <c r="CW98" s="59"/>
      <c r="CX98" s="59"/>
      <c r="CY98" s="59"/>
      <c r="CZ98" s="59"/>
      <c r="DA98" s="59"/>
      <c r="DB98" s="59"/>
      <c r="DC98" s="59"/>
      <c r="DD98" s="59"/>
      <c r="DE98" s="59"/>
      <c r="DF98" s="59"/>
      <c r="DG98" s="59"/>
      <c r="DH98" s="59"/>
      <c r="DI98" s="59"/>
      <c r="DJ98" s="59"/>
      <c r="DK98" s="59"/>
      <c r="DL98" s="59"/>
      <c r="DM98" s="59"/>
      <c r="DN98" s="59"/>
      <c r="DO98" s="59"/>
      <c r="DP98" s="59"/>
      <c r="DQ98" s="59"/>
      <c r="DR98" s="59"/>
      <c r="DS98" s="59"/>
      <c r="DT98" s="59"/>
      <c r="DU98" s="59"/>
      <c r="DV98" s="59"/>
      <c r="DW98" s="59"/>
      <c r="DX98" s="59"/>
      <c r="DY98" s="59"/>
      <c r="DZ98" s="59"/>
      <c r="EA98" s="59"/>
      <c r="EB98" s="59"/>
      <c r="EC98" s="59"/>
      <c r="ED98" s="59"/>
      <c r="EE98" s="59"/>
      <c r="EF98" s="59"/>
      <c r="EG98" s="59"/>
      <c r="EH98" s="59"/>
      <c r="EI98" s="59"/>
      <c r="EJ98" s="59"/>
      <c r="EK98" s="59"/>
      <c r="EL98" s="59"/>
      <c r="EM98" s="59"/>
      <c r="EN98" s="59"/>
      <c r="EO98" s="59"/>
      <c r="EP98" s="59"/>
      <c r="EQ98" s="59"/>
      <c r="ER98" s="59"/>
      <c r="ES98" s="59"/>
      <c r="ET98" s="59"/>
      <c r="EU98" s="59"/>
      <c r="EV98" s="59"/>
      <c r="EW98" s="59"/>
      <c r="EX98" s="59"/>
      <c r="EY98" s="59"/>
      <c r="EZ98" s="59"/>
      <c r="FA98" s="59"/>
      <c r="FB98" s="59"/>
      <c r="FC98" s="59"/>
      <c r="FD98" s="59"/>
      <c r="FE98" s="59"/>
      <c r="FF98" s="59"/>
      <c r="FG98" s="59"/>
      <c r="FH98" s="59"/>
      <c r="FI98" s="59"/>
      <c r="FJ98" s="59"/>
      <c r="FK98" s="59"/>
      <c r="FL98" s="59"/>
      <c r="FM98" s="59"/>
      <c r="FN98" s="59"/>
      <c r="FO98" s="59"/>
      <c r="FP98" s="59"/>
      <c r="FQ98" s="59"/>
      <c r="FR98" s="59"/>
      <c r="FS98" s="59"/>
      <c r="FT98" s="59"/>
      <c r="FU98" s="59"/>
      <c r="FV98" s="59"/>
      <c r="FW98" s="59"/>
      <c r="FX98" s="59"/>
      <c r="FY98" s="59"/>
      <c r="FZ98" s="59"/>
      <c r="GA98" s="59"/>
      <c r="GB98" s="59"/>
      <c r="GC98" s="59"/>
      <c r="GD98" s="59"/>
      <c r="GE98" s="59"/>
      <c r="GF98" s="59"/>
      <c r="GG98" s="59"/>
      <c r="GH98" s="59"/>
      <c r="GI98" s="59"/>
      <c r="GJ98" s="59"/>
      <c r="GK98" s="59"/>
      <c r="GL98" s="59"/>
      <c r="GM98" s="59"/>
      <c r="GN98" s="59"/>
      <c r="GO98" s="59"/>
      <c r="GP98" s="59"/>
      <c r="GQ98" s="59"/>
      <c r="GR98" s="59"/>
      <c r="GS98" s="59"/>
      <c r="GT98" s="59"/>
      <c r="GU98" s="59"/>
      <c r="GV98" s="59"/>
      <c r="GW98" s="59"/>
      <c r="GX98" s="59"/>
      <c r="GY98" s="59"/>
      <c r="GZ98" s="59"/>
      <c r="HA98" s="59"/>
      <c r="HB98" s="59"/>
      <c r="HC98" s="59"/>
      <c r="HD98" s="59"/>
      <c r="HE98" s="59"/>
      <c r="HF98" s="59"/>
      <c r="HG98" s="59"/>
      <c r="HH98" s="59"/>
      <c r="HI98" s="59"/>
      <c r="HJ98" s="59"/>
      <c r="HK98" s="59"/>
      <c r="HL98" s="59"/>
      <c r="HM98" s="59"/>
      <c r="HN98" s="59"/>
      <c r="HO98" s="59"/>
      <c r="HP98" s="59"/>
      <c r="HQ98" s="59"/>
      <c r="HR98" s="59"/>
      <c r="HS98" s="59"/>
      <c r="HT98" s="59"/>
      <c r="HU98" s="59"/>
      <c r="HV98" s="59"/>
      <c r="HW98" s="59"/>
      <c r="HX98" s="59"/>
      <c r="HY98" s="59"/>
      <c r="HZ98" s="59"/>
      <c r="IA98" s="59"/>
      <c r="IB98" s="59"/>
      <c r="IC98" s="59"/>
      <c r="ID98" s="59"/>
      <c r="IE98" s="59"/>
      <c r="IF98" s="59"/>
      <c r="IG98" s="59"/>
      <c r="IH98" s="59"/>
      <c r="II98" s="59"/>
      <c r="IJ98" s="59"/>
      <c r="IK98" s="59"/>
      <c r="IL98" s="59"/>
      <c r="IM98" s="59"/>
      <c r="IN98" s="59"/>
      <c r="IO98" s="59"/>
      <c r="IP98" s="59"/>
      <c r="IQ98" s="59"/>
      <c r="IR98" s="59"/>
      <c r="IS98" s="59"/>
      <c r="IT98" s="59"/>
      <c r="IU98" s="59"/>
      <c r="IV98" s="59"/>
      <c r="IW98" s="59"/>
      <c r="IX98" s="59"/>
      <c r="IY98" s="59"/>
      <c r="IZ98" s="59"/>
      <c r="JA98" s="59"/>
      <c r="JB98" s="59"/>
      <c r="JC98" s="59"/>
      <c r="JD98" s="59"/>
      <c r="JE98" s="59"/>
      <c r="JF98" s="59"/>
      <c r="JG98" s="59"/>
      <c r="JH98" s="59"/>
      <c r="JI98" s="59"/>
      <c r="JJ98" s="59"/>
      <c r="JK98" s="59"/>
      <c r="JL98" s="59"/>
      <c r="JM98" s="59"/>
      <c r="JN98" s="59"/>
      <c r="JO98" s="59"/>
      <c r="JP98" s="59"/>
      <c r="JQ98" s="59"/>
      <c r="JR98" s="59"/>
      <c r="JS98" s="59"/>
      <c r="JT98" s="59"/>
      <c r="JU98" s="59"/>
      <c r="JV98" s="59"/>
      <c r="JW98" s="59"/>
      <c r="JX98" s="59"/>
      <c r="JY98" s="59"/>
      <c r="JZ98" s="59"/>
      <c r="KA98" s="59"/>
      <c r="KB98" s="59"/>
      <c r="KC98" s="59"/>
      <c r="KD98" s="59"/>
      <c r="KE98" s="59"/>
      <c r="KF98" s="59"/>
      <c r="KG98" s="59"/>
      <c r="KH98" s="59"/>
      <c r="KI98" s="59"/>
      <c r="KJ98" s="59"/>
      <c r="KK98" s="59"/>
      <c r="KL98" s="59"/>
      <c r="KM98" s="59"/>
      <c r="KN98" s="59"/>
      <c r="KO98" s="59"/>
      <c r="KP98" s="59"/>
      <c r="KQ98" s="59"/>
      <c r="KR98" s="59"/>
      <c r="KS98" s="59"/>
      <c r="KT98" s="59"/>
      <c r="KU98" s="59"/>
      <c r="KV98" s="59"/>
      <c r="KW98" s="59"/>
      <c r="KX98" s="59"/>
      <c r="KY98" s="59"/>
      <c r="KZ98" s="59"/>
      <c r="LA98" s="59"/>
      <c r="LB98" s="59"/>
      <c r="LC98" s="59"/>
      <c r="LD98" s="59"/>
      <c r="LE98" s="59"/>
      <c r="LF98" s="59"/>
      <c r="LG98" s="59"/>
      <c r="LH98" s="59"/>
      <c r="LI98" s="59"/>
      <c r="LJ98" s="59"/>
      <c r="LK98" s="59"/>
      <c r="LL98" s="59"/>
      <c r="LM98" s="59"/>
      <c r="LN98" s="59"/>
      <c r="LO98" s="59"/>
      <c r="LP98" s="59"/>
      <c r="LQ98" s="59"/>
      <c r="LR98" s="59"/>
      <c r="LS98" s="59"/>
      <c r="LT98" s="59"/>
      <c r="LU98" s="59"/>
      <c r="LV98" s="59"/>
      <c r="LW98" s="59"/>
      <c r="LX98" s="59"/>
      <c r="LY98" s="59"/>
      <c r="LZ98" s="59"/>
      <c r="MA98" s="59"/>
      <c r="MB98" s="59"/>
      <c r="MC98" s="59"/>
      <c r="MD98" s="59"/>
      <c r="ME98" s="59"/>
      <c r="MF98" s="59"/>
      <c r="MG98" s="59"/>
      <c r="MH98" s="59"/>
      <c r="MI98" s="59"/>
      <c r="MJ98" s="59"/>
      <c r="MK98" s="59"/>
      <c r="ML98" s="59"/>
      <c r="MM98" s="59"/>
      <c r="MN98" s="59"/>
      <c r="MO98" s="59"/>
      <c r="MP98" s="59"/>
      <c r="MQ98" s="59"/>
      <c r="MR98" s="59"/>
      <c r="MS98" s="59"/>
      <c r="MT98" s="59"/>
      <c r="MU98" s="59"/>
      <c r="MV98" s="59"/>
      <c r="MW98" s="59"/>
      <c r="MX98" s="59"/>
      <c r="MY98" s="59"/>
      <c r="MZ98" s="59"/>
      <c r="NA98" s="59"/>
      <c r="NB98" s="59"/>
      <c r="NC98" s="59"/>
      <c r="ND98" s="59"/>
      <c r="NE98" s="59"/>
      <c r="NF98" s="59"/>
      <c r="NG98" s="59"/>
      <c r="NH98" s="59"/>
      <c r="NI98" s="59"/>
      <c r="NJ98" s="59"/>
      <c r="NK98" s="59"/>
      <c r="NL98" s="60"/>
    </row>
    <row r="99" spans="1:376" x14ac:dyDescent="0.15">
      <c r="A99" s="23">
        <v>44</v>
      </c>
      <c r="B99" s="24" t="s">
        <v>148</v>
      </c>
      <c r="C99" s="45" t="s">
        <v>152</v>
      </c>
      <c r="D99" s="26" t="s">
        <v>115</v>
      </c>
      <c r="E99" s="27" t="s">
        <v>13</v>
      </c>
      <c r="F99" s="28">
        <v>42982</v>
      </c>
      <c r="G99" s="28">
        <v>43092</v>
      </c>
      <c r="H99" s="29">
        <f t="shared" si="234"/>
        <v>64</v>
      </c>
      <c r="I99" s="30"/>
      <c r="J99" s="31"/>
      <c r="K99" s="32"/>
      <c r="L99" s="32"/>
      <c r="M99" s="32"/>
      <c r="N99" s="32"/>
      <c r="O99" s="32"/>
      <c r="P99" s="32"/>
      <c r="Q99" s="32"/>
      <c r="R99" s="32"/>
      <c r="S99" s="32"/>
      <c r="T99" s="32"/>
      <c r="U99" s="32"/>
      <c r="V99" s="32"/>
      <c r="W99" s="32"/>
      <c r="X99" s="32"/>
      <c r="Y99" s="32"/>
      <c r="Z99" s="32"/>
      <c r="AA99" s="32"/>
      <c r="AB99" s="32"/>
      <c r="AC99" s="32"/>
      <c r="AD99" s="32"/>
      <c r="AE99" s="32"/>
      <c r="AF99" s="32"/>
      <c r="AG99" s="32"/>
      <c r="AH99" s="32"/>
      <c r="AI99" s="32"/>
      <c r="AJ99" s="32"/>
      <c r="AK99" s="32"/>
      <c r="AL99" s="32"/>
      <c r="AM99" s="32"/>
      <c r="AN99" s="32"/>
      <c r="AO99" s="32"/>
      <c r="AP99" s="33"/>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33"/>
      <c r="CA99" s="33"/>
      <c r="CB99" s="33"/>
      <c r="CC99" s="33"/>
      <c r="CD99" s="33"/>
      <c r="CE99" s="33"/>
      <c r="CF99" s="33"/>
      <c r="CG99" s="33"/>
      <c r="CH99" s="33"/>
      <c r="CI99" s="33"/>
      <c r="CJ99" s="33"/>
      <c r="CK99" s="33"/>
      <c r="CL99" s="33"/>
      <c r="CM99" s="33"/>
      <c r="CN99" s="33"/>
      <c r="CO99" s="33"/>
      <c r="CP99" s="33"/>
      <c r="CQ99" s="33"/>
      <c r="CR99" s="33"/>
      <c r="CS99" s="33"/>
      <c r="CT99" s="33"/>
      <c r="CU99" s="33"/>
      <c r="CV99" s="33"/>
      <c r="CW99" s="33"/>
      <c r="CX99" s="33"/>
      <c r="CY99" s="33"/>
      <c r="CZ99" s="33"/>
      <c r="DA99" s="33"/>
      <c r="DB99" s="33"/>
      <c r="DC99" s="33"/>
      <c r="DD99" s="33"/>
      <c r="DE99" s="33"/>
      <c r="DF99" s="33"/>
      <c r="DG99" s="33"/>
      <c r="DH99" s="33"/>
      <c r="DI99" s="33"/>
      <c r="DJ99" s="33"/>
      <c r="DK99" s="33"/>
      <c r="DL99" s="33"/>
      <c r="DM99" s="33"/>
      <c r="DN99" s="33"/>
      <c r="DO99" s="33"/>
      <c r="DP99" s="33"/>
      <c r="DQ99" s="33"/>
      <c r="DR99" s="33"/>
      <c r="DS99" s="33"/>
      <c r="DT99" s="33"/>
      <c r="DU99" s="33"/>
      <c r="DV99" s="33"/>
      <c r="DW99" s="33"/>
      <c r="DX99" s="33"/>
      <c r="DY99" s="33"/>
      <c r="DZ99" s="33"/>
      <c r="EA99" s="33"/>
      <c r="EB99" s="33"/>
      <c r="EC99" s="33"/>
      <c r="ED99" s="33"/>
      <c r="EE99" s="33"/>
      <c r="EF99" s="33"/>
      <c r="EG99" s="33"/>
      <c r="EH99" s="33"/>
      <c r="EI99" s="33"/>
      <c r="EJ99" s="33"/>
      <c r="EK99" s="33"/>
      <c r="EL99" s="33"/>
      <c r="EM99" s="33"/>
      <c r="EN99" s="33"/>
      <c r="EO99" s="33"/>
      <c r="EP99" s="33"/>
      <c r="EQ99" s="33"/>
      <c r="ER99" s="33"/>
      <c r="ES99" s="33"/>
      <c r="ET99" s="33"/>
      <c r="EU99" s="33"/>
      <c r="EV99" s="33"/>
      <c r="EW99" s="33"/>
      <c r="EX99" s="33"/>
      <c r="EY99" s="33"/>
      <c r="EZ99" s="33"/>
      <c r="FA99" s="33"/>
      <c r="FB99" s="33"/>
      <c r="FC99" s="33"/>
      <c r="FD99" s="33"/>
      <c r="FE99" s="33"/>
      <c r="FF99" s="33"/>
      <c r="FG99" s="33"/>
      <c r="FH99" s="33"/>
      <c r="FI99" s="33"/>
      <c r="FJ99" s="33"/>
      <c r="FK99" s="33"/>
      <c r="FL99" s="33"/>
      <c r="FM99" s="33">
        <v>4</v>
      </c>
      <c r="FN99" s="33"/>
      <c r="FO99" s="33"/>
      <c r="FP99" s="33"/>
      <c r="FQ99" s="33"/>
      <c r="FR99" s="33"/>
      <c r="FS99" s="33"/>
      <c r="FT99" s="33">
        <v>4</v>
      </c>
      <c r="FU99" s="33"/>
      <c r="FV99" s="33"/>
      <c r="FW99" s="33"/>
      <c r="FX99" s="33"/>
      <c r="FY99" s="33"/>
      <c r="FZ99" s="33"/>
      <c r="GA99" s="33">
        <v>4</v>
      </c>
      <c r="GB99" s="33"/>
      <c r="GC99" s="33"/>
      <c r="GD99" s="33"/>
      <c r="GE99" s="33"/>
      <c r="GF99" s="33"/>
      <c r="GG99" s="33"/>
      <c r="GH99" s="33">
        <v>4</v>
      </c>
      <c r="GI99" s="33"/>
      <c r="GJ99" s="33"/>
      <c r="GK99" s="33"/>
      <c r="GL99" s="33"/>
      <c r="GM99" s="33"/>
      <c r="GN99" s="33"/>
      <c r="GO99" s="33">
        <v>4</v>
      </c>
      <c r="GP99" s="33"/>
      <c r="GQ99" s="33"/>
      <c r="GR99" s="33"/>
      <c r="GS99" s="33"/>
      <c r="GT99" s="33"/>
      <c r="GU99" s="33"/>
      <c r="GV99" s="33">
        <v>4</v>
      </c>
      <c r="GW99" s="33"/>
      <c r="GX99" s="33"/>
      <c r="GY99" s="33"/>
      <c r="GZ99" s="33"/>
      <c r="HA99" s="33"/>
      <c r="HB99" s="33"/>
      <c r="HC99" s="33">
        <v>4</v>
      </c>
      <c r="HD99" s="33"/>
      <c r="HE99" s="33"/>
      <c r="HF99" s="33"/>
      <c r="HG99" s="33"/>
      <c r="HH99" s="33"/>
      <c r="HI99" s="33"/>
      <c r="HJ99" s="33">
        <v>4</v>
      </c>
      <c r="HK99" s="33"/>
      <c r="HL99" s="33"/>
      <c r="HM99" s="33"/>
      <c r="HN99" s="33"/>
      <c r="HO99" s="33"/>
      <c r="HP99" s="33"/>
      <c r="HQ99" s="33">
        <v>4</v>
      </c>
      <c r="HR99" s="33"/>
      <c r="HS99" s="33"/>
      <c r="HT99" s="33"/>
      <c r="HU99" s="33"/>
      <c r="HV99" s="33"/>
      <c r="HW99" s="33"/>
      <c r="HX99" s="33">
        <v>4</v>
      </c>
      <c r="HY99" s="33"/>
      <c r="HZ99" s="33"/>
      <c r="IA99" s="33"/>
      <c r="IB99" s="33"/>
      <c r="IC99" s="33"/>
      <c r="ID99" s="33"/>
      <c r="IE99" s="33">
        <v>4</v>
      </c>
      <c r="IF99" s="33"/>
      <c r="IG99" s="33"/>
      <c r="IH99" s="33"/>
      <c r="II99" s="33"/>
      <c r="IJ99" s="33"/>
      <c r="IK99" s="33"/>
      <c r="IL99" s="33">
        <v>4</v>
      </c>
      <c r="IM99" s="33"/>
      <c r="IN99" s="33"/>
      <c r="IO99" s="33"/>
      <c r="IP99" s="33"/>
      <c r="IQ99" s="33"/>
      <c r="IR99" s="33"/>
      <c r="IS99" s="33">
        <v>4</v>
      </c>
      <c r="IT99" s="33"/>
      <c r="IU99" s="33"/>
      <c r="IV99" s="33"/>
      <c r="IW99" s="33"/>
      <c r="IX99" s="33"/>
      <c r="IY99" s="33"/>
      <c r="IZ99" s="33">
        <v>4</v>
      </c>
      <c r="JA99" s="33"/>
      <c r="JB99" s="33"/>
      <c r="JC99" s="33"/>
      <c r="JD99" s="33"/>
      <c r="JE99" s="33"/>
      <c r="JF99" s="33"/>
      <c r="JG99" s="33">
        <v>4</v>
      </c>
      <c r="JH99" s="33"/>
      <c r="JI99" s="33"/>
      <c r="JJ99" s="33"/>
      <c r="JK99" s="33"/>
      <c r="JL99" s="33"/>
      <c r="JM99" s="33"/>
      <c r="JN99" s="33">
        <v>4</v>
      </c>
      <c r="JO99" s="33"/>
      <c r="JP99" s="33"/>
      <c r="JQ99" s="33"/>
      <c r="JR99" s="33"/>
      <c r="JS99" s="33"/>
      <c r="JT99" s="33"/>
      <c r="JU99" s="33"/>
      <c r="JV99" s="33"/>
      <c r="JW99" s="33"/>
      <c r="JX99" s="33"/>
      <c r="JY99" s="33"/>
      <c r="JZ99" s="33"/>
      <c r="KA99" s="33"/>
      <c r="KB99" s="33"/>
      <c r="KC99" s="33"/>
      <c r="KD99" s="33"/>
      <c r="KE99" s="33"/>
      <c r="KF99" s="33"/>
      <c r="KG99" s="33"/>
      <c r="KH99" s="33"/>
      <c r="KI99" s="33"/>
      <c r="KJ99" s="33"/>
      <c r="KK99" s="33"/>
      <c r="KL99" s="33"/>
      <c r="KM99" s="33"/>
      <c r="KN99" s="33"/>
      <c r="KO99" s="33"/>
      <c r="KP99" s="33"/>
      <c r="KQ99" s="33"/>
      <c r="KR99" s="33"/>
      <c r="KS99" s="33"/>
      <c r="KT99" s="33"/>
      <c r="KU99" s="33"/>
      <c r="KV99" s="33"/>
      <c r="KW99" s="33"/>
      <c r="KX99" s="33"/>
      <c r="KY99" s="33"/>
      <c r="KZ99" s="33"/>
      <c r="LA99" s="33"/>
      <c r="LB99" s="33"/>
      <c r="LC99" s="33"/>
      <c r="LD99" s="33"/>
      <c r="LE99" s="33"/>
      <c r="LF99" s="33"/>
      <c r="LG99" s="33"/>
      <c r="LH99" s="33"/>
      <c r="LI99" s="33"/>
      <c r="LJ99" s="33"/>
      <c r="LK99" s="33"/>
      <c r="LL99" s="33"/>
      <c r="LM99" s="33"/>
      <c r="LN99" s="33"/>
      <c r="LO99" s="33"/>
      <c r="LP99" s="33"/>
      <c r="LQ99" s="33"/>
      <c r="LR99" s="33"/>
      <c r="LS99" s="33"/>
      <c r="LT99" s="33"/>
      <c r="LU99" s="33"/>
      <c r="LV99" s="33"/>
      <c r="LW99" s="33"/>
      <c r="LX99" s="33"/>
      <c r="LY99" s="33"/>
      <c r="LZ99" s="33"/>
      <c r="MA99" s="33"/>
      <c r="MB99" s="33"/>
      <c r="MC99" s="33"/>
      <c r="MD99" s="33"/>
      <c r="ME99" s="33"/>
      <c r="MF99" s="33"/>
      <c r="MG99" s="33"/>
      <c r="MH99" s="33"/>
      <c r="MI99" s="33"/>
      <c r="MJ99" s="33"/>
      <c r="MK99" s="33"/>
      <c r="ML99" s="33"/>
      <c r="MM99" s="33"/>
      <c r="MN99" s="33"/>
      <c r="MO99" s="33"/>
      <c r="MP99" s="33"/>
      <c r="MQ99" s="33"/>
      <c r="MR99" s="33"/>
      <c r="MS99" s="33"/>
      <c r="MT99" s="33"/>
      <c r="MU99" s="33"/>
      <c r="MV99" s="33"/>
      <c r="MW99" s="33"/>
      <c r="MX99" s="33"/>
      <c r="MY99" s="33"/>
      <c r="MZ99" s="33"/>
      <c r="NA99" s="33"/>
      <c r="NB99" s="33"/>
      <c r="NC99" s="33"/>
      <c r="ND99" s="33"/>
      <c r="NE99" s="33"/>
      <c r="NF99" s="33"/>
      <c r="NG99" s="33"/>
      <c r="NH99" s="33"/>
      <c r="NI99" s="33"/>
      <c r="NJ99" s="33"/>
      <c r="NK99" s="33"/>
      <c r="NL99" s="34"/>
    </row>
    <row r="100" spans="1:376" x14ac:dyDescent="0.15">
      <c r="A100" s="35">
        <f>A99</f>
        <v>44</v>
      </c>
      <c r="B100" s="36" t="str">
        <f>B99</f>
        <v>PG</v>
      </c>
      <c r="C100" s="36" t="str">
        <f>C99</f>
        <v>監視端末実装</v>
      </c>
      <c r="D100" s="37" t="str">
        <f>D99</f>
        <v>若山</v>
      </c>
      <c r="E100" s="53" t="s">
        <v>0</v>
      </c>
      <c r="F100" s="54"/>
      <c r="G100" s="54"/>
      <c r="H100" s="55">
        <f t="shared" si="234"/>
        <v>0</v>
      </c>
      <c r="I100" s="56">
        <f>IF(OR(H99="",H100=""),"",H100-H99)</f>
        <v>-64</v>
      </c>
      <c r="J100" s="57"/>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c r="BS100" s="59"/>
      <c r="BT100" s="59"/>
      <c r="BU100" s="59"/>
      <c r="BV100" s="59"/>
      <c r="BW100" s="59"/>
      <c r="BX100" s="59"/>
      <c r="BY100" s="59"/>
      <c r="BZ100" s="59"/>
      <c r="CA100" s="59"/>
      <c r="CB100" s="59"/>
      <c r="CC100" s="59"/>
      <c r="CD100" s="59"/>
      <c r="CE100" s="59"/>
      <c r="CF100" s="59"/>
      <c r="CG100" s="59"/>
      <c r="CH100" s="59"/>
      <c r="CI100" s="59"/>
      <c r="CJ100" s="59"/>
      <c r="CK100" s="59"/>
      <c r="CL100" s="59"/>
      <c r="CM100" s="59"/>
      <c r="CN100" s="59"/>
      <c r="CO100" s="59"/>
      <c r="CP100" s="59"/>
      <c r="CQ100" s="59"/>
      <c r="CR100" s="59"/>
      <c r="CS100" s="59"/>
      <c r="CT100" s="59"/>
      <c r="CU100" s="59"/>
      <c r="CV100" s="59"/>
      <c r="CW100" s="59"/>
      <c r="CX100" s="59"/>
      <c r="CY100" s="59"/>
      <c r="CZ100" s="59"/>
      <c r="DA100" s="59"/>
      <c r="DB100" s="59"/>
      <c r="DC100" s="59"/>
      <c r="DD100" s="59"/>
      <c r="DE100" s="59"/>
      <c r="DF100" s="59"/>
      <c r="DG100" s="59"/>
      <c r="DH100" s="59"/>
      <c r="DI100" s="59"/>
      <c r="DJ100" s="59"/>
      <c r="DK100" s="59"/>
      <c r="DL100" s="59"/>
      <c r="DM100" s="59"/>
      <c r="DN100" s="59"/>
      <c r="DO100" s="59"/>
      <c r="DP100" s="59"/>
      <c r="DQ100" s="59"/>
      <c r="DR100" s="59"/>
      <c r="DS100" s="59"/>
      <c r="DT100" s="59"/>
      <c r="DU100" s="59"/>
      <c r="DV100" s="59"/>
      <c r="DW100" s="59"/>
      <c r="DX100" s="59"/>
      <c r="DY100" s="59"/>
      <c r="DZ100" s="59"/>
      <c r="EA100" s="59"/>
      <c r="EB100" s="59"/>
      <c r="EC100" s="59"/>
      <c r="ED100" s="59"/>
      <c r="EE100" s="59"/>
      <c r="EF100" s="59"/>
      <c r="EG100" s="59"/>
      <c r="EH100" s="59"/>
      <c r="EI100" s="59"/>
      <c r="EJ100" s="59"/>
      <c r="EK100" s="59"/>
      <c r="EL100" s="59"/>
      <c r="EM100" s="59"/>
      <c r="EN100" s="59"/>
      <c r="EO100" s="59"/>
      <c r="EP100" s="59"/>
      <c r="EQ100" s="59"/>
      <c r="ER100" s="59"/>
      <c r="ES100" s="59"/>
      <c r="ET100" s="59"/>
      <c r="EU100" s="59"/>
      <c r="EV100" s="59"/>
      <c r="EW100" s="59"/>
      <c r="EX100" s="59"/>
      <c r="EY100" s="59"/>
      <c r="EZ100" s="59"/>
      <c r="FA100" s="59"/>
      <c r="FB100" s="59"/>
      <c r="FC100" s="59"/>
      <c r="FD100" s="59"/>
      <c r="FE100" s="59"/>
      <c r="FF100" s="59"/>
      <c r="FG100" s="59"/>
      <c r="FH100" s="59"/>
      <c r="FI100" s="59"/>
      <c r="FJ100" s="59"/>
      <c r="FK100" s="59"/>
      <c r="FL100" s="59"/>
      <c r="FM100" s="59"/>
      <c r="FN100" s="59"/>
      <c r="FO100" s="59"/>
      <c r="FP100" s="59"/>
      <c r="FQ100" s="59"/>
      <c r="FR100" s="59"/>
      <c r="FS100" s="59"/>
      <c r="FT100" s="59"/>
      <c r="FU100" s="59"/>
      <c r="FV100" s="59"/>
      <c r="FW100" s="59"/>
      <c r="FX100" s="59"/>
      <c r="FY100" s="59"/>
      <c r="FZ100" s="59"/>
      <c r="GA100" s="59"/>
      <c r="GB100" s="59"/>
      <c r="GC100" s="59"/>
      <c r="GD100" s="59"/>
      <c r="GE100" s="59"/>
      <c r="GF100" s="59"/>
      <c r="GG100" s="59"/>
      <c r="GH100" s="59"/>
      <c r="GI100" s="59"/>
      <c r="GJ100" s="59"/>
      <c r="GK100" s="59"/>
      <c r="GL100" s="59"/>
      <c r="GM100" s="59"/>
      <c r="GN100" s="59"/>
      <c r="GO100" s="59"/>
      <c r="GP100" s="59"/>
      <c r="GQ100" s="59"/>
      <c r="GR100" s="59"/>
      <c r="GS100" s="59"/>
      <c r="GT100" s="59"/>
      <c r="GU100" s="59"/>
      <c r="GV100" s="59"/>
      <c r="GW100" s="59"/>
      <c r="GX100" s="59"/>
      <c r="GY100" s="59"/>
      <c r="GZ100" s="59"/>
      <c r="HA100" s="59"/>
      <c r="HB100" s="59"/>
      <c r="HC100" s="59"/>
      <c r="HD100" s="59"/>
      <c r="HE100" s="59"/>
      <c r="HF100" s="59"/>
      <c r="HG100" s="59"/>
      <c r="HH100" s="59"/>
      <c r="HI100" s="59"/>
      <c r="HJ100" s="59"/>
      <c r="HK100" s="59"/>
      <c r="HL100" s="59"/>
      <c r="HM100" s="59"/>
      <c r="HN100" s="59"/>
      <c r="HO100" s="59"/>
      <c r="HP100" s="59"/>
      <c r="HQ100" s="59"/>
      <c r="HR100" s="59"/>
      <c r="HS100" s="59"/>
      <c r="HT100" s="59"/>
      <c r="HU100" s="59"/>
      <c r="HV100" s="59"/>
      <c r="HW100" s="59"/>
      <c r="HX100" s="59"/>
      <c r="HY100" s="59"/>
      <c r="HZ100" s="59"/>
      <c r="IA100" s="59"/>
      <c r="IB100" s="59"/>
      <c r="IC100" s="59"/>
      <c r="ID100" s="59"/>
      <c r="IE100" s="59"/>
      <c r="IF100" s="59"/>
      <c r="IG100" s="59"/>
      <c r="IH100" s="59"/>
      <c r="II100" s="59"/>
      <c r="IJ100" s="59"/>
      <c r="IK100" s="59"/>
      <c r="IL100" s="59"/>
      <c r="IM100" s="59"/>
      <c r="IN100" s="59"/>
      <c r="IO100" s="59"/>
      <c r="IP100" s="59"/>
      <c r="IQ100" s="59"/>
      <c r="IR100" s="59"/>
      <c r="IS100" s="59"/>
      <c r="IT100" s="59"/>
      <c r="IU100" s="59"/>
      <c r="IV100" s="59"/>
      <c r="IW100" s="59"/>
      <c r="IX100" s="59"/>
      <c r="IY100" s="59"/>
      <c r="IZ100" s="59"/>
      <c r="JA100" s="59"/>
      <c r="JB100" s="59"/>
      <c r="JC100" s="59"/>
      <c r="JD100" s="59"/>
      <c r="JE100" s="59"/>
      <c r="JF100" s="59"/>
      <c r="JG100" s="59"/>
      <c r="JH100" s="59"/>
      <c r="JI100" s="59"/>
      <c r="JJ100" s="59"/>
      <c r="JK100" s="59"/>
      <c r="JL100" s="59"/>
      <c r="JM100" s="59"/>
      <c r="JN100" s="59"/>
      <c r="JO100" s="59"/>
      <c r="JP100" s="59"/>
      <c r="JQ100" s="59"/>
      <c r="JR100" s="59"/>
      <c r="JS100" s="59"/>
      <c r="JT100" s="59"/>
      <c r="JU100" s="59"/>
      <c r="JV100" s="59"/>
      <c r="JW100" s="59"/>
      <c r="JX100" s="59"/>
      <c r="JY100" s="59"/>
      <c r="JZ100" s="59"/>
      <c r="KA100" s="59"/>
      <c r="KB100" s="59"/>
      <c r="KC100" s="59"/>
      <c r="KD100" s="59"/>
      <c r="KE100" s="59"/>
      <c r="KF100" s="59"/>
      <c r="KG100" s="59"/>
      <c r="KH100" s="59"/>
      <c r="KI100" s="59"/>
      <c r="KJ100" s="59"/>
      <c r="KK100" s="59"/>
      <c r="KL100" s="59"/>
      <c r="KM100" s="59"/>
      <c r="KN100" s="59"/>
      <c r="KO100" s="59"/>
      <c r="KP100" s="59"/>
      <c r="KQ100" s="59"/>
      <c r="KR100" s="59"/>
      <c r="KS100" s="59"/>
      <c r="KT100" s="59"/>
      <c r="KU100" s="59"/>
      <c r="KV100" s="59"/>
      <c r="KW100" s="59"/>
      <c r="KX100" s="59"/>
      <c r="KY100" s="59"/>
      <c r="KZ100" s="59"/>
      <c r="LA100" s="59"/>
      <c r="LB100" s="59"/>
      <c r="LC100" s="59"/>
      <c r="LD100" s="59"/>
      <c r="LE100" s="59"/>
      <c r="LF100" s="59"/>
      <c r="LG100" s="59"/>
      <c r="LH100" s="59"/>
      <c r="LI100" s="59"/>
      <c r="LJ100" s="59"/>
      <c r="LK100" s="59"/>
      <c r="LL100" s="59"/>
      <c r="LM100" s="59"/>
      <c r="LN100" s="59"/>
      <c r="LO100" s="59"/>
      <c r="LP100" s="59"/>
      <c r="LQ100" s="59"/>
      <c r="LR100" s="59"/>
      <c r="LS100" s="59"/>
      <c r="LT100" s="59"/>
      <c r="LU100" s="59"/>
      <c r="LV100" s="59"/>
      <c r="LW100" s="59"/>
      <c r="LX100" s="59"/>
      <c r="LY100" s="59"/>
      <c r="LZ100" s="59"/>
      <c r="MA100" s="59"/>
      <c r="MB100" s="59"/>
      <c r="MC100" s="59"/>
      <c r="MD100" s="59"/>
      <c r="ME100" s="59"/>
      <c r="MF100" s="59"/>
      <c r="MG100" s="59"/>
      <c r="MH100" s="59"/>
      <c r="MI100" s="59"/>
      <c r="MJ100" s="59"/>
      <c r="MK100" s="59"/>
      <c r="ML100" s="59"/>
      <c r="MM100" s="59"/>
      <c r="MN100" s="59"/>
      <c r="MO100" s="59"/>
      <c r="MP100" s="59"/>
      <c r="MQ100" s="59"/>
      <c r="MR100" s="59"/>
      <c r="MS100" s="59"/>
      <c r="MT100" s="59"/>
      <c r="MU100" s="59"/>
      <c r="MV100" s="59"/>
      <c r="MW100" s="59"/>
      <c r="MX100" s="59"/>
      <c r="MY100" s="59"/>
      <c r="MZ100" s="59"/>
      <c r="NA100" s="59"/>
      <c r="NB100" s="59"/>
      <c r="NC100" s="59"/>
      <c r="ND100" s="59"/>
      <c r="NE100" s="59"/>
      <c r="NF100" s="59"/>
      <c r="NG100" s="59"/>
      <c r="NH100" s="59"/>
      <c r="NI100" s="59"/>
      <c r="NJ100" s="59"/>
      <c r="NK100" s="59"/>
      <c r="NL100" s="60"/>
    </row>
    <row r="101" spans="1:376" x14ac:dyDescent="0.15">
      <c r="A101" s="23">
        <v>45</v>
      </c>
      <c r="B101" s="24" t="s">
        <v>148</v>
      </c>
      <c r="C101" s="45" t="s">
        <v>153</v>
      </c>
      <c r="D101" s="26" t="s">
        <v>164</v>
      </c>
      <c r="E101" s="27" t="s">
        <v>13</v>
      </c>
      <c r="F101" s="28">
        <v>43092</v>
      </c>
      <c r="G101" s="28">
        <v>43092</v>
      </c>
      <c r="H101" s="29">
        <f t="shared" si="234"/>
        <v>4</v>
      </c>
      <c r="I101" s="30"/>
      <c r="J101" s="31"/>
      <c r="K101" s="32"/>
      <c r="L101" s="32"/>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3"/>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33"/>
      <c r="CA101" s="33"/>
      <c r="CB101" s="33"/>
      <c r="CC101" s="33"/>
      <c r="CD101" s="33"/>
      <c r="CE101" s="33"/>
      <c r="CF101" s="33"/>
      <c r="CG101" s="33"/>
      <c r="CH101" s="33"/>
      <c r="CI101" s="33"/>
      <c r="CJ101" s="33"/>
      <c r="CK101" s="33"/>
      <c r="CL101" s="33"/>
      <c r="CM101" s="33"/>
      <c r="CN101" s="33"/>
      <c r="CO101" s="33"/>
      <c r="CP101" s="33"/>
      <c r="CQ101" s="33"/>
      <c r="CR101" s="33"/>
      <c r="CS101" s="33"/>
      <c r="CT101" s="33"/>
      <c r="CU101" s="33"/>
      <c r="CV101" s="33"/>
      <c r="CW101" s="33"/>
      <c r="CX101" s="33"/>
      <c r="CY101" s="33"/>
      <c r="CZ101" s="33"/>
      <c r="DA101" s="33"/>
      <c r="DB101" s="33"/>
      <c r="DC101" s="33"/>
      <c r="DD101" s="33"/>
      <c r="DE101" s="33"/>
      <c r="DF101" s="33"/>
      <c r="DG101" s="33"/>
      <c r="DH101" s="33"/>
      <c r="DI101" s="33"/>
      <c r="DJ101" s="33"/>
      <c r="DK101" s="33"/>
      <c r="DL101" s="33"/>
      <c r="DM101" s="33"/>
      <c r="DN101" s="33"/>
      <c r="DO101" s="33"/>
      <c r="DP101" s="33"/>
      <c r="DQ101" s="33"/>
      <c r="DR101" s="33"/>
      <c r="DS101" s="33"/>
      <c r="DT101" s="33"/>
      <c r="DU101" s="33"/>
      <c r="DV101" s="33"/>
      <c r="DW101" s="33"/>
      <c r="DX101" s="33"/>
      <c r="DY101" s="33"/>
      <c r="DZ101" s="33"/>
      <c r="EA101" s="33"/>
      <c r="EB101" s="33"/>
      <c r="EC101" s="33"/>
      <c r="ED101" s="33"/>
      <c r="EE101" s="33"/>
      <c r="EF101" s="33"/>
      <c r="EG101" s="33"/>
      <c r="EH101" s="33"/>
      <c r="EI101" s="33"/>
      <c r="EJ101" s="33"/>
      <c r="EK101" s="33"/>
      <c r="EL101" s="33"/>
      <c r="EM101" s="33"/>
      <c r="EN101" s="33"/>
      <c r="EO101" s="33"/>
      <c r="EP101" s="33"/>
      <c r="EQ101" s="33"/>
      <c r="ER101" s="33"/>
      <c r="ES101" s="33"/>
      <c r="ET101" s="33"/>
      <c r="EU101" s="33"/>
      <c r="EV101" s="33"/>
      <c r="EW101" s="33"/>
      <c r="EX101" s="33"/>
      <c r="EY101" s="33"/>
      <c r="EZ101" s="33"/>
      <c r="FA101" s="33"/>
      <c r="FB101" s="33"/>
      <c r="FC101" s="33"/>
      <c r="FD101" s="33"/>
      <c r="FE101" s="33"/>
      <c r="FF101" s="33"/>
      <c r="FG101" s="33"/>
      <c r="FH101" s="33"/>
      <c r="FI101" s="33"/>
      <c r="FJ101" s="33"/>
      <c r="FK101" s="33"/>
      <c r="FL101" s="33"/>
      <c r="FM101" s="33"/>
      <c r="FN101" s="33"/>
      <c r="FO101" s="33"/>
      <c r="FP101" s="33"/>
      <c r="FQ101" s="33"/>
      <c r="FR101" s="33"/>
      <c r="FS101" s="33"/>
      <c r="FT101" s="33"/>
      <c r="FU101" s="33"/>
      <c r="FV101" s="33"/>
      <c r="FW101" s="33"/>
      <c r="FX101" s="33"/>
      <c r="FY101" s="33"/>
      <c r="FZ101" s="33"/>
      <c r="GA101" s="33"/>
      <c r="GB101" s="33"/>
      <c r="GC101" s="33"/>
      <c r="GD101" s="33"/>
      <c r="GE101" s="33"/>
      <c r="GF101" s="33"/>
      <c r="GG101" s="33"/>
      <c r="GH101" s="33"/>
      <c r="GI101" s="33"/>
      <c r="GJ101" s="33"/>
      <c r="GK101" s="33"/>
      <c r="GL101" s="33"/>
      <c r="GM101" s="33"/>
      <c r="GN101" s="33"/>
      <c r="GO101" s="33"/>
      <c r="GP101" s="33"/>
      <c r="GQ101" s="33"/>
      <c r="GR101" s="33"/>
      <c r="GS101" s="33"/>
      <c r="GT101" s="33"/>
      <c r="GU101" s="33"/>
      <c r="GV101" s="33"/>
      <c r="GW101" s="33"/>
      <c r="GX101" s="33"/>
      <c r="GY101" s="33"/>
      <c r="GZ101" s="33"/>
      <c r="HA101" s="33"/>
      <c r="HB101" s="33"/>
      <c r="HC101" s="33"/>
      <c r="HD101" s="33"/>
      <c r="HE101" s="33"/>
      <c r="HF101" s="33"/>
      <c r="HG101" s="33"/>
      <c r="HH101" s="33"/>
      <c r="HI101" s="33"/>
      <c r="HJ101" s="33"/>
      <c r="HK101" s="33"/>
      <c r="HL101" s="33"/>
      <c r="HM101" s="33"/>
      <c r="HN101" s="33"/>
      <c r="HO101" s="33"/>
      <c r="HP101" s="33"/>
      <c r="HQ101" s="33"/>
      <c r="HR101" s="33"/>
      <c r="HS101" s="33"/>
      <c r="HT101" s="33"/>
      <c r="HU101" s="33"/>
      <c r="HV101" s="33"/>
      <c r="HW101" s="33"/>
      <c r="HX101" s="33"/>
      <c r="HY101" s="33"/>
      <c r="HZ101" s="33"/>
      <c r="IA101" s="33"/>
      <c r="IB101" s="33"/>
      <c r="IC101" s="33"/>
      <c r="ID101" s="33"/>
      <c r="IE101" s="33"/>
      <c r="IF101" s="33"/>
      <c r="IG101" s="33"/>
      <c r="IH101" s="33"/>
      <c r="II101" s="33"/>
      <c r="IJ101" s="33"/>
      <c r="IK101" s="33"/>
      <c r="IL101" s="33"/>
      <c r="IM101" s="33"/>
      <c r="IN101" s="33"/>
      <c r="IO101" s="33"/>
      <c r="IP101" s="33"/>
      <c r="IQ101" s="33"/>
      <c r="IR101" s="33"/>
      <c r="IS101" s="33"/>
      <c r="IT101" s="33"/>
      <c r="IU101" s="33"/>
      <c r="IV101" s="33"/>
      <c r="IW101" s="33"/>
      <c r="IX101" s="33"/>
      <c r="IY101" s="33"/>
      <c r="IZ101" s="33"/>
      <c r="JA101" s="33"/>
      <c r="JB101" s="33"/>
      <c r="JC101" s="33"/>
      <c r="JD101" s="33"/>
      <c r="JE101" s="33"/>
      <c r="JF101" s="33"/>
      <c r="JG101" s="33"/>
      <c r="JH101" s="33"/>
      <c r="JI101" s="33"/>
      <c r="JJ101" s="33"/>
      <c r="JK101" s="33"/>
      <c r="JL101" s="33"/>
      <c r="JM101" s="33"/>
      <c r="JN101" s="33">
        <v>4</v>
      </c>
      <c r="JO101" s="33"/>
      <c r="JP101" s="33"/>
      <c r="JQ101" s="33"/>
      <c r="JR101" s="33"/>
      <c r="JS101" s="33"/>
      <c r="JT101" s="33"/>
      <c r="JU101" s="33"/>
      <c r="JV101" s="33"/>
      <c r="JW101" s="33"/>
      <c r="JX101" s="33"/>
      <c r="JY101" s="33"/>
      <c r="JZ101" s="33"/>
      <c r="KA101" s="33"/>
      <c r="KB101" s="33"/>
      <c r="KC101" s="33"/>
      <c r="KD101" s="33"/>
      <c r="KE101" s="33"/>
      <c r="KF101" s="33"/>
      <c r="KG101" s="33"/>
      <c r="KH101" s="33"/>
      <c r="KI101" s="33"/>
      <c r="KJ101" s="33"/>
      <c r="KK101" s="33"/>
      <c r="KL101" s="33"/>
      <c r="KM101" s="33"/>
      <c r="KN101" s="33"/>
      <c r="KO101" s="33"/>
      <c r="KP101" s="33"/>
      <c r="KQ101" s="33"/>
      <c r="KR101" s="33"/>
      <c r="KS101" s="33"/>
      <c r="KT101" s="33"/>
      <c r="KU101" s="33"/>
      <c r="KV101" s="33"/>
      <c r="KW101" s="33"/>
      <c r="KX101" s="33"/>
      <c r="KY101" s="33"/>
      <c r="KZ101" s="33"/>
      <c r="LA101" s="33"/>
      <c r="LB101" s="33"/>
      <c r="LC101" s="33"/>
      <c r="LD101" s="33"/>
      <c r="LE101" s="33"/>
      <c r="LF101" s="33"/>
      <c r="LG101" s="33"/>
      <c r="LH101" s="33"/>
      <c r="LI101" s="33"/>
      <c r="LJ101" s="33"/>
      <c r="LK101" s="33"/>
      <c r="LL101" s="33"/>
      <c r="LM101" s="33"/>
      <c r="LN101" s="33"/>
      <c r="LO101" s="33"/>
      <c r="LP101" s="33"/>
      <c r="LQ101" s="33"/>
      <c r="LR101" s="33"/>
      <c r="LS101" s="33"/>
      <c r="LT101" s="33"/>
      <c r="LU101" s="33"/>
      <c r="LV101" s="33"/>
      <c r="LW101" s="33"/>
      <c r="LX101" s="33"/>
      <c r="LY101" s="33"/>
      <c r="LZ101" s="33"/>
      <c r="MA101" s="33"/>
      <c r="MB101" s="33"/>
      <c r="MC101" s="33"/>
      <c r="MD101" s="33"/>
      <c r="ME101" s="33"/>
      <c r="MF101" s="33"/>
      <c r="MG101" s="33"/>
      <c r="MH101" s="33"/>
      <c r="MI101" s="33"/>
      <c r="MJ101" s="33"/>
      <c r="MK101" s="33"/>
      <c r="ML101" s="33"/>
      <c r="MM101" s="33"/>
      <c r="MN101" s="33"/>
      <c r="MO101" s="33"/>
      <c r="MP101" s="33"/>
      <c r="MQ101" s="33"/>
      <c r="MR101" s="33"/>
      <c r="MS101" s="33"/>
      <c r="MT101" s="33"/>
      <c r="MU101" s="33"/>
      <c r="MV101" s="33"/>
      <c r="MW101" s="33"/>
      <c r="MX101" s="33"/>
      <c r="MY101" s="33"/>
      <c r="MZ101" s="33"/>
      <c r="NA101" s="33"/>
      <c r="NB101" s="33"/>
      <c r="NC101" s="33"/>
      <c r="ND101" s="33"/>
      <c r="NE101" s="33"/>
      <c r="NF101" s="33"/>
      <c r="NG101" s="33"/>
      <c r="NH101" s="33"/>
      <c r="NI101" s="33"/>
      <c r="NJ101" s="33"/>
      <c r="NK101" s="33"/>
      <c r="NL101" s="34"/>
    </row>
    <row r="102" spans="1:376" x14ac:dyDescent="0.15">
      <c r="A102" s="35">
        <f>A101</f>
        <v>45</v>
      </c>
      <c r="B102" s="36" t="str">
        <f>B101</f>
        <v>PG</v>
      </c>
      <c r="C102" s="36" t="str">
        <f>C101</f>
        <v>監視端末実装レビュー</v>
      </c>
      <c r="D102" s="37" t="str">
        <f>D101</f>
        <v>伊藤</v>
      </c>
      <c r="E102" s="53" t="s">
        <v>0</v>
      </c>
      <c r="F102" s="54"/>
      <c r="G102" s="54"/>
      <c r="H102" s="55">
        <f t="shared" si="234"/>
        <v>0</v>
      </c>
      <c r="I102" s="56">
        <f>IF(OR(H101="",H102=""),"",H102-H101)</f>
        <v>-4</v>
      </c>
      <c r="J102" s="57"/>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c r="BS102" s="59"/>
      <c r="BT102" s="59"/>
      <c r="BU102" s="59"/>
      <c r="BV102" s="59"/>
      <c r="BW102" s="59"/>
      <c r="BX102" s="59"/>
      <c r="BY102" s="59"/>
      <c r="BZ102" s="59"/>
      <c r="CA102" s="59"/>
      <c r="CB102" s="59"/>
      <c r="CC102" s="59"/>
      <c r="CD102" s="59"/>
      <c r="CE102" s="59"/>
      <c r="CF102" s="59"/>
      <c r="CG102" s="59"/>
      <c r="CH102" s="59"/>
      <c r="CI102" s="59"/>
      <c r="CJ102" s="59"/>
      <c r="CK102" s="59"/>
      <c r="CL102" s="59"/>
      <c r="CM102" s="59"/>
      <c r="CN102" s="59"/>
      <c r="CO102" s="59"/>
      <c r="CP102" s="59"/>
      <c r="CQ102" s="59"/>
      <c r="CR102" s="59"/>
      <c r="CS102" s="59"/>
      <c r="CT102" s="59"/>
      <c r="CU102" s="59"/>
      <c r="CV102" s="59"/>
      <c r="CW102" s="59"/>
      <c r="CX102" s="59"/>
      <c r="CY102" s="59"/>
      <c r="CZ102" s="59"/>
      <c r="DA102" s="59"/>
      <c r="DB102" s="59"/>
      <c r="DC102" s="59"/>
      <c r="DD102" s="59"/>
      <c r="DE102" s="59"/>
      <c r="DF102" s="59"/>
      <c r="DG102" s="59"/>
      <c r="DH102" s="59"/>
      <c r="DI102" s="59"/>
      <c r="DJ102" s="59"/>
      <c r="DK102" s="59"/>
      <c r="DL102" s="59"/>
      <c r="DM102" s="59"/>
      <c r="DN102" s="59"/>
      <c r="DO102" s="59"/>
      <c r="DP102" s="59"/>
      <c r="DQ102" s="59"/>
      <c r="DR102" s="59"/>
      <c r="DS102" s="59"/>
      <c r="DT102" s="59"/>
      <c r="DU102" s="59"/>
      <c r="DV102" s="59"/>
      <c r="DW102" s="59"/>
      <c r="DX102" s="59"/>
      <c r="DY102" s="59"/>
      <c r="DZ102" s="59"/>
      <c r="EA102" s="59"/>
      <c r="EB102" s="59"/>
      <c r="EC102" s="59"/>
      <c r="ED102" s="59"/>
      <c r="EE102" s="59"/>
      <c r="EF102" s="59"/>
      <c r="EG102" s="59"/>
      <c r="EH102" s="59"/>
      <c r="EI102" s="59"/>
      <c r="EJ102" s="59"/>
      <c r="EK102" s="59"/>
      <c r="EL102" s="59"/>
      <c r="EM102" s="59"/>
      <c r="EN102" s="59"/>
      <c r="EO102" s="59"/>
      <c r="EP102" s="59"/>
      <c r="EQ102" s="59"/>
      <c r="ER102" s="59"/>
      <c r="ES102" s="59"/>
      <c r="ET102" s="59"/>
      <c r="EU102" s="59"/>
      <c r="EV102" s="59"/>
      <c r="EW102" s="59"/>
      <c r="EX102" s="59"/>
      <c r="EY102" s="59"/>
      <c r="EZ102" s="59"/>
      <c r="FA102" s="59"/>
      <c r="FB102" s="59"/>
      <c r="FC102" s="59"/>
      <c r="FD102" s="59"/>
      <c r="FE102" s="59"/>
      <c r="FF102" s="59"/>
      <c r="FG102" s="59"/>
      <c r="FH102" s="59"/>
      <c r="FI102" s="59"/>
      <c r="FJ102" s="59"/>
      <c r="FK102" s="59"/>
      <c r="FL102" s="59"/>
      <c r="FM102" s="59"/>
      <c r="FN102" s="59"/>
      <c r="FO102" s="59"/>
      <c r="FP102" s="59"/>
      <c r="FQ102" s="59"/>
      <c r="FR102" s="59"/>
      <c r="FS102" s="59"/>
      <c r="FT102" s="59"/>
      <c r="FU102" s="59"/>
      <c r="FV102" s="59"/>
      <c r="FW102" s="59"/>
      <c r="FX102" s="59"/>
      <c r="FY102" s="59"/>
      <c r="FZ102" s="59"/>
      <c r="GA102" s="59"/>
      <c r="GB102" s="59"/>
      <c r="GC102" s="59"/>
      <c r="GD102" s="59"/>
      <c r="GE102" s="59"/>
      <c r="GF102" s="59"/>
      <c r="GG102" s="59"/>
      <c r="GH102" s="59"/>
      <c r="GI102" s="59"/>
      <c r="GJ102" s="59"/>
      <c r="GK102" s="59"/>
      <c r="GL102" s="59"/>
      <c r="GM102" s="59"/>
      <c r="GN102" s="59"/>
      <c r="GO102" s="59"/>
      <c r="GP102" s="59"/>
      <c r="GQ102" s="59"/>
      <c r="GR102" s="59"/>
      <c r="GS102" s="59"/>
      <c r="GT102" s="59"/>
      <c r="GU102" s="59"/>
      <c r="GV102" s="59"/>
      <c r="GW102" s="59"/>
      <c r="GX102" s="59"/>
      <c r="GY102" s="59"/>
      <c r="GZ102" s="59"/>
      <c r="HA102" s="59"/>
      <c r="HB102" s="59"/>
      <c r="HC102" s="59"/>
      <c r="HD102" s="59"/>
      <c r="HE102" s="59"/>
      <c r="HF102" s="59"/>
      <c r="HG102" s="59"/>
      <c r="HH102" s="59"/>
      <c r="HI102" s="59"/>
      <c r="HJ102" s="59"/>
      <c r="HK102" s="59"/>
      <c r="HL102" s="59"/>
      <c r="HM102" s="59"/>
      <c r="HN102" s="59"/>
      <c r="HO102" s="59"/>
      <c r="HP102" s="59"/>
      <c r="HQ102" s="59"/>
      <c r="HR102" s="59"/>
      <c r="HS102" s="59"/>
      <c r="HT102" s="59"/>
      <c r="HU102" s="59"/>
      <c r="HV102" s="59"/>
      <c r="HW102" s="59"/>
      <c r="HX102" s="59"/>
      <c r="HY102" s="59"/>
      <c r="HZ102" s="59"/>
      <c r="IA102" s="59"/>
      <c r="IB102" s="59"/>
      <c r="IC102" s="59"/>
      <c r="ID102" s="59"/>
      <c r="IE102" s="59"/>
      <c r="IF102" s="59"/>
      <c r="IG102" s="59"/>
      <c r="IH102" s="59"/>
      <c r="II102" s="59"/>
      <c r="IJ102" s="59"/>
      <c r="IK102" s="59"/>
      <c r="IL102" s="59"/>
      <c r="IM102" s="59"/>
      <c r="IN102" s="59"/>
      <c r="IO102" s="59"/>
      <c r="IP102" s="59"/>
      <c r="IQ102" s="59"/>
      <c r="IR102" s="59"/>
      <c r="IS102" s="59"/>
      <c r="IT102" s="59"/>
      <c r="IU102" s="59"/>
      <c r="IV102" s="59"/>
      <c r="IW102" s="59"/>
      <c r="IX102" s="59"/>
      <c r="IY102" s="59"/>
      <c r="IZ102" s="59"/>
      <c r="JA102" s="59"/>
      <c r="JB102" s="59"/>
      <c r="JC102" s="59"/>
      <c r="JD102" s="59"/>
      <c r="JE102" s="59"/>
      <c r="JF102" s="59"/>
      <c r="JG102" s="59"/>
      <c r="JH102" s="59"/>
      <c r="JI102" s="59"/>
      <c r="JJ102" s="59"/>
      <c r="JK102" s="59"/>
      <c r="JL102" s="59"/>
      <c r="JM102" s="59"/>
      <c r="JN102" s="59"/>
      <c r="JO102" s="59"/>
      <c r="JP102" s="59"/>
      <c r="JQ102" s="59"/>
      <c r="JR102" s="59"/>
      <c r="JS102" s="59"/>
      <c r="JT102" s="59"/>
      <c r="JU102" s="59"/>
      <c r="JV102" s="59"/>
      <c r="JW102" s="59"/>
      <c r="JX102" s="59"/>
      <c r="JY102" s="59"/>
      <c r="JZ102" s="59"/>
      <c r="KA102" s="59"/>
      <c r="KB102" s="59"/>
      <c r="KC102" s="59"/>
      <c r="KD102" s="59"/>
      <c r="KE102" s="59"/>
      <c r="KF102" s="59"/>
      <c r="KG102" s="59"/>
      <c r="KH102" s="59"/>
      <c r="KI102" s="59"/>
      <c r="KJ102" s="59"/>
      <c r="KK102" s="59"/>
      <c r="KL102" s="59"/>
      <c r="KM102" s="59"/>
      <c r="KN102" s="59"/>
      <c r="KO102" s="59"/>
      <c r="KP102" s="59"/>
      <c r="KQ102" s="59"/>
      <c r="KR102" s="59"/>
      <c r="KS102" s="59"/>
      <c r="KT102" s="59"/>
      <c r="KU102" s="59"/>
      <c r="KV102" s="59"/>
      <c r="KW102" s="59"/>
      <c r="KX102" s="59"/>
      <c r="KY102" s="59"/>
      <c r="KZ102" s="59"/>
      <c r="LA102" s="59"/>
      <c r="LB102" s="59"/>
      <c r="LC102" s="59"/>
      <c r="LD102" s="59"/>
      <c r="LE102" s="59"/>
      <c r="LF102" s="59"/>
      <c r="LG102" s="59"/>
      <c r="LH102" s="59"/>
      <c r="LI102" s="59"/>
      <c r="LJ102" s="59"/>
      <c r="LK102" s="59"/>
      <c r="LL102" s="59"/>
      <c r="LM102" s="59"/>
      <c r="LN102" s="59"/>
      <c r="LO102" s="59"/>
      <c r="LP102" s="59"/>
      <c r="LQ102" s="59"/>
      <c r="LR102" s="59"/>
      <c r="LS102" s="59"/>
      <c r="LT102" s="59"/>
      <c r="LU102" s="59"/>
      <c r="LV102" s="59"/>
      <c r="LW102" s="59"/>
      <c r="LX102" s="59"/>
      <c r="LY102" s="59"/>
      <c r="LZ102" s="59"/>
      <c r="MA102" s="59"/>
      <c r="MB102" s="59"/>
      <c r="MC102" s="59"/>
      <c r="MD102" s="59"/>
      <c r="ME102" s="59"/>
      <c r="MF102" s="59"/>
      <c r="MG102" s="59"/>
      <c r="MH102" s="59"/>
      <c r="MI102" s="59"/>
      <c r="MJ102" s="59"/>
      <c r="MK102" s="59"/>
      <c r="ML102" s="59"/>
      <c r="MM102" s="59"/>
      <c r="MN102" s="59"/>
      <c r="MO102" s="59"/>
      <c r="MP102" s="59"/>
      <c r="MQ102" s="59"/>
      <c r="MR102" s="59"/>
      <c r="MS102" s="59"/>
      <c r="MT102" s="59"/>
      <c r="MU102" s="59"/>
      <c r="MV102" s="59"/>
      <c r="MW102" s="59"/>
      <c r="MX102" s="59"/>
      <c r="MY102" s="59"/>
      <c r="MZ102" s="59"/>
      <c r="NA102" s="59"/>
      <c r="NB102" s="59"/>
      <c r="NC102" s="59"/>
      <c r="ND102" s="59"/>
      <c r="NE102" s="59"/>
      <c r="NF102" s="59"/>
      <c r="NG102" s="59"/>
      <c r="NH102" s="59"/>
      <c r="NI102" s="59"/>
      <c r="NJ102" s="59"/>
      <c r="NK102" s="59"/>
      <c r="NL102" s="60"/>
    </row>
    <row r="103" spans="1:376" x14ac:dyDescent="0.15">
      <c r="A103" s="23">
        <v>46</v>
      </c>
      <c r="B103" s="24" t="s">
        <v>148</v>
      </c>
      <c r="C103" s="45" t="s">
        <v>154</v>
      </c>
      <c r="D103" s="26" t="s">
        <v>115</v>
      </c>
      <c r="E103" s="27" t="s">
        <v>13</v>
      </c>
      <c r="F103" s="28">
        <v>43093</v>
      </c>
      <c r="G103" s="28">
        <v>43107</v>
      </c>
      <c r="H103" s="29">
        <f t="shared" si="234"/>
        <v>10</v>
      </c>
      <c r="I103" s="30"/>
      <c r="J103" s="31"/>
      <c r="K103" s="32"/>
      <c r="L103" s="32"/>
      <c r="M103" s="32"/>
      <c r="N103" s="32"/>
      <c r="O103" s="32"/>
      <c r="P103" s="32"/>
      <c r="Q103" s="32"/>
      <c r="R103" s="32"/>
      <c r="S103" s="32"/>
      <c r="T103" s="32"/>
      <c r="U103" s="32"/>
      <c r="V103" s="32"/>
      <c r="W103" s="32"/>
      <c r="X103" s="32"/>
      <c r="Y103" s="32"/>
      <c r="Z103" s="32"/>
      <c r="AA103" s="32"/>
      <c r="AB103" s="32"/>
      <c r="AC103" s="32"/>
      <c r="AD103" s="32"/>
      <c r="AE103" s="32"/>
      <c r="AF103" s="32"/>
      <c r="AG103" s="32"/>
      <c r="AH103" s="32"/>
      <c r="AI103" s="32"/>
      <c r="AJ103" s="32"/>
      <c r="AK103" s="32"/>
      <c r="AL103" s="32"/>
      <c r="AM103" s="32"/>
      <c r="AN103" s="32"/>
      <c r="AO103" s="32"/>
      <c r="AP103" s="33"/>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33"/>
      <c r="CA103" s="33"/>
      <c r="CB103" s="33"/>
      <c r="CC103" s="33"/>
      <c r="CD103" s="33"/>
      <c r="CE103" s="33"/>
      <c r="CF103" s="33"/>
      <c r="CG103" s="33"/>
      <c r="CH103" s="33"/>
      <c r="CI103" s="33"/>
      <c r="CJ103" s="33"/>
      <c r="CK103" s="33"/>
      <c r="CL103" s="33"/>
      <c r="CM103" s="33"/>
      <c r="CN103" s="33"/>
      <c r="CO103" s="33"/>
      <c r="CP103" s="33"/>
      <c r="CQ103" s="33"/>
      <c r="CR103" s="33"/>
      <c r="CS103" s="33"/>
      <c r="CT103" s="33"/>
      <c r="CU103" s="33"/>
      <c r="CV103" s="33"/>
      <c r="CW103" s="33"/>
      <c r="CX103" s="33"/>
      <c r="CY103" s="33"/>
      <c r="CZ103" s="33"/>
      <c r="DA103" s="33"/>
      <c r="DB103" s="33"/>
      <c r="DC103" s="33"/>
      <c r="DD103" s="33"/>
      <c r="DE103" s="33"/>
      <c r="DF103" s="33"/>
      <c r="DG103" s="33"/>
      <c r="DH103" s="33"/>
      <c r="DI103" s="33"/>
      <c r="DJ103" s="33"/>
      <c r="DK103" s="33"/>
      <c r="DL103" s="33"/>
      <c r="DM103" s="33"/>
      <c r="DN103" s="33"/>
      <c r="DO103" s="33"/>
      <c r="DP103" s="33"/>
      <c r="DQ103" s="33"/>
      <c r="DR103" s="33"/>
      <c r="DS103" s="33"/>
      <c r="DT103" s="33"/>
      <c r="DU103" s="33"/>
      <c r="DV103" s="33"/>
      <c r="DW103" s="33"/>
      <c r="DX103" s="33"/>
      <c r="DY103" s="33"/>
      <c r="DZ103" s="33"/>
      <c r="EA103" s="33"/>
      <c r="EB103" s="33"/>
      <c r="EC103" s="33"/>
      <c r="ED103" s="33"/>
      <c r="EE103" s="33"/>
      <c r="EF103" s="33"/>
      <c r="EG103" s="33"/>
      <c r="EH103" s="33"/>
      <c r="EI103" s="33"/>
      <c r="EJ103" s="33"/>
      <c r="EK103" s="33"/>
      <c r="EL103" s="33"/>
      <c r="EM103" s="33"/>
      <c r="EN103" s="33"/>
      <c r="EO103" s="33"/>
      <c r="EP103" s="33"/>
      <c r="EQ103" s="33"/>
      <c r="ER103" s="33"/>
      <c r="ES103" s="33"/>
      <c r="ET103" s="33"/>
      <c r="EU103" s="33"/>
      <c r="EV103" s="33"/>
      <c r="EW103" s="33"/>
      <c r="EX103" s="33"/>
      <c r="EY103" s="33"/>
      <c r="EZ103" s="33"/>
      <c r="FA103" s="33"/>
      <c r="FB103" s="33"/>
      <c r="FC103" s="33"/>
      <c r="FD103" s="33"/>
      <c r="FE103" s="33"/>
      <c r="FF103" s="33"/>
      <c r="FG103" s="33"/>
      <c r="FH103" s="33"/>
      <c r="FI103" s="33"/>
      <c r="FJ103" s="33"/>
      <c r="FK103" s="33"/>
      <c r="FL103" s="33"/>
      <c r="FM103" s="33"/>
      <c r="FN103" s="33"/>
      <c r="FO103" s="33"/>
      <c r="FP103" s="33"/>
      <c r="FQ103" s="33"/>
      <c r="FR103" s="33"/>
      <c r="FS103" s="33"/>
      <c r="FT103" s="33"/>
      <c r="FU103" s="33"/>
      <c r="FV103" s="33"/>
      <c r="FW103" s="33"/>
      <c r="FX103" s="33"/>
      <c r="FY103" s="33"/>
      <c r="FZ103" s="33"/>
      <c r="GA103" s="33"/>
      <c r="GB103" s="33"/>
      <c r="GC103" s="33"/>
      <c r="GD103" s="33"/>
      <c r="GE103" s="33"/>
      <c r="GF103" s="33"/>
      <c r="GG103" s="33"/>
      <c r="GH103" s="33"/>
      <c r="GI103" s="33"/>
      <c r="GJ103" s="33"/>
      <c r="GK103" s="33"/>
      <c r="GL103" s="33"/>
      <c r="GM103" s="33"/>
      <c r="GN103" s="33"/>
      <c r="GO103" s="33"/>
      <c r="GP103" s="33"/>
      <c r="GQ103" s="33"/>
      <c r="GR103" s="33"/>
      <c r="GS103" s="33"/>
      <c r="GT103" s="33"/>
      <c r="GU103" s="33"/>
      <c r="GV103" s="33"/>
      <c r="GW103" s="33"/>
      <c r="GX103" s="33"/>
      <c r="GY103" s="33"/>
      <c r="GZ103" s="33"/>
      <c r="HA103" s="33"/>
      <c r="HB103" s="33"/>
      <c r="HC103" s="33"/>
      <c r="HD103" s="33"/>
      <c r="HE103" s="33"/>
      <c r="HF103" s="33"/>
      <c r="HG103" s="33"/>
      <c r="HH103" s="33"/>
      <c r="HI103" s="33"/>
      <c r="HJ103" s="33"/>
      <c r="HK103" s="33"/>
      <c r="HL103" s="33"/>
      <c r="HM103" s="33"/>
      <c r="HN103" s="33"/>
      <c r="HO103" s="33"/>
      <c r="HP103" s="33"/>
      <c r="HQ103" s="33"/>
      <c r="HR103" s="33"/>
      <c r="HS103" s="33"/>
      <c r="HT103" s="33"/>
      <c r="HU103" s="33"/>
      <c r="HV103" s="33"/>
      <c r="HW103" s="33"/>
      <c r="HX103" s="33"/>
      <c r="HY103" s="33"/>
      <c r="HZ103" s="33"/>
      <c r="IA103" s="33"/>
      <c r="IB103" s="33"/>
      <c r="IC103" s="33"/>
      <c r="ID103" s="33"/>
      <c r="IE103" s="33"/>
      <c r="IF103" s="33"/>
      <c r="IG103" s="33"/>
      <c r="IH103" s="33"/>
      <c r="II103" s="33"/>
      <c r="IJ103" s="33"/>
      <c r="IK103" s="33"/>
      <c r="IL103" s="33"/>
      <c r="IM103" s="33"/>
      <c r="IN103" s="33"/>
      <c r="IO103" s="33"/>
      <c r="IP103" s="33"/>
      <c r="IQ103" s="33"/>
      <c r="IR103" s="33"/>
      <c r="IS103" s="33"/>
      <c r="IT103" s="33"/>
      <c r="IU103" s="33"/>
      <c r="IV103" s="33"/>
      <c r="IW103" s="33"/>
      <c r="IX103" s="33"/>
      <c r="IY103" s="33"/>
      <c r="IZ103" s="33"/>
      <c r="JA103" s="33"/>
      <c r="JB103" s="33"/>
      <c r="JC103" s="33"/>
      <c r="JD103" s="33"/>
      <c r="JE103" s="33"/>
      <c r="JF103" s="33"/>
      <c r="JG103" s="33"/>
      <c r="JH103" s="33"/>
      <c r="JI103" s="33"/>
      <c r="JJ103" s="33"/>
      <c r="JK103" s="33"/>
      <c r="JL103" s="33"/>
      <c r="JM103" s="33"/>
      <c r="JN103" s="33"/>
      <c r="JO103" s="33">
        <v>2</v>
      </c>
      <c r="JP103" s="33"/>
      <c r="JQ103" s="33"/>
      <c r="JR103" s="33"/>
      <c r="JS103" s="33"/>
      <c r="JT103" s="33"/>
      <c r="JU103" s="33">
        <v>4</v>
      </c>
      <c r="JV103" s="33"/>
      <c r="JW103" s="33"/>
      <c r="JX103" s="33"/>
      <c r="JY103" s="33"/>
      <c r="JZ103" s="33"/>
      <c r="KA103" s="33"/>
      <c r="KB103" s="33">
        <v>4</v>
      </c>
      <c r="KC103" s="33"/>
      <c r="KD103" s="33"/>
      <c r="KE103" s="33"/>
      <c r="KF103" s="33"/>
      <c r="KG103" s="33"/>
      <c r="KH103" s="33"/>
      <c r="KI103" s="33"/>
      <c r="KJ103" s="33"/>
      <c r="KK103" s="33"/>
      <c r="KL103" s="33"/>
      <c r="KM103" s="33"/>
      <c r="KN103" s="33"/>
      <c r="KO103" s="33"/>
      <c r="KP103" s="33"/>
      <c r="KQ103" s="33"/>
      <c r="KR103" s="33"/>
      <c r="KS103" s="33"/>
      <c r="KT103" s="33"/>
      <c r="KU103" s="33"/>
      <c r="KV103" s="33"/>
      <c r="KW103" s="33"/>
      <c r="KX103" s="33"/>
      <c r="KY103" s="33"/>
      <c r="KZ103" s="33"/>
      <c r="LA103" s="33"/>
      <c r="LB103" s="33"/>
      <c r="LC103" s="33"/>
      <c r="LD103" s="33"/>
      <c r="LE103" s="33"/>
      <c r="LF103" s="33"/>
      <c r="LG103" s="33"/>
      <c r="LH103" s="33"/>
      <c r="LI103" s="33"/>
      <c r="LJ103" s="33"/>
      <c r="LK103" s="33"/>
      <c r="LL103" s="33"/>
      <c r="LM103" s="33"/>
      <c r="LN103" s="33"/>
      <c r="LO103" s="33"/>
      <c r="LP103" s="33"/>
      <c r="LQ103" s="33"/>
      <c r="LR103" s="33"/>
      <c r="LS103" s="33"/>
      <c r="LT103" s="33"/>
      <c r="LU103" s="33"/>
      <c r="LV103" s="33"/>
      <c r="LW103" s="33"/>
      <c r="LX103" s="33"/>
      <c r="LY103" s="33"/>
      <c r="LZ103" s="33"/>
      <c r="MA103" s="33"/>
      <c r="MB103" s="33"/>
      <c r="MC103" s="33"/>
      <c r="MD103" s="33"/>
      <c r="ME103" s="33"/>
      <c r="MF103" s="33"/>
      <c r="MG103" s="33"/>
      <c r="MH103" s="33"/>
      <c r="MI103" s="33"/>
      <c r="MJ103" s="33"/>
      <c r="MK103" s="33"/>
      <c r="ML103" s="33"/>
      <c r="MM103" s="33"/>
      <c r="MN103" s="33"/>
      <c r="MO103" s="33"/>
      <c r="MP103" s="33"/>
      <c r="MQ103" s="33"/>
      <c r="MR103" s="33"/>
      <c r="MS103" s="33"/>
      <c r="MT103" s="33"/>
      <c r="MU103" s="33"/>
      <c r="MV103" s="33"/>
      <c r="MW103" s="33"/>
      <c r="MX103" s="33"/>
      <c r="MY103" s="33"/>
      <c r="MZ103" s="33"/>
      <c r="NA103" s="33"/>
      <c r="NB103" s="33"/>
      <c r="NC103" s="33"/>
      <c r="ND103" s="33"/>
      <c r="NE103" s="33"/>
      <c r="NF103" s="33"/>
      <c r="NG103" s="33"/>
      <c r="NH103" s="33"/>
      <c r="NI103" s="33"/>
      <c r="NJ103" s="33"/>
      <c r="NK103" s="33"/>
      <c r="NL103" s="34"/>
    </row>
    <row r="104" spans="1:376" x14ac:dyDescent="0.15">
      <c r="A104" s="35">
        <f>A103</f>
        <v>46</v>
      </c>
      <c r="B104" s="36" t="str">
        <f>B103</f>
        <v>PG</v>
      </c>
      <c r="C104" s="36" t="str">
        <f>C103</f>
        <v>監視端末実装レビュー指摘対応</v>
      </c>
      <c r="D104" s="37" t="str">
        <f>D103</f>
        <v>若山</v>
      </c>
      <c r="E104" s="53" t="s">
        <v>0</v>
      </c>
      <c r="F104" s="54"/>
      <c r="G104" s="54"/>
      <c r="H104" s="55">
        <f t="shared" si="234"/>
        <v>0</v>
      </c>
      <c r="I104" s="56">
        <f>IF(OR(H103="",H104=""),"",H104-H103)</f>
        <v>-10</v>
      </c>
      <c r="J104" s="57"/>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c r="BS104" s="59"/>
      <c r="BT104" s="59"/>
      <c r="BU104" s="59"/>
      <c r="BV104" s="59"/>
      <c r="BW104" s="59"/>
      <c r="BX104" s="59"/>
      <c r="BY104" s="59"/>
      <c r="BZ104" s="59"/>
      <c r="CA104" s="59"/>
      <c r="CB104" s="59"/>
      <c r="CC104" s="59"/>
      <c r="CD104" s="59"/>
      <c r="CE104" s="59"/>
      <c r="CF104" s="59"/>
      <c r="CG104" s="59"/>
      <c r="CH104" s="59"/>
      <c r="CI104" s="59"/>
      <c r="CJ104" s="59"/>
      <c r="CK104" s="59"/>
      <c r="CL104" s="59"/>
      <c r="CM104" s="59"/>
      <c r="CN104" s="59"/>
      <c r="CO104" s="59"/>
      <c r="CP104" s="59"/>
      <c r="CQ104" s="59"/>
      <c r="CR104" s="59"/>
      <c r="CS104" s="59"/>
      <c r="CT104" s="59"/>
      <c r="CU104" s="59"/>
      <c r="CV104" s="59"/>
      <c r="CW104" s="59"/>
      <c r="CX104" s="59"/>
      <c r="CY104" s="59"/>
      <c r="CZ104" s="59"/>
      <c r="DA104" s="59"/>
      <c r="DB104" s="59"/>
      <c r="DC104" s="59"/>
      <c r="DD104" s="59"/>
      <c r="DE104" s="59"/>
      <c r="DF104" s="59"/>
      <c r="DG104" s="59"/>
      <c r="DH104" s="59"/>
      <c r="DI104" s="59"/>
      <c r="DJ104" s="59"/>
      <c r="DK104" s="59"/>
      <c r="DL104" s="59"/>
      <c r="DM104" s="59"/>
      <c r="DN104" s="59"/>
      <c r="DO104" s="59"/>
      <c r="DP104" s="59"/>
      <c r="DQ104" s="59"/>
      <c r="DR104" s="59"/>
      <c r="DS104" s="59"/>
      <c r="DT104" s="59"/>
      <c r="DU104" s="59"/>
      <c r="DV104" s="59"/>
      <c r="DW104" s="59"/>
      <c r="DX104" s="59"/>
      <c r="DY104" s="59"/>
      <c r="DZ104" s="59"/>
      <c r="EA104" s="59"/>
      <c r="EB104" s="59"/>
      <c r="EC104" s="59"/>
      <c r="ED104" s="59"/>
      <c r="EE104" s="59"/>
      <c r="EF104" s="59"/>
      <c r="EG104" s="59"/>
      <c r="EH104" s="59"/>
      <c r="EI104" s="59"/>
      <c r="EJ104" s="59"/>
      <c r="EK104" s="59"/>
      <c r="EL104" s="59"/>
      <c r="EM104" s="59"/>
      <c r="EN104" s="59"/>
      <c r="EO104" s="59"/>
      <c r="EP104" s="59"/>
      <c r="EQ104" s="59"/>
      <c r="ER104" s="59"/>
      <c r="ES104" s="59"/>
      <c r="ET104" s="59"/>
      <c r="EU104" s="59"/>
      <c r="EV104" s="59"/>
      <c r="EW104" s="59"/>
      <c r="EX104" s="59"/>
      <c r="EY104" s="59"/>
      <c r="EZ104" s="59"/>
      <c r="FA104" s="59"/>
      <c r="FB104" s="59"/>
      <c r="FC104" s="59"/>
      <c r="FD104" s="59"/>
      <c r="FE104" s="59"/>
      <c r="FF104" s="59"/>
      <c r="FG104" s="59"/>
      <c r="FH104" s="59"/>
      <c r="FI104" s="59"/>
      <c r="FJ104" s="59"/>
      <c r="FK104" s="59"/>
      <c r="FL104" s="59"/>
      <c r="FM104" s="59"/>
      <c r="FN104" s="59"/>
      <c r="FO104" s="59"/>
      <c r="FP104" s="59"/>
      <c r="FQ104" s="59"/>
      <c r="FR104" s="59"/>
      <c r="FS104" s="59"/>
      <c r="FT104" s="59"/>
      <c r="FU104" s="59"/>
      <c r="FV104" s="59"/>
      <c r="FW104" s="59"/>
      <c r="FX104" s="59"/>
      <c r="FY104" s="59"/>
      <c r="FZ104" s="59"/>
      <c r="GA104" s="59"/>
      <c r="GB104" s="59"/>
      <c r="GC104" s="59"/>
      <c r="GD104" s="59"/>
      <c r="GE104" s="59"/>
      <c r="GF104" s="59"/>
      <c r="GG104" s="59"/>
      <c r="GH104" s="59"/>
      <c r="GI104" s="59"/>
      <c r="GJ104" s="59"/>
      <c r="GK104" s="59"/>
      <c r="GL104" s="59"/>
      <c r="GM104" s="59"/>
      <c r="GN104" s="59"/>
      <c r="GO104" s="59"/>
      <c r="GP104" s="59"/>
      <c r="GQ104" s="59"/>
      <c r="GR104" s="59"/>
      <c r="GS104" s="59"/>
      <c r="GT104" s="59"/>
      <c r="GU104" s="59"/>
      <c r="GV104" s="59"/>
      <c r="GW104" s="59"/>
      <c r="GX104" s="59"/>
      <c r="GY104" s="59"/>
      <c r="GZ104" s="59"/>
      <c r="HA104" s="59"/>
      <c r="HB104" s="59"/>
      <c r="HC104" s="59"/>
      <c r="HD104" s="59"/>
      <c r="HE104" s="59"/>
      <c r="HF104" s="59"/>
      <c r="HG104" s="59"/>
      <c r="HH104" s="59"/>
      <c r="HI104" s="59"/>
      <c r="HJ104" s="59"/>
      <c r="HK104" s="59"/>
      <c r="HL104" s="59"/>
      <c r="HM104" s="59"/>
      <c r="HN104" s="59"/>
      <c r="HO104" s="59"/>
      <c r="HP104" s="59"/>
      <c r="HQ104" s="59"/>
      <c r="HR104" s="59"/>
      <c r="HS104" s="59"/>
      <c r="HT104" s="59"/>
      <c r="HU104" s="59"/>
      <c r="HV104" s="59"/>
      <c r="HW104" s="59"/>
      <c r="HX104" s="59"/>
      <c r="HY104" s="59"/>
      <c r="HZ104" s="59"/>
      <c r="IA104" s="59"/>
      <c r="IB104" s="59"/>
      <c r="IC104" s="59"/>
      <c r="ID104" s="59"/>
      <c r="IE104" s="59"/>
      <c r="IF104" s="59"/>
      <c r="IG104" s="59"/>
      <c r="IH104" s="59"/>
      <c r="II104" s="59"/>
      <c r="IJ104" s="59"/>
      <c r="IK104" s="59"/>
      <c r="IL104" s="59"/>
      <c r="IM104" s="59"/>
      <c r="IN104" s="59"/>
      <c r="IO104" s="59"/>
      <c r="IP104" s="59"/>
      <c r="IQ104" s="59"/>
      <c r="IR104" s="59"/>
      <c r="IS104" s="59"/>
      <c r="IT104" s="59"/>
      <c r="IU104" s="59"/>
      <c r="IV104" s="59"/>
      <c r="IW104" s="59"/>
      <c r="IX104" s="59"/>
      <c r="IY104" s="59"/>
      <c r="IZ104" s="59"/>
      <c r="JA104" s="59"/>
      <c r="JB104" s="59"/>
      <c r="JC104" s="59"/>
      <c r="JD104" s="59"/>
      <c r="JE104" s="59"/>
      <c r="JF104" s="59"/>
      <c r="JG104" s="59"/>
      <c r="JH104" s="59"/>
      <c r="JI104" s="59"/>
      <c r="JJ104" s="59"/>
      <c r="JK104" s="59"/>
      <c r="JL104" s="59"/>
      <c r="JM104" s="59"/>
      <c r="JN104" s="59"/>
      <c r="JO104" s="59"/>
      <c r="JP104" s="59"/>
      <c r="JQ104" s="59"/>
      <c r="JR104" s="59"/>
      <c r="JS104" s="59"/>
      <c r="JT104" s="59"/>
      <c r="JU104" s="59"/>
      <c r="JV104" s="59"/>
      <c r="JW104" s="59"/>
      <c r="JX104" s="59"/>
      <c r="JY104" s="59"/>
      <c r="JZ104" s="59"/>
      <c r="KA104" s="59"/>
      <c r="KB104" s="59"/>
      <c r="KC104" s="59"/>
      <c r="KD104" s="59"/>
      <c r="KE104" s="59"/>
      <c r="KF104" s="59"/>
      <c r="KG104" s="59"/>
      <c r="KH104" s="59"/>
      <c r="KI104" s="59"/>
      <c r="KJ104" s="59"/>
      <c r="KK104" s="59"/>
      <c r="KL104" s="59"/>
      <c r="KM104" s="59"/>
      <c r="KN104" s="59"/>
      <c r="KO104" s="59"/>
      <c r="KP104" s="59"/>
      <c r="KQ104" s="59"/>
      <c r="KR104" s="59"/>
      <c r="KS104" s="59"/>
      <c r="KT104" s="59"/>
      <c r="KU104" s="59"/>
      <c r="KV104" s="59"/>
      <c r="KW104" s="59"/>
      <c r="KX104" s="59"/>
      <c r="KY104" s="59"/>
      <c r="KZ104" s="59"/>
      <c r="LA104" s="59"/>
      <c r="LB104" s="59"/>
      <c r="LC104" s="59"/>
      <c r="LD104" s="59"/>
      <c r="LE104" s="59"/>
      <c r="LF104" s="59"/>
      <c r="LG104" s="59"/>
      <c r="LH104" s="59"/>
      <c r="LI104" s="59"/>
      <c r="LJ104" s="59"/>
      <c r="LK104" s="59"/>
      <c r="LL104" s="59"/>
      <c r="LM104" s="59"/>
      <c r="LN104" s="59"/>
      <c r="LO104" s="59"/>
      <c r="LP104" s="59"/>
      <c r="LQ104" s="59"/>
      <c r="LR104" s="59"/>
      <c r="LS104" s="59"/>
      <c r="LT104" s="59"/>
      <c r="LU104" s="59"/>
      <c r="LV104" s="59"/>
      <c r="LW104" s="59"/>
      <c r="LX104" s="59"/>
      <c r="LY104" s="59"/>
      <c r="LZ104" s="59"/>
      <c r="MA104" s="59"/>
      <c r="MB104" s="59"/>
      <c r="MC104" s="59"/>
      <c r="MD104" s="59"/>
      <c r="ME104" s="59"/>
      <c r="MF104" s="59"/>
      <c r="MG104" s="59"/>
      <c r="MH104" s="59"/>
      <c r="MI104" s="59"/>
      <c r="MJ104" s="59"/>
      <c r="MK104" s="59"/>
      <c r="ML104" s="59"/>
      <c r="MM104" s="59"/>
      <c r="MN104" s="59"/>
      <c r="MO104" s="59"/>
      <c r="MP104" s="59"/>
      <c r="MQ104" s="59"/>
      <c r="MR104" s="59"/>
      <c r="MS104" s="59"/>
      <c r="MT104" s="59"/>
      <c r="MU104" s="59"/>
      <c r="MV104" s="59"/>
      <c r="MW104" s="59"/>
      <c r="MX104" s="59"/>
      <c r="MY104" s="59"/>
      <c r="MZ104" s="59"/>
      <c r="NA104" s="59"/>
      <c r="NB104" s="59"/>
      <c r="NC104" s="59"/>
      <c r="ND104" s="59"/>
      <c r="NE104" s="59"/>
      <c r="NF104" s="59"/>
      <c r="NG104" s="59"/>
      <c r="NH104" s="59"/>
      <c r="NI104" s="59"/>
      <c r="NJ104" s="59"/>
      <c r="NK104" s="59"/>
      <c r="NL104" s="60"/>
    </row>
    <row r="105" spans="1:376" x14ac:dyDescent="0.15">
      <c r="A105" s="23">
        <v>47</v>
      </c>
      <c r="B105" s="24" t="s">
        <v>155</v>
      </c>
      <c r="C105" s="45" t="s">
        <v>156</v>
      </c>
      <c r="D105" s="26" t="s">
        <v>165</v>
      </c>
      <c r="E105" s="27" t="s">
        <v>13</v>
      </c>
      <c r="F105" s="28">
        <v>43108</v>
      </c>
      <c r="G105" s="28">
        <v>43135</v>
      </c>
      <c r="H105" s="29">
        <f t="shared" ref="H105:H116" si="235">SUM(J105:NL105)</f>
        <v>16</v>
      </c>
      <c r="I105" s="30"/>
      <c r="J105" s="31"/>
      <c r="K105" s="32"/>
      <c r="L105" s="32"/>
      <c r="M105" s="32"/>
      <c r="N105" s="32"/>
      <c r="O105" s="32"/>
      <c r="P105" s="32"/>
      <c r="Q105" s="32"/>
      <c r="R105" s="32"/>
      <c r="S105" s="32"/>
      <c r="T105" s="32"/>
      <c r="U105" s="32"/>
      <c r="V105" s="32"/>
      <c r="W105" s="32"/>
      <c r="X105" s="32"/>
      <c r="Y105" s="32"/>
      <c r="Z105" s="32"/>
      <c r="AA105" s="32"/>
      <c r="AB105" s="32"/>
      <c r="AC105" s="32"/>
      <c r="AD105" s="32"/>
      <c r="AE105" s="32"/>
      <c r="AF105" s="32"/>
      <c r="AG105" s="32"/>
      <c r="AH105" s="32"/>
      <c r="AI105" s="32"/>
      <c r="AJ105" s="32"/>
      <c r="AK105" s="32"/>
      <c r="AL105" s="32"/>
      <c r="AM105" s="32"/>
      <c r="AN105" s="32"/>
      <c r="AO105" s="32"/>
      <c r="AP105" s="33"/>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33"/>
      <c r="CA105" s="33"/>
      <c r="CB105" s="33"/>
      <c r="CC105" s="33"/>
      <c r="CD105" s="33"/>
      <c r="CE105" s="33"/>
      <c r="CF105" s="33"/>
      <c r="CG105" s="33"/>
      <c r="CH105" s="33"/>
      <c r="CI105" s="33"/>
      <c r="CJ105" s="33"/>
      <c r="CK105" s="33"/>
      <c r="CL105" s="33"/>
      <c r="CM105" s="33"/>
      <c r="CN105" s="33"/>
      <c r="CO105" s="33"/>
      <c r="CP105" s="33"/>
      <c r="CQ105" s="33"/>
      <c r="CR105" s="33"/>
      <c r="CS105" s="33"/>
      <c r="CT105" s="33"/>
      <c r="CU105" s="33"/>
      <c r="CV105" s="33"/>
      <c r="CW105" s="33"/>
      <c r="CX105" s="33"/>
      <c r="CY105" s="33"/>
      <c r="CZ105" s="33"/>
      <c r="DA105" s="33"/>
      <c r="DB105" s="33"/>
      <c r="DC105" s="33"/>
      <c r="DD105" s="33"/>
      <c r="DE105" s="33"/>
      <c r="DF105" s="33"/>
      <c r="DG105" s="33"/>
      <c r="DH105" s="33"/>
      <c r="DI105" s="33"/>
      <c r="DJ105" s="33"/>
      <c r="DK105" s="33"/>
      <c r="DL105" s="33"/>
      <c r="DM105" s="33"/>
      <c r="DN105" s="33"/>
      <c r="DO105" s="33"/>
      <c r="DP105" s="33"/>
      <c r="DQ105" s="33"/>
      <c r="DR105" s="33"/>
      <c r="DS105" s="33"/>
      <c r="DT105" s="33"/>
      <c r="DU105" s="33"/>
      <c r="DV105" s="33"/>
      <c r="DW105" s="33"/>
      <c r="DX105" s="33"/>
      <c r="DY105" s="33"/>
      <c r="DZ105" s="33"/>
      <c r="EA105" s="33"/>
      <c r="EB105" s="33"/>
      <c r="EC105" s="33"/>
      <c r="ED105" s="33"/>
      <c r="EE105" s="33"/>
      <c r="EF105" s="33"/>
      <c r="EG105" s="33"/>
      <c r="EH105" s="33"/>
      <c r="EI105" s="33"/>
      <c r="EJ105" s="33"/>
      <c r="EK105" s="33"/>
      <c r="EL105" s="33"/>
      <c r="EM105" s="33"/>
      <c r="EN105" s="33"/>
      <c r="EO105" s="33"/>
      <c r="EP105" s="33"/>
      <c r="EQ105" s="33"/>
      <c r="ER105" s="33"/>
      <c r="ES105" s="33"/>
      <c r="ET105" s="33"/>
      <c r="EU105" s="33"/>
      <c r="EV105" s="33"/>
      <c r="EW105" s="33"/>
      <c r="EX105" s="33"/>
      <c r="EY105" s="33"/>
      <c r="EZ105" s="33"/>
      <c r="FA105" s="33"/>
      <c r="FB105" s="33"/>
      <c r="FC105" s="33"/>
      <c r="FD105" s="33"/>
      <c r="FE105" s="33"/>
      <c r="FF105" s="33"/>
      <c r="FG105" s="33"/>
      <c r="FH105" s="33"/>
      <c r="FI105" s="33"/>
      <c r="FJ105" s="33"/>
      <c r="FK105" s="33"/>
      <c r="FL105" s="33"/>
      <c r="FM105" s="33"/>
      <c r="FN105" s="33"/>
      <c r="FO105" s="33"/>
      <c r="FP105" s="33"/>
      <c r="FQ105" s="33"/>
      <c r="FR105" s="33"/>
      <c r="FS105" s="33"/>
      <c r="FT105" s="33"/>
      <c r="FU105" s="33"/>
      <c r="FV105" s="33"/>
      <c r="FW105" s="33"/>
      <c r="FX105" s="33"/>
      <c r="FY105" s="33"/>
      <c r="FZ105" s="33"/>
      <c r="GA105" s="33"/>
      <c r="GB105" s="33"/>
      <c r="GC105" s="33"/>
      <c r="GD105" s="33"/>
      <c r="GE105" s="33"/>
      <c r="GF105" s="33"/>
      <c r="GG105" s="33"/>
      <c r="GH105" s="33"/>
      <c r="GI105" s="33"/>
      <c r="GJ105" s="33"/>
      <c r="GK105" s="33"/>
      <c r="GL105" s="33"/>
      <c r="GM105" s="33"/>
      <c r="GN105" s="33"/>
      <c r="GO105" s="33"/>
      <c r="GP105" s="33"/>
      <c r="GQ105" s="33"/>
      <c r="GR105" s="33"/>
      <c r="GS105" s="33"/>
      <c r="GT105" s="33"/>
      <c r="GU105" s="33"/>
      <c r="GV105" s="33"/>
      <c r="GW105" s="33"/>
      <c r="GX105" s="33"/>
      <c r="GY105" s="33"/>
      <c r="GZ105" s="33"/>
      <c r="HA105" s="33"/>
      <c r="HB105" s="33"/>
      <c r="HC105" s="33"/>
      <c r="HD105" s="33"/>
      <c r="HE105" s="33"/>
      <c r="HF105" s="33"/>
      <c r="HG105" s="33"/>
      <c r="HH105" s="33"/>
      <c r="HI105" s="33"/>
      <c r="HJ105" s="33"/>
      <c r="HK105" s="33"/>
      <c r="HL105" s="33"/>
      <c r="HM105" s="33"/>
      <c r="HN105" s="33"/>
      <c r="HO105" s="33"/>
      <c r="HP105" s="33"/>
      <c r="HQ105" s="33"/>
      <c r="HR105" s="33"/>
      <c r="HS105" s="33"/>
      <c r="HT105" s="33"/>
      <c r="HU105" s="33"/>
      <c r="HV105" s="33"/>
      <c r="HW105" s="33"/>
      <c r="HX105" s="33"/>
      <c r="HY105" s="33"/>
      <c r="HZ105" s="33"/>
      <c r="IA105" s="33"/>
      <c r="IB105" s="33"/>
      <c r="IC105" s="33"/>
      <c r="ID105" s="33"/>
      <c r="IE105" s="33"/>
      <c r="IF105" s="33"/>
      <c r="IG105" s="33"/>
      <c r="IH105" s="33"/>
      <c r="II105" s="33"/>
      <c r="IJ105" s="33"/>
      <c r="IK105" s="33"/>
      <c r="IL105" s="33"/>
      <c r="IM105" s="33"/>
      <c r="IN105" s="33"/>
      <c r="IO105" s="33"/>
      <c r="IP105" s="33"/>
      <c r="IQ105" s="33"/>
      <c r="IR105" s="33"/>
      <c r="IS105" s="33"/>
      <c r="IT105" s="33"/>
      <c r="IU105" s="33"/>
      <c r="IV105" s="33"/>
      <c r="IW105" s="33"/>
      <c r="IX105" s="33"/>
      <c r="IY105" s="33"/>
      <c r="IZ105" s="33"/>
      <c r="JA105" s="33"/>
      <c r="JB105" s="33"/>
      <c r="JC105" s="33"/>
      <c r="JD105" s="33"/>
      <c r="JE105" s="33"/>
      <c r="JF105" s="33"/>
      <c r="JG105" s="33"/>
      <c r="JH105" s="33"/>
      <c r="JI105" s="33"/>
      <c r="JJ105" s="33"/>
      <c r="JK105" s="33"/>
      <c r="JL105" s="33"/>
      <c r="JM105" s="33"/>
      <c r="JN105" s="33"/>
      <c r="JO105" s="33"/>
      <c r="JP105" s="33"/>
      <c r="JQ105" s="33"/>
      <c r="JR105" s="33"/>
      <c r="JS105" s="33"/>
      <c r="JT105" s="33"/>
      <c r="JU105" s="33"/>
      <c r="JV105" s="33"/>
      <c r="JW105" s="33"/>
      <c r="JX105" s="33"/>
      <c r="JY105" s="33"/>
      <c r="JZ105" s="33"/>
      <c r="KA105" s="33"/>
      <c r="KB105" s="33"/>
      <c r="KC105" s="33"/>
      <c r="KD105" s="33"/>
      <c r="KE105" s="33"/>
      <c r="KF105" s="33"/>
      <c r="KG105" s="33"/>
      <c r="KH105" s="33"/>
      <c r="KI105" s="33">
        <v>4</v>
      </c>
      <c r="KJ105" s="33"/>
      <c r="KK105" s="33"/>
      <c r="KL105" s="33"/>
      <c r="KM105" s="33"/>
      <c r="KN105" s="33"/>
      <c r="KO105" s="33"/>
      <c r="KP105" s="33">
        <v>4</v>
      </c>
      <c r="KQ105" s="33"/>
      <c r="KR105" s="33"/>
      <c r="KS105" s="33"/>
      <c r="KT105" s="33"/>
      <c r="KU105" s="33"/>
      <c r="KV105" s="33"/>
      <c r="KW105" s="33">
        <v>4</v>
      </c>
      <c r="KX105" s="33"/>
      <c r="KY105" s="33"/>
      <c r="KZ105" s="33"/>
      <c r="LA105" s="33"/>
      <c r="LB105" s="33"/>
      <c r="LC105" s="33"/>
      <c r="LD105" s="33">
        <v>4</v>
      </c>
      <c r="LE105" s="33"/>
      <c r="LF105" s="33"/>
      <c r="LG105" s="33"/>
      <c r="LH105" s="33"/>
      <c r="LI105" s="33"/>
      <c r="LJ105" s="33"/>
      <c r="LK105" s="33"/>
      <c r="LL105" s="33"/>
      <c r="LM105" s="33"/>
      <c r="LN105" s="33"/>
      <c r="LO105" s="33"/>
      <c r="LP105" s="33"/>
      <c r="LQ105" s="33"/>
      <c r="LR105" s="33"/>
      <c r="LS105" s="33"/>
      <c r="LT105" s="33"/>
      <c r="LU105" s="33"/>
      <c r="LV105" s="33"/>
      <c r="LW105" s="33"/>
      <c r="LX105" s="33"/>
      <c r="LY105" s="33"/>
      <c r="LZ105" s="33"/>
      <c r="MA105" s="33"/>
      <c r="MB105" s="33"/>
      <c r="MC105" s="33"/>
      <c r="MD105" s="33"/>
      <c r="ME105" s="33"/>
      <c r="MF105" s="33"/>
      <c r="MG105" s="33"/>
      <c r="MH105" s="33"/>
      <c r="MI105" s="33"/>
      <c r="MJ105" s="33"/>
      <c r="MK105" s="33"/>
      <c r="ML105" s="33"/>
      <c r="MM105" s="33"/>
      <c r="MN105" s="33"/>
      <c r="MO105" s="33"/>
      <c r="MP105" s="33"/>
      <c r="MQ105" s="33"/>
      <c r="MR105" s="33"/>
      <c r="MS105" s="33"/>
      <c r="MT105" s="33"/>
      <c r="MU105" s="33"/>
      <c r="MV105" s="33"/>
      <c r="MW105" s="33"/>
      <c r="MX105" s="33"/>
      <c r="MY105" s="33"/>
      <c r="MZ105" s="33"/>
      <c r="NA105" s="33"/>
      <c r="NB105" s="33"/>
      <c r="NC105" s="33"/>
      <c r="ND105" s="33"/>
      <c r="NE105" s="33"/>
      <c r="NF105" s="33"/>
      <c r="NG105" s="33"/>
      <c r="NH105" s="33"/>
      <c r="NI105" s="33"/>
      <c r="NJ105" s="33"/>
      <c r="NK105" s="33"/>
      <c r="NL105" s="34"/>
    </row>
    <row r="106" spans="1:376" x14ac:dyDescent="0.15">
      <c r="A106" s="35">
        <f>A105</f>
        <v>47</v>
      </c>
      <c r="B106" s="36" t="str">
        <f>B105</f>
        <v>UT</v>
      </c>
      <c r="C106" s="36" t="str">
        <f>C105</f>
        <v>Webアプリ単体評価実施</v>
      </c>
      <c r="D106" s="37" t="str">
        <f>D105</f>
        <v>高澤</v>
      </c>
      <c r="E106" s="53" t="s">
        <v>0</v>
      </c>
      <c r="F106" s="54"/>
      <c r="G106" s="54"/>
      <c r="H106" s="55">
        <f t="shared" si="235"/>
        <v>0</v>
      </c>
      <c r="I106" s="56">
        <f t="shared" ref="I106" si="236">IF(OR(H105="",H106=""),"",H106-H105)</f>
        <v>-16</v>
      </c>
      <c r="J106" s="57"/>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c r="BS106" s="59"/>
      <c r="BT106" s="59"/>
      <c r="BU106" s="59"/>
      <c r="BV106" s="59"/>
      <c r="BW106" s="59"/>
      <c r="BX106" s="59"/>
      <c r="BY106" s="59"/>
      <c r="BZ106" s="59"/>
      <c r="CA106" s="59"/>
      <c r="CB106" s="59"/>
      <c r="CC106" s="59"/>
      <c r="CD106" s="59"/>
      <c r="CE106" s="59"/>
      <c r="CF106" s="59"/>
      <c r="CG106" s="59"/>
      <c r="CH106" s="59"/>
      <c r="CI106" s="59"/>
      <c r="CJ106" s="59"/>
      <c r="CK106" s="59"/>
      <c r="CL106" s="59"/>
      <c r="CM106" s="59"/>
      <c r="CN106" s="59"/>
      <c r="CO106" s="59"/>
      <c r="CP106" s="59"/>
      <c r="CQ106" s="59"/>
      <c r="CR106" s="59"/>
      <c r="CS106" s="59"/>
      <c r="CT106" s="59"/>
      <c r="CU106" s="59"/>
      <c r="CV106" s="59"/>
      <c r="CW106" s="59"/>
      <c r="CX106" s="59"/>
      <c r="CY106" s="59"/>
      <c r="CZ106" s="59"/>
      <c r="DA106" s="59"/>
      <c r="DB106" s="59"/>
      <c r="DC106" s="59"/>
      <c r="DD106" s="59"/>
      <c r="DE106" s="59"/>
      <c r="DF106" s="59"/>
      <c r="DG106" s="59"/>
      <c r="DH106" s="59"/>
      <c r="DI106" s="59"/>
      <c r="DJ106" s="59"/>
      <c r="DK106" s="59"/>
      <c r="DL106" s="59"/>
      <c r="DM106" s="59"/>
      <c r="DN106" s="59"/>
      <c r="DO106" s="59"/>
      <c r="DP106" s="59"/>
      <c r="DQ106" s="59"/>
      <c r="DR106" s="59"/>
      <c r="DS106" s="59"/>
      <c r="DT106" s="59"/>
      <c r="DU106" s="59"/>
      <c r="DV106" s="59"/>
      <c r="DW106" s="59"/>
      <c r="DX106" s="59"/>
      <c r="DY106" s="59"/>
      <c r="DZ106" s="59"/>
      <c r="EA106" s="59"/>
      <c r="EB106" s="59"/>
      <c r="EC106" s="59"/>
      <c r="ED106" s="59"/>
      <c r="EE106" s="59"/>
      <c r="EF106" s="59"/>
      <c r="EG106" s="59"/>
      <c r="EH106" s="59"/>
      <c r="EI106" s="59"/>
      <c r="EJ106" s="59"/>
      <c r="EK106" s="59"/>
      <c r="EL106" s="59"/>
      <c r="EM106" s="59"/>
      <c r="EN106" s="59"/>
      <c r="EO106" s="59"/>
      <c r="EP106" s="59"/>
      <c r="EQ106" s="59"/>
      <c r="ER106" s="59"/>
      <c r="ES106" s="59"/>
      <c r="ET106" s="59"/>
      <c r="EU106" s="59"/>
      <c r="EV106" s="59"/>
      <c r="EW106" s="59"/>
      <c r="EX106" s="59"/>
      <c r="EY106" s="59"/>
      <c r="EZ106" s="59"/>
      <c r="FA106" s="59"/>
      <c r="FB106" s="59"/>
      <c r="FC106" s="59"/>
      <c r="FD106" s="59"/>
      <c r="FE106" s="59"/>
      <c r="FF106" s="59"/>
      <c r="FG106" s="59"/>
      <c r="FH106" s="59"/>
      <c r="FI106" s="59"/>
      <c r="FJ106" s="59"/>
      <c r="FK106" s="59"/>
      <c r="FL106" s="59"/>
      <c r="FM106" s="59"/>
      <c r="FN106" s="59"/>
      <c r="FO106" s="59"/>
      <c r="FP106" s="59"/>
      <c r="FQ106" s="59"/>
      <c r="FR106" s="59"/>
      <c r="FS106" s="59"/>
      <c r="FT106" s="59"/>
      <c r="FU106" s="59"/>
      <c r="FV106" s="59"/>
      <c r="FW106" s="59"/>
      <c r="FX106" s="59"/>
      <c r="FY106" s="59"/>
      <c r="FZ106" s="59"/>
      <c r="GA106" s="59"/>
      <c r="GB106" s="59"/>
      <c r="GC106" s="59"/>
      <c r="GD106" s="59"/>
      <c r="GE106" s="59"/>
      <c r="GF106" s="59"/>
      <c r="GG106" s="59"/>
      <c r="GH106" s="59"/>
      <c r="GI106" s="59"/>
      <c r="GJ106" s="59"/>
      <c r="GK106" s="59"/>
      <c r="GL106" s="59"/>
      <c r="GM106" s="59"/>
      <c r="GN106" s="59"/>
      <c r="GO106" s="59"/>
      <c r="GP106" s="59"/>
      <c r="GQ106" s="59"/>
      <c r="GR106" s="59"/>
      <c r="GS106" s="59"/>
      <c r="GT106" s="59"/>
      <c r="GU106" s="59"/>
      <c r="GV106" s="59"/>
      <c r="GW106" s="59"/>
      <c r="GX106" s="59"/>
      <c r="GY106" s="59"/>
      <c r="GZ106" s="59"/>
      <c r="HA106" s="59"/>
      <c r="HB106" s="59"/>
      <c r="HC106" s="59"/>
      <c r="HD106" s="59"/>
      <c r="HE106" s="59"/>
      <c r="HF106" s="59"/>
      <c r="HG106" s="59"/>
      <c r="HH106" s="59"/>
      <c r="HI106" s="59"/>
      <c r="HJ106" s="59"/>
      <c r="HK106" s="59"/>
      <c r="HL106" s="59"/>
      <c r="HM106" s="59"/>
      <c r="HN106" s="59"/>
      <c r="HO106" s="59"/>
      <c r="HP106" s="59"/>
      <c r="HQ106" s="59"/>
      <c r="HR106" s="59"/>
      <c r="HS106" s="59"/>
      <c r="HT106" s="59"/>
      <c r="HU106" s="59"/>
      <c r="HV106" s="59"/>
      <c r="HW106" s="59"/>
      <c r="HX106" s="59"/>
      <c r="HY106" s="59"/>
      <c r="HZ106" s="59"/>
      <c r="IA106" s="59"/>
      <c r="IB106" s="59"/>
      <c r="IC106" s="59"/>
      <c r="ID106" s="59"/>
      <c r="IE106" s="59"/>
      <c r="IF106" s="59"/>
      <c r="IG106" s="59"/>
      <c r="IH106" s="59"/>
      <c r="II106" s="59"/>
      <c r="IJ106" s="59"/>
      <c r="IK106" s="59"/>
      <c r="IL106" s="59"/>
      <c r="IM106" s="59"/>
      <c r="IN106" s="59"/>
      <c r="IO106" s="59"/>
      <c r="IP106" s="59"/>
      <c r="IQ106" s="59"/>
      <c r="IR106" s="59"/>
      <c r="IS106" s="59"/>
      <c r="IT106" s="59"/>
      <c r="IU106" s="59"/>
      <c r="IV106" s="59"/>
      <c r="IW106" s="59"/>
      <c r="IX106" s="59"/>
      <c r="IY106" s="59"/>
      <c r="IZ106" s="59"/>
      <c r="JA106" s="59"/>
      <c r="JB106" s="59"/>
      <c r="JC106" s="59"/>
      <c r="JD106" s="59"/>
      <c r="JE106" s="59"/>
      <c r="JF106" s="59"/>
      <c r="JG106" s="59"/>
      <c r="JH106" s="59"/>
      <c r="JI106" s="59"/>
      <c r="JJ106" s="59"/>
      <c r="JK106" s="59"/>
      <c r="JL106" s="59"/>
      <c r="JM106" s="59"/>
      <c r="JN106" s="59"/>
      <c r="JO106" s="59"/>
      <c r="JP106" s="59"/>
      <c r="JQ106" s="59"/>
      <c r="JR106" s="59"/>
      <c r="JS106" s="59"/>
      <c r="JT106" s="59"/>
      <c r="JU106" s="59"/>
      <c r="JV106" s="59"/>
      <c r="JW106" s="59"/>
      <c r="JX106" s="59"/>
      <c r="JY106" s="59"/>
      <c r="JZ106" s="59"/>
      <c r="KA106" s="59"/>
      <c r="KB106" s="59"/>
      <c r="KC106" s="59"/>
      <c r="KD106" s="59"/>
      <c r="KE106" s="59"/>
      <c r="KF106" s="59"/>
      <c r="KG106" s="59"/>
      <c r="KH106" s="59"/>
      <c r="KI106" s="59"/>
      <c r="KJ106" s="59"/>
      <c r="KK106" s="59"/>
      <c r="KL106" s="59"/>
      <c r="KM106" s="59"/>
      <c r="KN106" s="59"/>
      <c r="KO106" s="59"/>
      <c r="KP106" s="59"/>
      <c r="KQ106" s="59"/>
      <c r="KR106" s="59"/>
      <c r="KS106" s="59"/>
      <c r="KT106" s="59"/>
      <c r="KU106" s="59"/>
      <c r="KV106" s="59"/>
      <c r="KW106" s="59"/>
      <c r="KX106" s="59"/>
      <c r="KY106" s="59"/>
      <c r="KZ106" s="59"/>
      <c r="LA106" s="59"/>
      <c r="LB106" s="59"/>
      <c r="LC106" s="59"/>
      <c r="LD106" s="59"/>
      <c r="LE106" s="59"/>
      <c r="LF106" s="59"/>
      <c r="LG106" s="59"/>
      <c r="LH106" s="59"/>
      <c r="LI106" s="59"/>
      <c r="LJ106" s="59"/>
      <c r="LK106" s="59"/>
      <c r="LL106" s="59"/>
      <c r="LM106" s="59"/>
      <c r="LN106" s="59"/>
      <c r="LO106" s="59"/>
      <c r="LP106" s="59"/>
      <c r="LQ106" s="59"/>
      <c r="LR106" s="59"/>
      <c r="LS106" s="59"/>
      <c r="LT106" s="59"/>
      <c r="LU106" s="59"/>
      <c r="LV106" s="59"/>
      <c r="LW106" s="59"/>
      <c r="LX106" s="59"/>
      <c r="LY106" s="59"/>
      <c r="LZ106" s="59"/>
      <c r="MA106" s="59"/>
      <c r="MB106" s="59"/>
      <c r="MC106" s="59"/>
      <c r="MD106" s="59"/>
      <c r="ME106" s="59"/>
      <c r="MF106" s="59"/>
      <c r="MG106" s="59"/>
      <c r="MH106" s="59"/>
      <c r="MI106" s="59"/>
      <c r="MJ106" s="59"/>
      <c r="MK106" s="59"/>
      <c r="ML106" s="59"/>
      <c r="MM106" s="59"/>
      <c r="MN106" s="59"/>
      <c r="MO106" s="59"/>
      <c r="MP106" s="59"/>
      <c r="MQ106" s="59"/>
      <c r="MR106" s="59"/>
      <c r="MS106" s="59"/>
      <c r="MT106" s="59"/>
      <c r="MU106" s="59"/>
      <c r="MV106" s="59"/>
      <c r="MW106" s="59"/>
      <c r="MX106" s="59"/>
      <c r="MY106" s="59"/>
      <c r="MZ106" s="59"/>
      <c r="NA106" s="59"/>
      <c r="NB106" s="59"/>
      <c r="NC106" s="59"/>
      <c r="ND106" s="59"/>
      <c r="NE106" s="59"/>
      <c r="NF106" s="59"/>
      <c r="NG106" s="59"/>
      <c r="NH106" s="59"/>
      <c r="NI106" s="59"/>
      <c r="NJ106" s="59"/>
      <c r="NK106" s="59"/>
      <c r="NL106" s="60"/>
    </row>
    <row r="107" spans="1:376" x14ac:dyDescent="0.15">
      <c r="A107" s="23">
        <v>48</v>
      </c>
      <c r="B107" s="24" t="s">
        <v>155</v>
      </c>
      <c r="C107" s="45" t="s">
        <v>157</v>
      </c>
      <c r="D107" s="26" t="s">
        <v>166</v>
      </c>
      <c r="E107" s="27" t="s">
        <v>13</v>
      </c>
      <c r="F107" s="28">
        <v>43108</v>
      </c>
      <c r="G107" s="28">
        <v>43135</v>
      </c>
      <c r="H107" s="29">
        <f t="shared" si="235"/>
        <v>16</v>
      </c>
      <c r="I107" s="30"/>
      <c r="J107" s="31"/>
      <c r="K107" s="32"/>
      <c r="L107" s="32"/>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3"/>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33"/>
      <c r="CA107" s="33"/>
      <c r="CB107" s="33"/>
      <c r="CC107" s="33"/>
      <c r="CD107" s="33"/>
      <c r="CE107" s="33"/>
      <c r="CF107" s="33"/>
      <c r="CG107" s="33"/>
      <c r="CH107" s="33"/>
      <c r="CI107" s="33"/>
      <c r="CJ107" s="33"/>
      <c r="CK107" s="33"/>
      <c r="CL107" s="33"/>
      <c r="CM107" s="33"/>
      <c r="CN107" s="33"/>
      <c r="CO107" s="33"/>
      <c r="CP107" s="33"/>
      <c r="CQ107" s="33"/>
      <c r="CR107" s="33"/>
      <c r="CS107" s="33"/>
      <c r="CT107" s="33"/>
      <c r="CU107" s="33"/>
      <c r="CV107" s="33"/>
      <c r="CW107" s="33"/>
      <c r="CX107" s="33"/>
      <c r="CY107" s="33"/>
      <c r="CZ107" s="33"/>
      <c r="DA107" s="33"/>
      <c r="DB107" s="33"/>
      <c r="DC107" s="33"/>
      <c r="DD107" s="33"/>
      <c r="DE107" s="33"/>
      <c r="DF107" s="33"/>
      <c r="DG107" s="33"/>
      <c r="DH107" s="33"/>
      <c r="DI107" s="33"/>
      <c r="DJ107" s="33"/>
      <c r="DK107" s="33"/>
      <c r="DL107" s="33"/>
      <c r="DM107" s="33"/>
      <c r="DN107" s="33"/>
      <c r="DO107" s="33"/>
      <c r="DP107" s="33"/>
      <c r="DQ107" s="33"/>
      <c r="DR107" s="33"/>
      <c r="DS107" s="33"/>
      <c r="DT107" s="33"/>
      <c r="DU107" s="33"/>
      <c r="DV107" s="33"/>
      <c r="DW107" s="33"/>
      <c r="DX107" s="33"/>
      <c r="DY107" s="33"/>
      <c r="DZ107" s="33"/>
      <c r="EA107" s="33"/>
      <c r="EB107" s="33"/>
      <c r="EC107" s="33"/>
      <c r="ED107" s="33"/>
      <c r="EE107" s="33"/>
      <c r="EF107" s="33"/>
      <c r="EG107" s="33"/>
      <c r="EH107" s="33"/>
      <c r="EI107" s="33"/>
      <c r="EJ107" s="33"/>
      <c r="EK107" s="33"/>
      <c r="EL107" s="33"/>
      <c r="EM107" s="33"/>
      <c r="EN107" s="33"/>
      <c r="EO107" s="33"/>
      <c r="EP107" s="33"/>
      <c r="EQ107" s="33"/>
      <c r="ER107" s="33"/>
      <c r="ES107" s="33"/>
      <c r="ET107" s="33"/>
      <c r="EU107" s="33"/>
      <c r="EV107" s="33"/>
      <c r="EW107" s="33"/>
      <c r="EX107" s="33"/>
      <c r="EY107" s="33"/>
      <c r="EZ107" s="33"/>
      <c r="FA107" s="33"/>
      <c r="FB107" s="33"/>
      <c r="FC107" s="33"/>
      <c r="FD107" s="33"/>
      <c r="FE107" s="33"/>
      <c r="FF107" s="33"/>
      <c r="FG107" s="33"/>
      <c r="FH107" s="33"/>
      <c r="FI107" s="33"/>
      <c r="FJ107" s="33"/>
      <c r="FK107" s="33"/>
      <c r="FL107" s="33"/>
      <c r="FM107" s="33"/>
      <c r="FN107" s="33"/>
      <c r="FO107" s="33"/>
      <c r="FP107" s="33"/>
      <c r="FQ107" s="33"/>
      <c r="FR107" s="33"/>
      <c r="FS107" s="33"/>
      <c r="FT107" s="33"/>
      <c r="FU107" s="33"/>
      <c r="FV107" s="33"/>
      <c r="FW107" s="33"/>
      <c r="FX107" s="33"/>
      <c r="FY107" s="33"/>
      <c r="FZ107" s="33"/>
      <c r="GA107" s="33"/>
      <c r="GB107" s="33"/>
      <c r="GC107" s="33"/>
      <c r="GD107" s="33"/>
      <c r="GE107" s="33"/>
      <c r="GF107" s="33"/>
      <c r="GG107" s="33"/>
      <c r="GH107" s="33"/>
      <c r="GI107" s="33"/>
      <c r="GJ107" s="33"/>
      <c r="GK107" s="33"/>
      <c r="GL107" s="33"/>
      <c r="GM107" s="33"/>
      <c r="GN107" s="33"/>
      <c r="GO107" s="33"/>
      <c r="GP107" s="33"/>
      <c r="GQ107" s="33"/>
      <c r="GR107" s="33"/>
      <c r="GS107" s="33"/>
      <c r="GT107" s="33"/>
      <c r="GU107" s="33"/>
      <c r="GV107" s="33"/>
      <c r="GW107" s="33"/>
      <c r="GX107" s="33"/>
      <c r="GY107" s="33"/>
      <c r="GZ107" s="33"/>
      <c r="HA107" s="33"/>
      <c r="HB107" s="33"/>
      <c r="HC107" s="33"/>
      <c r="HD107" s="33"/>
      <c r="HE107" s="33"/>
      <c r="HF107" s="33"/>
      <c r="HG107" s="33"/>
      <c r="HH107" s="33"/>
      <c r="HI107" s="33"/>
      <c r="HJ107" s="33"/>
      <c r="HK107" s="33"/>
      <c r="HL107" s="33"/>
      <c r="HM107" s="33"/>
      <c r="HN107" s="33"/>
      <c r="HO107" s="33"/>
      <c r="HP107" s="33"/>
      <c r="HQ107" s="33"/>
      <c r="HR107" s="33"/>
      <c r="HS107" s="33"/>
      <c r="HT107" s="33"/>
      <c r="HU107" s="33"/>
      <c r="HV107" s="33"/>
      <c r="HW107" s="33"/>
      <c r="HX107" s="33"/>
      <c r="HY107" s="33"/>
      <c r="HZ107" s="33"/>
      <c r="IA107" s="33"/>
      <c r="IB107" s="33"/>
      <c r="IC107" s="33"/>
      <c r="ID107" s="33"/>
      <c r="IE107" s="33"/>
      <c r="IF107" s="33"/>
      <c r="IG107" s="33"/>
      <c r="IH107" s="33"/>
      <c r="II107" s="33"/>
      <c r="IJ107" s="33"/>
      <c r="IK107" s="33"/>
      <c r="IL107" s="33"/>
      <c r="IM107" s="33"/>
      <c r="IN107" s="33"/>
      <c r="IO107" s="33"/>
      <c r="IP107" s="33"/>
      <c r="IQ107" s="33"/>
      <c r="IR107" s="33"/>
      <c r="IS107" s="33"/>
      <c r="IT107" s="33"/>
      <c r="IU107" s="33"/>
      <c r="IV107" s="33"/>
      <c r="IW107" s="33"/>
      <c r="IX107" s="33"/>
      <c r="IY107" s="33"/>
      <c r="IZ107" s="33"/>
      <c r="JA107" s="33"/>
      <c r="JB107" s="33"/>
      <c r="JC107" s="33"/>
      <c r="JD107" s="33"/>
      <c r="JE107" s="33"/>
      <c r="JF107" s="33"/>
      <c r="JG107" s="33"/>
      <c r="JH107" s="33"/>
      <c r="JI107" s="33"/>
      <c r="JJ107" s="33"/>
      <c r="JK107" s="33"/>
      <c r="JL107" s="33"/>
      <c r="JM107" s="33"/>
      <c r="JN107" s="33"/>
      <c r="JO107" s="33"/>
      <c r="JP107" s="33"/>
      <c r="JQ107" s="33"/>
      <c r="JR107" s="33"/>
      <c r="JS107" s="33"/>
      <c r="JT107" s="33"/>
      <c r="JU107" s="33"/>
      <c r="JV107" s="33"/>
      <c r="JW107" s="33"/>
      <c r="JX107" s="33"/>
      <c r="JY107" s="33"/>
      <c r="JZ107" s="33"/>
      <c r="KA107" s="33"/>
      <c r="KB107" s="33"/>
      <c r="KC107" s="33"/>
      <c r="KD107" s="33"/>
      <c r="KE107" s="33"/>
      <c r="KF107" s="33"/>
      <c r="KG107" s="33"/>
      <c r="KH107" s="33"/>
      <c r="KI107" s="33">
        <v>4</v>
      </c>
      <c r="KJ107" s="33"/>
      <c r="KK107" s="33"/>
      <c r="KL107" s="33"/>
      <c r="KM107" s="33"/>
      <c r="KN107" s="33"/>
      <c r="KO107" s="33"/>
      <c r="KP107" s="33">
        <v>4</v>
      </c>
      <c r="KQ107" s="33"/>
      <c r="KR107" s="33"/>
      <c r="KS107" s="33"/>
      <c r="KT107" s="33"/>
      <c r="KU107" s="33"/>
      <c r="KV107" s="33"/>
      <c r="KW107" s="33">
        <v>4</v>
      </c>
      <c r="KX107" s="33"/>
      <c r="KY107" s="33"/>
      <c r="KZ107" s="33"/>
      <c r="LA107" s="33"/>
      <c r="LB107" s="33"/>
      <c r="LC107" s="33"/>
      <c r="LD107" s="33">
        <v>4</v>
      </c>
      <c r="LE107" s="33"/>
      <c r="LF107" s="33"/>
      <c r="LG107" s="33"/>
      <c r="LH107" s="33"/>
      <c r="LI107" s="33"/>
      <c r="LJ107" s="33"/>
      <c r="LK107" s="33"/>
      <c r="LL107" s="33"/>
      <c r="LM107" s="33"/>
      <c r="LN107" s="33"/>
      <c r="LO107" s="33"/>
      <c r="LP107" s="33"/>
      <c r="LQ107" s="33"/>
      <c r="LR107" s="33"/>
      <c r="LS107" s="33"/>
      <c r="LT107" s="33"/>
      <c r="LU107" s="33"/>
      <c r="LV107" s="33"/>
      <c r="LW107" s="33"/>
      <c r="LX107" s="33"/>
      <c r="LY107" s="33"/>
      <c r="LZ107" s="33"/>
      <c r="MA107" s="33"/>
      <c r="MB107" s="33"/>
      <c r="MC107" s="33"/>
      <c r="MD107" s="33"/>
      <c r="ME107" s="33"/>
      <c r="MF107" s="33"/>
      <c r="MG107" s="33"/>
      <c r="MH107" s="33"/>
      <c r="MI107" s="33"/>
      <c r="MJ107" s="33"/>
      <c r="MK107" s="33"/>
      <c r="ML107" s="33"/>
      <c r="MM107" s="33"/>
      <c r="MN107" s="33"/>
      <c r="MO107" s="33"/>
      <c r="MP107" s="33"/>
      <c r="MQ107" s="33"/>
      <c r="MR107" s="33"/>
      <c r="MS107" s="33"/>
      <c r="MT107" s="33"/>
      <c r="MU107" s="33"/>
      <c r="MV107" s="33"/>
      <c r="MW107" s="33"/>
      <c r="MX107" s="33"/>
      <c r="MY107" s="33"/>
      <c r="MZ107" s="33"/>
      <c r="NA107" s="33"/>
      <c r="NB107" s="33"/>
      <c r="NC107" s="33"/>
      <c r="ND107" s="33"/>
      <c r="NE107" s="33"/>
      <c r="NF107" s="33"/>
      <c r="NG107" s="33"/>
      <c r="NH107" s="33"/>
      <c r="NI107" s="33"/>
      <c r="NJ107" s="33"/>
      <c r="NK107" s="33"/>
      <c r="NL107" s="34"/>
    </row>
    <row r="108" spans="1:376" x14ac:dyDescent="0.15">
      <c r="A108" s="35">
        <f>A107</f>
        <v>48</v>
      </c>
      <c r="B108" s="36" t="str">
        <f>B107</f>
        <v>UT</v>
      </c>
      <c r="C108" s="36" t="str">
        <f>C107</f>
        <v>監視端末単体評価実施</v>
      </c>
      <c r="D108" s="37" t="str">
        <f>D107</f>
        <v>長田</v>
      </c>
      <c r="E108" s="53" t="s">
        <v>0</v>
      </c>
      <c r="F108" s="54"/>
      <c r="G108" s="54"/>
      <c r="H108" s="55">
        <f t="shared" si="235"/>
        <v>0</v>
      </c>
      <c r="I108" s="56">
        <f t="shared" ref="I108" si="237">IF(OR(H107="",H108=""),"",H108-H107)</f>
        <v>-16</v>
      </c>
      <c r="J108" s="57"/>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c r="BS108" s="59"/>
      <c r="BT108" s="59"/>
      <c r="BU108" s="59"/>
      <c r="BV108" s="59"/>
      <c r="BW108" s="59"/>
      <c r="BX108" s="59"/>
      <c r="BY108" s="59"/>
      <c r="BZ108" s="59"/>
      <c r="CA108" s="59"/>
      <c r="CB108" s="59"/>
      <c r="CC108" s="59"/>
      <c r="CD108" s="59"/>
      <c r="CE108" s="59"/>
      <c r="CF108" s="59"/>
      <c r="CG108" s="59"/>
      <c r="CH108" s="59"/>
      <c r="CI108" s="59"/>
      <c r="CJ108" s="59"/>
      <c r="CK108" s="59"/>
      <c r="CL108" s="59"/>
      <c r="CM108" s="59"/>
      <c r="CN108" s="59"/>
      <c r="CO108" s="59"/>
      <c r="CP108" s="59"/>
      <c r="CQ108" s="59"/>
      <c r="CR108" s="59"/>
      <c r="CS108" s="59"/>
      <c r="CT108" s="59"/>
      <c r="CU108" s="59"/>
      <c r="CV108" s="59"/>
      <c r="CW108" s="59"/>
      <c r="CX108" s="59"/>
      <c r="CY108" s="59"/>
      <c r="CZ108" s="59"/>
      <c r="DA108" s="59"/>
      <c r="DB108" s="59"/>
      <c r="DC108" s="59"/>
      <c r="DD108" s="59"/>
      <c r="DE108" s="59"/>
      <c r="DF108" s="59"/>
      <c r="DG108" s="59"/>
      <c r="DH108" s="59"/>
      <c r="DI108" s="59"/>
      <c r="DJ108" s="59"/>
      <c r="DK108" s="59"/>
      <c r="DL108" s="59"/>
      <c r="DM108" s="59"/>
      <c r="DN108" s="59"/>
      <c r="DO108" s="59"/>
      <c r="DP108" s="59"/>
      <c r="DQ108" s="59"/>
      <c r="DR108" s="59"/>
      <c r="DS108" s="59"/>
      <c r="DT108" s="59"/>
      <c r="DU108" s="59"/>
      <c r="DV108" s="59"/>
      <c r="DW108" s="59"/>
      <c r="DX108" s="59"/>
      <c r="DY108" s="59"/>
      <c r="DZ108" s="59"/>
      <c r="EA108" s="59"/>
      <c r="EB108" s="59"/>
      <c r="EC108" s="59"/>
      <c r="ED108" s="59"/>
      <c r="EE108" s="59"/>
      <c r="EF108" s="59"/>
      <c r="EG108" s="59"/>
      <c r="EH108" s="59"/>
      <c r="EI108" s="59"/>
      <c r="EJ108" s="59"/>
      <c r="EK108" s="59"/>
      <c r="EL108" s="59"/>
      <c r="EM108" s="59"/>
      <c r="EN108" s="59"/>
      <c r="EO108" s="59"/>
      <c r="EP108" s="59"/>
      <c r="EQ108" s="59"/>
      <c r="ER108" s="59"/>
      <c r="ES108" s="59"/>
      <c r="ET108" s="59"/>
      <c r="EU108" s="59"/>
      <c r="EV108" s="59"/>
      <c r="EW108" s="59"/>
      <c r="EX108" s="59"/>
      <c r="EY108" s="59"/>
      <c r="EZ108" s="59"/>
      <c r="FA108" s="59"/>
      <c r="FB108" s="59"/>
      <c r="FC108" s="59"/>
      <c r="FD108" s="59"/>
      <c r="FE108" s="59"/>
      <c r="FF108" s="59"/>
      <c r="FG108" s="59"/>
      <c r="FH108" s="59"/>
      <c r="FI108" s="59"/>
      <c r="FJ108" s="59"/>
      <c r="FK108" s="59"/>
      <c r="FL108" s="59"/>
      <c r="FM108" s="59"/>
      <c r="FN108" s="59"/>
      <c r="FO108" s="59"/>
      <c r="FP108" s="59"/>
      <c r="FQ108" s="59"/>
      <c r="FR108" s="59"/>
      <c r="FS108" s="59"/>
      <c r="FT108" s="59"/>
      <c r="FU108" s="59"/>
      <c r="FV108" s="59"/>
      <c r="FW108" s="59"/>
      <c r="FX108" s="59"/>
      <c r="FY108" s="59"/>
      <c r="FZ108" s="59"/>
      <c r="GA108" s="59"/>
      <c r="GB108" s="59"/>
      <c r="GC108" s="59"/>
      <c r="GD108" s="59"/>
      <c r="GE108" s="59"/>
      <c r="GF108" s="59"/>
      <c r="GG108" s="59"/>
      <c r="GH108" s="59"/>
      <c r="GI108" s="59"/>
      <c r="GJ108" s="59"/>
      <c r="GK108" s="59"/>
      <c r="GL108" s="59"/>
      <c r="GM108" s="59"/>
      <c r="GN108" s="59"/>
      <c r="GO108" s="59"/>
      <c r="GP108" s="59"/>
      <c r="GQ108" s="59"/>
      <c r="GR108" s="59"/>
      <c r="GS108" s="59"/>
      <c r="GT108" s="59"/>
      <c r="GU108" s="59"/>
      <c r="GV108" s="59"/>
      <c r="GW108" s="59"/>
      <c r="GX108" s="59"/>
      <c r="GY108" s="59"/>
      <c r="GZ108" s="59"/>
      <c r="HA108" s="59"/>
      <c r="HB108" s="59"/>
      <c r="HC108" s="59"/>
      <c r="HD108" s="59"/>
      <c r="HE108" s="59"/>
      <c r="HF108" s="59"/>
      <c r="HG108" s="59"/>
      <c r="HH108" s="59"/>
      <c r="HI108" s="59"/>
      <c r="HJ108" s="59"/>
      <c r="HK108" s="59"/>
      <c r="HL108" s="59"/>
      <c r="HM108" s="59"/>
      <c r="HN108" s="59"/>
      <c r="HO108" s="59"/>
      <c r="HP108" s="59"/>
      <c r="HQ108" s="59"/>
      <c r="HR108" s="59"/>
      <c r="HS108" s="59"/>
      <c r="HT108" s="59"/>
      <c r="HU108" s="59"/>
      <c r="HV108" s="59"/>
      <c r="HW108" s="59"/>
      <c r="HX108" s="59"/>
      <c r="HY108" s="59"/>
      <c r="HZ108" s="59"/>
      <c r="IA108" s="59"/>
      <c r="IB108" s="59"/>
      <c r="IC108" s="59"/>
      <c r="ID108" s="59"/>
      <c r="IE108" s="59"/>
      <c r="IF108" s="59"/>
      <c r="IG108" s="59"/>
      <c r="IH108" s="59"/>
      <c r="II108" s="59"/>
      <c r="IJ108" s="59"/>
      <c r="IK108" s="59"/>
      <c r="IL108" s="59"/>
      <c r="IM108" s="59"/>
      <c r="IN108" s="59"/>
      <c r="IO108" s="59"/>
      <c r="IP108" s="59"/>
      <c r="IQ108" s="59"/>
      <c r="IR108" s="59"/>
      <c r="IS108" s="59"/>
      <c r="IT108" s="59"/>
      <c r="IU108" s="59"/>
      <c r="IV108" s="59"/>
      <c r="IW108" s="59"/>
      <c r="IX108" s="59"/>
      <c r="IY108" s="59"/>
      <c r="IZ108" s="59"/>
      <c r="JA108" s="59"/>
      <c r="JB108" s="59"/>
      <c r="JC108" s="59"/>
      <c r="JD108" s="59"/>
      <c r="JE108" s="59"/>
      <c r="JF108" s="59"/>
      <c r="JG108" s="59"/>
      <c r="JH108" s="59"/>
      <c r="JI108" s="59"/>
      <c r="JJ108" s="59"/>
      <c r="JK108" s="59"/>
      <c r="JL108" s="59"/>
      <c r="JM108" s="59"/>
      <c r="JN108" s="59"/>
      <c r="JO108" s="59"/>
      <c r="JP108" s="59"/>
      <c r="JQ108" s="59"/>
      <c r="JR108" s="59"/>
      <c r="JS108" s="59"/>
      <c r="JT108" s="59"/>
      <c r="JU108" s="59"/>
      <c r="JV108" s="59"/>
      <c r="JW108" s="59"/>
      <c r="JX108" s="59"/>
      <c r="JY108" s="59"/>
      <c r="JZ108" s="59"/>
      <c r="KA108" s="59"/>
      <c r="KB108" s="59"/>
      <c r="KC108" s="59"/>
      <c r="KD108" s="59"/>
      <c r="KE108" s="59"/>
      <c r="KF108" s="59"/>
      <c r="KG108" s="59"/>
      <c r="KH108" s="59"/>
      <c r="KI108" s="59"/>
      <c r="KJ108" s="59"/>
      <c r="KK108" s="59"/>
      <c r="KL108" s="59"/>
      <c r="KM108" s="59"/>
      <c r="KN108" s="59"/>
      <c r="KO108" s="59"/>
      <c r="KP108" s="59"/>
      <c r="KQ108" s="59"/>
      <c r="KR108" s="59"/>
      <c r="KS108" s="59"/>
      <c r="KT108" s="59"/>
      <c r="KU108" s="59"/>
      <c r="KV108" s="59"/>
      <c r="KW108" s="59"/>
      <c r="KX108" s="59"/>
      <c r="KY108" s="59"/>
      <c r="KZ108" s="59"/>
      <c r="LA108" s="59"/>
      <c r="LB108" s="59"/>
      <c r="LC108" s="59"/>
      <c r="LD108" s="59"/>
      <c r="LE108" s="59"/>
      <c r="LF108" s="59"/>
      <c r="LG108" s="59"/>
      <c r="LH108" s="59"/>
      <c r="LI108" s="59"/>
      <c r="LJ108" s="59"/>
      <c r="LK108" s="59"/>
      <c r="LL108" s="59"/>
      <c r="LM108" s="59"/>
      <c r="LN108" s="59"/>
      <c r="LO108" s="59"/>
      <c r="LP108" s="59"/>
      <c r="LQ108" s="59"/>
      <c r="LR108" s="59"/>
      <c r="LS108" s="59"/>
      <c r="LT108" s="59"/>
      <c r="LU108" s="59"/>
      <c r="LV108" s="59"/>
      <c r="LW108" s="59"/>
      <c r="LX108" s="59"/>
      <c r="LY108" s="59"/>
      <c r="LZ108" s="59"/>
      <c r="MA108" s="59"/>
      <c r="MB108" s="59"/>
      <c r="MC108" s="59"/>
      <c r="MD108" s="59"/>
      <c r="ME108" s="59"/>
      <c r="MF108" s="59"/>
      <c r="MG108" s="59"/>
      <c r="MH108" s="59"/>
      <c r="MI108" s="59"/>
      <c r="MJ108" s="59"/>
      <c r="MK108" s="59"/>
      <c r="ML108" s="59"/>
      <c r="MM108" s="59"/>
      <c r="MN108" s="59"/>
      <c r="MO108" s="59"/>
      <c r="MP108" s="59"/>
      <c r="MQ108" s="59"/>
      <c r="MR108" s="59"/>
      <c r="MS108" s="59"/>
      <c r="MT108" s="59"/>
      <c r="MU108" s="59"/>
      <c r="MV108" s="59"/>
      <c r="MW108" s="59"/>
      <c r="MX108" s="59"/>
      <c r="MY108" s="59"/>
      <c r="MZ108" s="59"/>
      <c r="NA108" s="59"/>
      <c r="NB108" s="59"/>
      <c r="NC108" s="59"/>
      <c r="ND108" s="59"/>
      <c r="NE108" s="59"/>
      <c r="NF108" s="59"/>
      <c r="NG108" s="59"/>
      <c r="NH108" s="59"/>
      <c r="NI108" s="59"/>
      <c r="NJ108" s="59"/>
      <c r="NK108" s="59"/>
      <c r="NL108" s="60"/>
    </row>
    <row r="109" spans="1:376" x14ac:dyDescent="0.15">
      <c r="A109" s="23">
        <v>49</v>
      </c>
      <c r="B109" s="24" t="s">
        <v>158</v>
      </c>
      <c r="C109" s="45" t="s">
        <v>159</v>
      </c>
      <c r="D109" s="26" t="s">
        <v>165</v>
      </c>
      <c r="E109" s="27" t="s">
        <v>13</v>
      </c>
      <c r="F109" s="28">
        <v>43136</v>
      </c>
      <c r="G109" s="28">
        <v>43156</v>
      </c>
      <c r="H109" s="29">
        <f t="shared" si="235"/>
        <v>12</v>
      </c>
      <c r="I109" s="30"/>
      <c r="J109" s="31"/>
      <c r="K109" s="32"/>
      <c r="L109" s="32"/>
      <c r="M109" s="32"/>
      <c r="N109" s="32"/>
      <c r="O109" s="32"/>
      <c r="P109" s="32"/>
      <c r="Q109" s="32"/>
      <c r="R109" s="32"/>
      <c r="S109" s="32"/>
      <c r="T109" s="32"/>
      <c r="U109" s="32"/>
      <c r="V109" s="32"/>
      <c r="W109" s="32"/>
      <c r="X109" s="32"/>
      <c r="Y109" s="32"/>
      <c r="Z109" s="32"/>
      <c r="AA109" s="32"/>
      <c r="AB109" s="32"/>
      <c r="AC109" s="32"/>
      <c r="AD109" s="32"/>
      <c r="AE109" s="32"/>
      <c r="AF109" s="32"/>
      <c r="AG109" s="32"/>
      <c r="AH109" s="32"/>
      <c r="AI109" s="32"/>
      <c r="AJ109" s="32"/>
      <c r="AK109" s="32"/>
      <c r="AL109" s="32"/>
      <c r="AM109" s="32"/>
      <c r="AN109" s="32"/>
      <c r="AO109" s="32"/>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M109" s="33"/>
      <c r="CN109" s="3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c r="DM109" s="33"/>
      <c r="DN109" s="33"/>
      <c r="DO109" s="33"/>
      <c r="DP109" s="33"/>
      <c r="DQ109" s="33"/>
      <c r="DR109" s="33"/>
      <c r="DS109" s="33"/>
      <c r="DT109" s="33"/>
      <c r="DU109" s="33"/>
      <c r="DV109" s="33"/>
      <c r="DW109" s="33"/>
      <c r="DX109" s="33"/>
      <c r="DY109" s="33"/>
      <c r="DZ109" s="33"/>
      <c r="EA109" s="33"/>
      <c r="EB109" s="33"/>
      <c r="EC109" s="33"/>
      <c r="ED109" s="33"/>
      <c r="EE109" s="33"/>
      <c r="EF109" s="33"/>
      <c r="EG109" s="33"/>
      <c r="EH109" s="33"/>
      <c r="EI109" s="33"/>
      <c r="EJ109" s="33"/>
      <c r="EK109" s="33"/>
      <c r="EL109" s="33"/>
      <c r="EM109" s="33"/>
      <c r="EN109" s="33"/>
      <c r="EO109" s="33"/>
      <c r="EP109" s="33"/>
      <c r="EQ109" s="33"/>
      <c r="ER109" s="33"/>
      <c r="ES109" s="33"/>
      <c r="ET109" s="33"/>
      <c r="EU109" s="33"/>
      <c r="EV109" s="33"/>
      <c r="EW109" s="33"/>
      <c r="EX109" s="33"/>
      <c r="EY109" s="33"/>
      <c r="EZ109" s="33"/>
      <c r="FA109" s="33"/>
      <c r="FB109" s="33"/>
      <c r="FC109" s="33"/>
      <c r="FD109" s="33"/>
      <c r="FE109" s="33"/>
      <c r="FF109" s="33"/>
      <c r="FG109" s="33"/>
      <c r="FH109" s="33"/>
      <c r="FI109" s="33"/>
      <c r="FJ109" s="33"/>
      <c r="FK109" s="33"/>
      <c r="FL109" s="33"/>
      <c r="FM109" s="33"/>
      <c r="FN109" s="33"/>
      <c r="FO109" s="33"/>
      <c r="FP109" s="33"/>
      <c r="FQ109" s="33"/>
      <c r="FR109" s="33"/>
      <c r="FS109" s="33"/>
      <c r="FT109" s="33"/>
      <c r="FU109" s="33"/>
      <c r="FV109" s="33"/>
      <c r="FW109" s="33"/>
      <c r="FX109" s="33"/>
      <c r="FY109" s="33"/>
      <c r="FZ109" s="33"/>
      <c r="GA109" s="33"/>
      <c r="GB109" s="33"/>
      <c r="GC109" s="33"/>
      <c r="GD109" s="33"/>
      <c r="GE109" s="33"/>
      <c r="GF109" s="33"/>
      <c r="GG109" s="33"/>
      <c r="GH109" s="33"/>
      <c r="GI109" s="33"/>
      <c r="GJ109" s="33"/>
      <c r="GK109" s="33"/>
      <c r="GL109" s="33"/>
      <c r="GM109" s="33"/>
      <c r="GN109" s="33"/>
      <c r="GO109" s="33"/>
      <c r="GP109" s="33"/>
      <c r="GQ109" s="33"/>
      <c r="GR109" s="33"/>
      <c r="GS109" s="33"/>
      <c r="GT109" s="33"/>
      <c r="GU109" s="33"/>
      <c r="GV109" s="33"/>
      <c r="GW109" s="33"/>
      <c r="GX109" s="33"/>
      <c r="GY109" s="33"/>
      <c r="GZ109" s="33"/>
      <c r="HA109" s="33"/>
      <c r="HB109" s="33"/>
      <c r="HC109" s="33"/>
      <c r="HD109" s="33"/>
      <c r="HE109" s="33"/>
      <c r="HF109" s="33"/>
      <c r="HG109" s="33"/>
      <c r="HH109" s="33"/>
      <c r="HI109" s="33"/>
      <c r="HJ109" s="33"/>
      <c r="HK109" s="33"/>
      <c r="HL109" s="33"/>
      <c r="HM109" s="33"/>
      <c r="HN109" s="33"/>
      <c r="HO109" s="33"/>
      <c r="HP109" s="33"/>
      <c r="HQ109" s="33"/>
      <c r="HR109" s="33"/>
      <c r="HS109" s="33"/>
      <c r="HT109" s="33"/>
      <c r="HU109" s="33"/>
      <c r="HV109" s="33"/>
      <c r="HW109" s="33"/>
      <c r="HX109" s="33"/>
      <c r="HY109" s="33"/>
      <c r="HZ109" s="33"/>
      <c r="IA109" s="33"/>
      <c r="IB109" s="33"/>
      <c r="IC109" s="33"/>
      <c r="ID109" s="33"/>
      <c r="IE109" s="33"/>
      <c r="IF109" s="33"/>
      <c r="IG109" s="33"/>
      <c r="IH109" s="33"/>
      <c r="II109" s="33"/>
      <c r="IJ109" s="33"/>
      <c r="IK109" s="33"/>
      <c r="IL109" s="33"/>
      <c r="IM109" s="33"/>
      <c r="IN109" s="33"/>
      <c r="IO109" s="33"/>
      <c r="IP109" s="33"/>
      <c r="IQ109" s="33"/>
      <c r="IR109" s="33"/>
      <c r="IS109" s="33"/>
      <c r="IT109" s="33"/>
      <c r="IU109" s="33"/>
      <c r="IV109" s="33"/>
      <c r="IW109" s="33"/>
      <c r="IX109" s="33"/>
      <c r="IY109" s="33"/>
      <c r="IZ109" s="33"/>
      <c r="JA109" s="33"/>
      <c r="JB109" s="33"/>
      <c r="JC109" s="33"/>
      <c r="JD109" s="33"/>
      <c r="JE109" s="33"/>
      <c r="JF109" s="33"/>
      <c r="JG109" s="33"/>
      <c r="JH109" s="33"/>
      <c r="JI109" s="33"/>
      <c r="JJ109" s="33"/>
      <c r="JK109" s="33"/>
      <c r="JL109" s="33"/>
      <c r="JM109" s="33"/>
      <c r="JN109" s="33"/>
      <c r="JO109" s="33"/>
      <c r="JP109" s="33"/>
      <c r="JQ109" s="33"/>
      <c r="JR109" s="33"/>
      <c r="JS109" s="33"/>
      <c r="JT109" s="33"/>
      <c r="JU109" s="33"/>
      <c r="JV109" s="33"/>
      <c r="JW109" s="33"/>
      <c r="JX109" s="33"/>
      <c r="JY109" s="33"/>
      <c r="JZ109" s="33"/>
      <c r="KA109" s="33"/>
      <c r="KB109" s="33"/>
      <c r="KC109" s="33"/>
      <c r="KD109" s="33"/>
      <c r="KE109" s="33"/>
      <c r="KF109" s="33"/>
      <c r="KG109" s="33"/>
      <c r="KH109" s="33"/>
      <c r="KI109" s="33"/>
      <c r="KJ109" s="33"/>
      <c r="KK109" s="33"/>
      <c r="KL109" s="33"/>
      <c r="KM109" s="33"/>
      <c r="KN109" s="33"/>
      <c r="KO109" s="33"/>
      <c r="KP109" s="33"/>
      <c r="KQ109" s="33"/>
      <c r="KR109" s="33"/>
      <c r="KS109" s="33"/>
      <c r="KT109" s="33"/>
      <c r="KU109" s="33"/>
      <c r="KV109" s="33"/>
      <c r="KW109" s="33"/>
      <c r="KX109" s="33"/>
      <c r="KY109" s="33"/>
      <c r="KZ109" s="33"/>
      <c r="LA109" s="33"/>
      <c r="LB109" s="33"/>
      <c r="LC109" s="33"/>
      <c r="LD109" s="33"/>
      <c r="LE109" s="33"/>
      <c r="LF109" s="33"/>
      <c r="LG109" s="33"/>
      <c r="LH109" s="33"/>
      <c r="LI109" s="33"/>
      <c r="LJ109" s="33"/>
      <c r="LK109" s="33">
        <v>4</v>
      </c>
      <c r="LL109" s="33"/>
      <c r="LM109" s="33"/>
      <c r="LN109" s="33"/>
      <c r="LO109" s="33"/>
      <c r="LP109" s="33"/>
      <c r="LQ109" s="33"/>
      <c r="LR109" s="33">
        <v>4</v>
      </c>
      <c r="LS109" s="33"/>
      <c r="LT109" s="33"/>
      <c r="LU109" s="33"/>
      <c r="LV109" s="33"/>
      <c r="LW109" s="33"/>
      <c r="LX109" s="33"/>
      <c r="LY109" s="33">
        <v>4</v>
      </c>
      <c r="LZ109" s="33"/>
      <c r="MA109" s="33"/>
      <c r="MB109" s="33"/>
      <c r="MC109" s="33"/>
      <c r="MD109" s="33"/>
      <c r="ME109" s="33"/>
      <c r="MF109" s="33"/>
      <c r="MG109" s="33"/>
      <c r="MH109" s="33"/>
      <c r="MI109" s="33"/>
      <c r="MJ109" s="33"/>
      <c r="MK109" s="33"/>
      <c r="ML109" s="33"/>
      <c r="MM109" s="33"/>
      <c r="MN109" s="33"/>
      <c r="MO109" s="33"/>
      <c r="MP109" s="33"/>
      <c r="MQ109" s="33"/>
      <c r="MR109" s="33"/>
      <c r="MS109" s="33"/>
      <c r="MT109" s="33"/>
      <c r="MU109" s="33"/>
      <c r="MV109" s="33"/>
      <c r="MW109" s="33"/>
      <c r="MX109" s="33"/>
      <c r="MY109" s="33"/>
      <c r="MZ109" s="33"/>
      <c r="NA109" s="33"/>
      <c r="NB109" s="33"/>
      <c r="NC109" s="33"/>
      <c r="ND109" s="33"/>
      <c r="NE109" s="33"/>
      <c r="NF109" s="33"/>
      <c r="NG109" s="33"/>
      <c r="NH109" s="33"/>
      <c r="NI109" s="33"/>
      <c r="NJ109" s="33"/>
      <c r="NK109" s="33"/>
      <c r="NL109" s="34"/>
    </row>
    <row r="110" spans="1:376" x14ac:dyDescent="0.15">
      <c r="A110" s="35">
        <f>A109</f>
        <v>49</v>
      </c>
      <c r="B110" s="36" t="str">
        <f>B109</f>
        <v>IT</v>
      </c>
      <c r="C110" s="36" t="str">
        <f>C109</f>
        <v>Webアプリ結合評価実施</v>
      </c>
      <c r="D110" s="37" t="str">
        <f>D109</f>
        <v>高澤</v>
      </c>
      <c r="E110" s="53" t="s">
        <v>0</v>
      </c>
      <c r="F110" s="54"/>
      <c r="G110" s="54"/>
      <c r="H110" s="55">
        <f t="shared" si="235"/>
        <v>0</v>
      </c>
      <c r="I110" s="56">
        <f t="shared" ref="I110" si="238">IF(OR(H109="",H110=""),"",H110-H109)</f>
        <v>-12</v>
      </c>
      <c r="J110" s="57"/>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c r="BS110" s="59"/>
      <c r="BT110" s="59"/>
      <c r="BU110" s="59"/>
      <c r="BV110" s="59"/>
      <c r="BW110" s="59"/>
      <c r="BX110" s="59"/>
      <c r="BY110" s="59"/>
      <c r="BZ110" s="59"/>
      <c r="CA110" s="59"/>
      <c r="CB110" s="59"/>
      <c r="CC110" s="59"/>
      <c r="CD110" s="59"/>
      <c r="CE110" s="59"/>
      <c r="CF110" s="59"/>
      <c r="CG110" s="59"/>
      <c r="CH110" s="59"/>
      <c r="CI110" s="59"/>
      <c r="CJ110" s="59"/>
      <c r="CK110" s="59"/>
      <c r="CL110" s="59"/>
      <c r="CM110" s="59"/>
      <c r="CN110" s="59"/>
      <c r="CO110" s="59"/>
      <c r="CP110" s="59"/>
      <c r="CQ110" s="59"/>
      <c r="CR110" s="59"/>
      <c r="CS110" s="59"/>
      <c r="CT110" s="59"/>
      <c r="CU110" s="59"/>
      <c r="CV110" s="59"/>
      <c r="CW110" s="59"/>
      <c r="CX110" s="59"/>
      <c r="CY110" s="59"/>
      <c r="CZ110" s="59"/>
      <c r="DA110" s="59"/>
      <c r="DB110" s="59"/>
      <c r="DC110" s="59"/>
      <c r="DD110" s="59"/>
      <c r="DE110" s="59"/>
      <c r="DF110" s="59"/>
      <c r="DG110" s="59"/>
      <c r="DH110" s="59"/>
      <c r="DI110" s="59"/>
      <c r="DJ110" s="59"/>
      <c r="DK110" s="59"/>
      <c r="DL110" s="59"/>
      <c r="DM110" s="59"/>
      <c r="DN110" s="59"/>
      <c r="DO110" s="59"/>
      <c r="DP110" s="59"/>
      <c r="DQ110" s="59"/>
      <c r="DR110" s="59"/>
      <c r="DS110" s="59"/>
      <c r="DT110" s="59"/>
      <c r="DU110" s="59"/>
      <c r="DV110" s="59"/>
      <c r="DW110" s="59"/>
      <c r="DX110" s="59"/>
      <c r="DY110" s="59"/>
      <c r="DZ110" s="59"/>
      <c r="EA110" s="59"/>
      <c r="EB110" s="59"/>
      <c r="EC110" s="59"/>
      <c r="ED110" s="59"/>
      <c r="EE110" s="59"/>
      <c r="EF110" s="59"/>
      <c r="EG110" s="59"/>
      <c r="EH110" s="59"/>
      <c r="EI110" s="59"/>
      <c r="EJ110" s="59"/>
      <c r="EK110" s="59"/>
      <c r="EL110" s="59"/>
      <c r="EM110" s="59"/>
      <c r="EN110" s="59"/>
      <c r="EO110" s="59"/>
      <c r="EP110" s="59"/>
      <c r="EQ110" s="59"/>
      <c r="ER110" s="59"/>
      <c r="ES110" s="59"/>
      <c r="ET110" s="59"/>
      <c r="EU110" s="59"/>
      <c r="EV110" s="59"/>
      <c r="EW110" s="59"/>
      <c r="EX110" s="59"/>
      <c r="EY110" s="59"/>
      <c r="EZ110" s="59"/>
      <c r="FA110" s="59"/>
      <c r="FB110" s="59"/>
      <c r="FC110" s="59"/>
      <c r="FD110" s="59"/>
      <c r="FE110" s="59"/>
      <c r="FF110" s="59"/>
      <c r="FG110" s="59"/>
      <c r="FH110" s="59"/>
      <c r="FI110" s="59"/>
      <c r="FJ110" s="59"/>
      <c r="FK110" s="59"/>
      <c r="FL110" s="59"/>
      <c r="FM110" s="59"/>
      <c r="FN110" s="59"/>
      <c r="FO110" s="59"/>
      <c r="FP110" s="59"/>
      <c r="FQ110" s="59"/>
      <c r="FR110" s="59"/>
      <c r="FS110" s="59"/>
      <c r="FT110" s="59"/>
      <c r="FU110" s="59"/>
      <c r="FV110" s="59"/>
      <c r="FW110" s="59"/>
      <c r="FX110" s="59"/>
      <c r="FY110" s="59"/>
      <c r="FZ110" s="59"/>
      <c r="GA110" s="59"/>
      <c r="GB110" s="59"/>
      <c r="GC110" s="59"/>
      <c r="GD110" s="59"/>
      <c r="GE110" s="59"/>
      <c r="GF110" s="59"/>
      <c r="GG110" s="59"/>
      <c r="GH110" s="59"/>
      <c r="GI110" s="59"/>
      <c r="GJ110" s="59"/>
      <c r="GK110" s="59"/>
      <c r="GL110" s="59"/>
      <c r="GM110" s="59"/>
      <c r="GN110" s="59"/>
      <c r="GO110" s="59"/>
      <c r="GP110" s="59"/>
      <c r="GQ110" s="59"/>
      <c r="GR110" s="59"/>
      <c r="GS110" s="59"/>
      <c r="GT110" s="59"/>
      <c r="GU110" s="59"/>
      <c r="GV110" s="59"/>
      <c r="GW110" s="59"/>
      <c r="GX110" s="59"/>
      <c r="GY110" s="59"/>
      <c r="GZ110" s="59"/>
      <c r="HA110" s="59"/>
      <c r="HB110" s="59"/>
      <c r="HC110" s="59"/>
      <c r="HD110" s="59"/>
      <c r="HE110" s="59"/>
      <c r="HF110" s="59"/>
      <c r="HG110" s="59"/>
      <c r="HH110" s="59"/>
      <c r="HI110" s="59"/>
      <c r="HJ110" s="59"/>
      <c r="HK110" s="59"/>
      <c r="HL110" s="59"/>
      <c r="HM110" s="59"/>
      <c r="HN110" s="59"/>
      <c r="HO110" s="59"/>
      <c r="HP110" s="59"/>
      <c r="HQ110" s="59"/>
      <c r="HR110" s="59"/>
      <c r="HS110" s="59"/>
      <c r="HT110" s="59"/>
      <c r="HU110" s="59"/>
      <c r="HV110" s="59"/>
      <c r="HW110" s="59"/>
      <c r="HX110" s="59"/>
      <c r="HY110" s="59"/>
      <c r="HZ110" s="59"/>
      <c r="IA110" s="59"/>
      <c r="IB110" s="59"/>
      <c r="IC110" s="59"/>
      <c r="ID110" s="59"/>
      <c r="IE110" s="59"/>
      <c r="IF110" s="59"/>
      <c r="IG110" s="59"/>
      <c r="IH110" s="59"/>
      <c r="II110" s="59"/>
      <c r="IJ110" s="59"/>
      <c r="IK110" s="59"/>
      <c r="IL110" s="59"/>
      <c r="IM110" s="59"/>
      <c r="IN110" s="59"/>
      <c r="IO110" s="59"/>
      <c r="IP110" s="59"/>
      <c r="IQ110" s="59"/>
      <c r="IR110" s="59"/>
      <c r="IS110" s="59"/>
      <c r="IT110" s="59"/>
      <c r="IU110" s="59"/>
      <c r="IV110" s="59"/>
      <c r="IW110" s="59"/>
      <c r="IX110" s="59"/>
      <c r="IY110" s="59"/>
      <c r="IZ110" s="59"/>
      <c r="JA110" s="59"/>
      <c r="JB110" s="59"/>
      <c r="JC110" s="59"/>
      <c r="JD110" s="59"/>
      <c r="JE110" s="59"/>
      <c r="JF110" s="59"/>
      <c r="JG110" s="59"/>
      <c r="JH110" s="59"/>
      <c r="JI110" s="59"/>
      <c r="JJ110" s="59"/>
      <c r="JK110" s="59"/>
      <c r="JL110" s="59"/>
      <c r="JM110" s="59"/>
      <c r="JN110" s="59"/>
      <c r="JO110" s="59"/>
      <c r="JP110" s="59"/>
      <c r="JQ110" s="59"/>
      <c r="JR110" s="59"/>
      <c r="JS110" s="59"/>
      <c r="JT110" s="59"/>
      <c r="JU110" s="59"/>
      <c r="JV110" s="59"/>
      <c r="JW110" s="59"/>
      <c r="JX110" s="59"/>
      <c r="JY110" s="59"/>
      <c r="JZ110" s="59"/>
      <c r="KA110" s="59"/>
      <c r="KB110" s="59"/>
      <c r="KC110" s="59"/>
      <c r="KD110" s="59"/>
      <c r="KE110" s="59"/>
      <c r="KF110" s="59"/>
      <c r="KG110" s="59"/>
      <c r="KH110" s="59"/>
      <c r="KI110" s="59"/>
      <c r="KJ110" s="59"/>
      <c r="KK110" s="59"/>
      <c r="KL110" s="59"/>
      <c r="KM110" s="59"/>
      <c r="KN110" s="59"/>
      <c r="KO110" s="59"/>
      <c r="KP110" s="59"/>
      <c r="KQ110" s="59"/>
      <c r="KR110" s="59"/>
      <c r="KS110" s="59"/>
      <c r="KT110" s="59"/>
      <c r="KU110" s="59"/>
      <c r="KV110" s="59"/>
      <c r="KW110" s="59"/>
      <c r="KX110" s="59"/>
      <c r="KY110" s="59"/>
      <c r="KZ110" s="59"/>
      <c r="LA110" s="59"/>
      <c r="LB110" s="59"/>
      <c r="LC110" s="59"/>
      <c r="LD110" s="59"/>
      <c r="LE110" s="59"/>
      <c r="LF110" s="59"/>
      <c r="LG110" s="59"/>
      <c r="LH110" s="59"/>
      <c r="LI110" s="59"/>
      <c r="LJ110" s="59"/>
      <c r="LK110" s="59"/>
      <c r="LL110" s="59"/>
      <c r="LM110" s="59"/>
      <c r="LN110" s="59"/>
      <c r="LO110" s="59"/>
      <c r="LP110" s="59"/>
      <c r="LQ110" s="59"/>
      <c r="LR110" s="59"/>
      <c r="LS110" s="59"/>
      <c r="LT110" s="59"/>
      <c r="LU110" s="59"/>
      <c r="LV110" s="59"/>
      <c r="LW110" s="59"/>
      <c r="LX110" s="59"/>
      <c r="LY110" s="59"/>
      <c r="LZ110" s="59"/>
      <c r="MA110" s="59"/>
      <c r="MB110" s="59"/>
      <c r="MC110" s="59"/>
      <c r="MD110" s="59"/>
      <c r="ME110" s="59"/>
      <c r="MF110" s="59"/>
      <c r="MG110" s="59"/>
      <c r="MH110" s="59"/>
      <c r="MI110" s="59"/>
      <c r="MJ110" s="59"/>
      <c r="MK110" s="59"/>
      <c r="ML110" s="59"/>
      <c r="MM110" s="59"/>
      <c r="MN110" s="59"/>
      <c r="MO110" s="59"/>
      <c r="MP110" s="59"/>
      <c r="MQ110" s="59"/>
      <c r="MR110" s="59"/>
      <c r="MS110" s="59"/>
      <c r="MT110" s="59"/>
      <c r="MU110" s="59"/>
      <c r="MV110" s="59"/>
      <c r="MW110" s="59"/>
      <c r="MX110" s="59"/>
      <c r="MY110" s="59"/>
      <c r="MZ110" s="59"/>
      <c r="NA110" s="59"/>
      <c r="NB110" s="59"/>
      <c r="NC110" s="59"/>
      <c r="ND110" s="59"/>
      <c r="NE110" s="59"/>
      <c r="NF110" s="59"/>
      <c r="NG110" s="59"/>
      <c r="NH110" s="59"/>
      <c r="NI110" s="59"/>
      <c r="NJ110" s="59"/>
      <c r="NK110" s="59"/>
      <c r="NL110" s="60"/>
    </row>
    <row r="111" spans="1:376" x14ac:dyDescent="0.15">
      <c r="A111" s="23">
        <v>50</v>
      </c>
      <c r="B111" s="24" t="s">
        <v>158</v>
      </c>
      <c r="C111" s="45" t="s">
        <v>160</v>
      </c>
      <c r="D111" s="26" t="s">
        <v>166</v>
      </c>
      <c r="E111" s="27" t="s">
        <v>13</v>
      </c>
      <c r="F111" s="28">
        <v>43136</v>
      </c>
      <c r="G111" s="28">
        <v>43156</v>
      </c>
      <c r="H111" s="29">
        <f t="shared" si="235"/>
        <v>12</v>
      </c>
      <c r="I111" s="30"/>
      <c r="J111" s="31"/>
      <c r="K111" s="32"/>
      <c r="L111" s="32"/>
      <c r="M111" s="32"/>
      <c r="N111" s="32"/>
      <c r="O111" s="32"/>
      <c r="P111" s="32"/>
      <c r="Q111" s="32"/>
      <c r="R111" s="32"/>
      <c r="S111" s="32"/>
      <c r="T111" s="32"/>
      <c r="U111" s="32"/>
      <c r="V111" s="32"/>
      <c r="W111" s="32"/>
      <c r="X111" s="32"/>
      <c r="Y111" s="32"/>
      <c r="Z111" s="32"/>
      <c r="AA111" s="32"/>
      <c r="AB111" s="32"/>
      <c r="AC111" s="32"/>
      <c r="AD111" s="32"/>
      <c r="AE111" s="32"/>
      <c r="AF111" s="32"/>
      <c r="AG111" s="32"/>
      <c r="AH111" s="32"/>
      <c r="AI111" s="32"/>
      <c r="AJ111" s="32"/>
      <c r="AK111" s="32"/>
      <c r="AL111" s="32"/>
      <c r="AM111" s="32"/>
      <c r="AN111" s="32"/>
      <c r="AO111" s="32"/>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M111" s="33"/>
      <c r="CN111" s="3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c r="DM111" s="33"/>
      <c r="DN111" s="33"/>
      <c r="DO111" s="33"/>
      <c r="DP111" s="33"/>
      <c r="DQ111" s="33"/>
      <c r="DR111" s="33"/>
      <c r="DS111" s="33"/>
      <c r="DT111" s="33"/>
      <c r="DU111" s="33"/>
      <c r="DV111" s="33"/>
      <c r="DW111" s="33"/>
      <c r="DX111" s="33"/>
      <c r="DY111" s="33"/>
      <c r="DZ111" s="33"/>
      <c r="EA111" s="33"/>
      <c r="EB111" s="33"/>
      <c r="EC111" s="33"/>
      <c r="ED111" s="33"/>
      <c r="EE111" s="33"/>
      <c r="EF111" s="33"/>
      <c r="EG111" s="33"/>
      <c r="EH111" s="33"/>
      <c r="EI111" s="33"/>
      <c r="EJ111" s="33"/>
      <c r="EK111" s="33"/>
      <c r="EL111" s="33"/>
      <c r="EM111" s="33"/>
      <c r="EN111" s="33"/>
      <c r="EO111" s="33"/>
      <c r="EP111" s="33"/>
      <c r="EQ111" s="33"/>
      <c r="ER111" s="33"/>
      <c r="ES111" s="33"/>
      <c r="ET111" s="33"/>
      <c r="EU111" s="33"/>
      <c r="EV111" s="33"/>
      <c r="EW111" s="33"/>
      <c r="EX111" s="33"/>
      <c r="EY111" s="33"/>
      <c r="EZ111" s="33"/>
      <c r="FA111" s="33"/>
      <c r="FB111" s="33"/>
      <c r="FC111" s="33"/>
      <c r="FD111" s="33"/>
      <c r="FE111" s="33"/>
      <c r="FF111" s="33"/>
      <c r="FG111" s="33"/>
      <c r="FH111" s="33"/>
      <c r="FI111" s="33"/>
      <c r="FJ111" s="33"/>
      <c r="FK111" s="33"/>
      <c r="FL111" s="33"/>
      <c r="FM111" s="33"/>
      <c r="FN111" s="33"/>
      <c r="FO111" s="33"/>
      <c r="FP111" s="33"/>
      <c r="FQ111" s="33"/>
      <c r="FR111" s="33"/>
      <c r="FS111" s="33"/>
      <c r="FT111" s="33"/>
      <c r="FU111" s="33"/>
      <c r="FV111" s="33"/>
      <c r="FW111" s="33"/>
      <c r="FX111" s="33"/>
      <c r="FY111" s="33"/>
      <c r="FZ111" s="33"/>
      <c r="GA111" s="33"/>
      <c r="GB111" s="33"/>
      <c r="GC111" s="33"/>
      <c r="GD111" s="33"/>
      <c r="GE111" s="33"/>
      <c r="GF111" s="33"/>
      <c r="GG111" s="33"/>
      <c r="GH111" s="33"/>
      <c r="GI111" s="33"/>
      <c r="GJ111" s="33"/>
      <c r="GK111" s="33"/>
      <c r="GL111" s="33"/>
      <c r="GM111" s="33"/>
      <c r="GN111" s="33"/>
      <c r="GO111" s="33"/>
      <c r="GP111" s="33"/>
      <c r="GQ111" s="33"/>
      <c r="GR111" s="33"/>
      <c r="GS111" s="33"/>
      <c r="GT111" s="33"/>
      <c r="GU111" s="33"/>
      <c r="GV111" s="33"/>
      <c r="GW111" s="33"/>
      <c r="GX111" s="33"/>
      <c r="GY111" s="33"/>
      <c r="GZ111" s="33"/>
      <c r="HA111" s="33"/>
      <c r="HB111" s="33"/>
      <c r="HC111" s="33"/>
      <c r="HD111" s="33"/>
      <c r="HE111" s="33"/>
      <c r="HF111" s="33"/>
      <c r="HG111" s="33"/>
      <c r="HH111" s="33"/>
      <c r="HI111" s="33"/>
      <c r="HJ111" s="33"/>
      <c r="HK111" s="33"/>
      <c r="HL111" s="33"/>
      <c r="HM111" s="33"/>
      <c r="HN111" s="33"/>
      <c r="HO111" s="33"/>
      <c r="HP111" s="33"/>
      <c r="HQ111" s="33"/>
      <c r="HR111" s="33"/>
      <c r="HS111" s="33"/>
      <c r="HT111" s="33"/>
      <c r="HU111" s="33"/>
      <c r="HV111" s="33"/>
      <c r="HW111" s="33"/>
      <c r="HX111" s="33"/>
      <c r="HY111" s="33"/>
      <c r="HZ111" s="33"/>
      <c r="IA111" s="33"/>
      <c r="IB111" s="33"/>
      <c r="IC111" s="33"/>
      <c r="ID111" s="33"/>
      <c r="IE111" s="33"/>
      <c r="IF111" s="33"/>
      <c r="IG111" s="33"/>
      <c r="IH111" s="33"/>
      <c r="II111" s="33"/>
      <c r="IJ111" s="33"/>
      <c r="IK111" s="33"/>
      <c r="IL111" s="33"/>
      <c r="IM111" s="33"/>
      <c r="IN111" s="33"/>
      <c r="IO111" s="33"/>
      <c r="IP111" s="33"/>
      <c r="IQ111" s="33"/>
      <c r="IR111" s="33"/>
      <c r="IS111" s="33"/>
      <c r="IT111" s="33"/>
      <c r="IU111" s="33"/>
      <c r="IV111" s="33"/>
      <c r="IW111" s="33"/>
      <c r="IX111" s="33"/>
      <c r="IY111" s="33"/>
      <c r="IZ111" s="33"/>
      <c r="JA111" s="33"/>
      <c r="JB111" s="33"/>
      <c r="JC111" s="33"/>
      <c r="JD111" s="33"/>
      <c r="JE111" s="33"/>
      <c r="JF111" s="33"/>
      <c r="JG111" s="33"/>
      <c r="JH111" s="33"/>
      <c r="JI111" s="33"/>
      <c r="JJ111" s="33"/>
      <c r="JK111" s="33"/>
      <c r="JL111" s="33"/>
      <c r="JM111" s="33"/>
      <c r="JN111" s="33"/>
      <c r="JO111" s="33"/>
      <c r="JP111" s="33"/>
      <c r="JQ111" s="33"/>
      <c r="JR111" s="33"/>
      <c r="JS111" s="33"/>
      <c r="JT111" s="33"/>
      <c r="JU111" s="33"/>
      <c r="JV111" s="33"/>
      <c r="JW111" s="33"/>
      <c r="JX111" s="33"/>
      <c r="JY111" s="33"/>
      <c r="JZ111" s="33"/>
      <c r="KA111" s="33"/>
      <c r="KB111" s="33"/>
      <c r="KC111" s="33"/>
      <c r="KD111" s="33"/>
      <c r="KE111" s="33"/>
      <c r="KF111" s="33"/>
      <c r="KG111" s="33"/>
      <c r="KH111" s="33"/>
      <c r="KI111" s="33"/>
      <c r="KJ111" s="33"/>
      <c r="KK111" s="33"/>
      <c r="KL111" s="33"/>
      <c r="KM111" s="33"/>
      <c r="KN111" s="33"/>
      <c r="KO111" s="33"/>
      <c r="KP111" s="33"/>
      <c r="KQ111" s="33"/>
      <c r="KR111" s="33"/>
      <c r="KS111" s="33"/>
      <c r="KT111" s="33"/>
      <c r="KU111" s="33"/>
      <c r="KV111" s="33"/>
      <c r="KW111" s="33"/>
      <c r="KX111" s="33"/>
      <c r="KY111" s="33"/>
      <c r="KZ111" s="33"/>
      <c r="LA111" s="33"/>
      <c r="LB111" s="33"/>
      <c r="LC111" s="33"/>
      <c r="LD111" s="33"/>
      <c r="LE111" s="33"/>
      <c r="LF111" s="33"/>
      <c r="LG111" s="33"/>
      <c r="LH111" s="33"/>
      <c r="LI111" s="33"/>
      <c r="LJ111" s="33"/>
      <c r="LK111" s="33">
        <v>4</v>
      </c>
      <c r="LL111" s="33"/>
      <c r="LM111" s="33"/>
      <c r="LN111" s="33"/>
      <c r="LO111" s="33"/>
      <c r="LP111" s="33"/>
      <c r="LQ111" s="33"/>
      <c r="LR111" s="33">
        <v>4</v>
      </c>
      <c r="LS111" s="33"/>
      <c r="LT111" s="33"/>
      <c r="LU111" s="33"/>
      <c r="LV111" s="33"/>
      <c r="LW111" s="33"/>
      <c r="LX111" s="33"/>
      <c r="LY111" s="33">
        <v>4</v>
      </c>
      <c r="LZ111" s="33"/>
      <c r="MA111" s="33"/>
      <c r="MB111" s="33"/>
      <c r="MC111" s="33"/>
      <c r="MD111" s="33"/>
      <c r="ME111" s="33"/>
      <c r="MF111" s="33"/>
      <c r="MG111" s="33"/>
      <c r="MH111" s="33"/>
      <c r="MI111" s="33"/>
      <c r="MJ111" s="33"/>
      <c r="MK111" s="33"/>
      <c r="ML111" s="33"/>
      <c r="MM111" s="33"/>
      <c r="MN111" s="33"/>
      <c r="MO111" s="33"/>
      <c r="MP111" s="33"/>
      <c r="MQ111" s="33"/>
      <c r="MR111" s="33"/>
      <c r="MS111" s="33"/>
      <c r="MT111" s="33"/>
      <c r="MU111" s="33"/>
      <c r="MV111" s="33"/>
      <c r="MW111" s="33"/>
      <c r="MX111" s="33"/>
      <c r="MY111" s="33"/>
      <c r="MZ111" s="33"/>
      <c r="NA111" s="33"/>
      <c r="NB111" s="33"/>
      <c r="NC111" s="33"/>
      <c r="ND111" s="33"/>
      <c r="NE111" s="33"/>
      <c r="NF111" s="33"/>
      <c r="NG111" s="33"/>
      <c r="NH111" s="33"/>
      <c r="NI111" s="33"/>
      <c r="NJ111" s="33"/>
      <c r="NK111" s="33"/>
      <c r="NL111" s="34"/>
    </row>
    <row r="112" spans="1:376" x14ac:dyDescent="0.15">
      <c r="A112" s="35">
        <f>A111</f>
        <v>50</v>
      </c>
      <c r="B112" s="36" t="str">
        <f>B111</f>
        <v>IT</v>
      </c>
      <c r="C112" s="36" t="str">
        <f>C111</f>
        <v>監視端末結合評価実施</v>
      </c>
      <c r="D112" s="37" t="str">
        <f>D111</f>
        <v>長田</v>
      </c>
      <c r="E112" s="53" t="s">
        <v>0</v>
      </c>
      <c r="F112" s="54"/>
      <c r="G112" s="54"/>
      <c r="H112" s="55">
        <f t="shared" si="235"/>
        <v>0</v>
      </c>
      <c r="I112" s="56">
        <f t="shared" ref="I112" si="239">IF(OR(H111="",H112=""),"",H112-H111)</f>
        <v>-12</v>
      </c>
      <c r="J112" s="65"/>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7"/>
      <c r="AQ112" s="67"/>
      <c r="AR112" s="67"/>
      <c r="AS112" s="67"/>
      <c r="AT112" s="67"/>
      <c r="AU112" s="67"/>
      <c r="AV112" s="67"/>
      <c r="AW112" s="67"/>
      <c r="AX112" s="67"/>
      <c r="AY112" s="67"/>
      <c r="AZ112" s="67"/>
      <c r="BA112" s="67"/>
      <c r="BB112" s="67"/>
      <c r="BC112" s="67"/>
      <c r="BD112" s="67"/>
      <c r="BE112" s="67"/>
      <c r="BF112" s="67"/>
      <c r="BG112" s="67"/>
      <c r="BH112" s="67"/>
      <c r="BI112" s="67"/>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c r="DK112" s="67"/>
      <c r="DL112" s="67"/>
      <c r="DM112" s="67"/>
      <c r="DN112" s="67"/>
      <c r="DO112" s="67"/>
      <c r="DP112" s="67"/>
      <c r="DQ112" s="67"/>
      <c r="DR112" s="67"/>
      <c r="DS112" s="67"/>
      <c r="DT112" s="67"/>
      <c r="DU112" s="67"/>
      <c r="DV112" s="67"/>
      <c r="DW112" s="67"/>
      <c r="DX112" s="67"/>
      <c r="DY112" s="67"/>
      <c r="DZ112" s="67"/>
      <c r="EA112" s="67"/>
      <c r="EB112" s="67"/>
      <c r="EC112" s="67"/>
      <c r="ED112" s="67"/>
      <c r="EE112" s="67"/>
      <c r="EF112" s="67"/>
      <c r="EG112" s="67"/>
      <c r="EH112" s="67"/>
      <c r="EI112" s="67"/>
      <c r="EJ112" s="67"/>
      <c r="EK112" s="67"/>
      <c r="EL112" s="67"/>
      <c r="EM112" s="67"/>
      <c r="EN112" s="67"/>
      <c r="EO112" s="67"/>
      <c r="EP112" s="67"/>
      <c r="EQ112" s="67"/>
      <c r="ER112" s="67"/>
      <c r="ES112" s="67"/>
      <c r="ET112" s="67"/>
      <c r="EU112" s="67"/>
      <c r="EV112" s="67"/>
      <c r="EW112" s="67"/>
      <c r="EX112" s="67"/>
      <c r="EY112" s="67"/>
      <c r="EZ112" s="67"/>
      <c r="FA112" s="67"/>
      <c r="FB112" s="67"/>
      <c r="FC112" s="67"/>
      <c r="FD112" s="67"/>
      <c r="FE112" s="67"/>
      <c r="FF112" s="67"/>
      <c r="FG112" s="67"/>
      <c r="FH112" s="67"/>
      <c r="FI112" s="67"/>
      <c r="FJ112" s="67"/>
      <c r="FK112" s="67"/>
      <c r="FL112" s="67"/>
      <c r="FM112" s="67"/>
      <c r="FN112" s="67"/>
      <c r="FO112" s="67"/>
      <c r="FP112" s="67"/>
      <c r="FQ112" s="67"/>
      <c r="FR112" s="67"/>
      <c r="FS112" s="67"/>
      <c r="FT112" s="67"/>
      <c r="FU112" s="67"/>
      <c r="FV112" s="67"/>
      <c r="FW112" s="67"/>
      <c r="FX112" s="67"/>
      <c r="FY112" s="67"/>
      <c r="FZ112" s="67"/>
      <c r="GA112" s="67"/>
      <c r="GB112" s="67"/>
      <c r="GC112" s="67"/>
      <c r="GD112" s="67"/>
      <c r="GE112" s="67"/>
      <c r="GF112" s="67"/>
      <c r="GG112" s="67"/>
      <c r="GH112" s="67"/>
      <c r="GI112" s="67"/>
      <c r="GJ112" s="67"/>
      <c r="GK112" s="67"/>
      <c r="GL112" s="67"/>
      <c r="GM112" s="67"/>
      <c r="GN112" s="67"/>
      <c r="GO112" s="67"/>
      <c r="GP112" s="67"/>
      <c r="GQ112" s="67"/>
      <c r="GR112" s="67"/>
      <c r="GS112" s="67"/>
      <c r="GT112" s="67"/>
      <c r="GU112" s="67"/>
      <c r="GV112" s="67"/>
      <c r="GW112" s="67"/>
      <c r="GX112" s="67"/>
      <c r="GY112" s="67"/>
      <c r="GZ112" s="67"/>
      <c r="HA112" s="67"/>
      <c r="HB112" s="67"/>
      <c r="HC112" s="67"/>
      <c r="HD112" s="67"/>
      <c r="HE112" s="67"/>
      <c r="HF112" s="67"/>
      <c r="HG112" s="67"/>
      <c r="HH112" s="67"/>
      <c r="HI112" s="67"/>
      <c r="HJ112" s="67"/>
      <c r="HK112" s="67"/>
      <c r="HL112" s="67"/>
      <c r="HM112" s="67"/>
      <c r="HN112" s="67"/>
      <c r="HO112" s="67"/>
      <c r="HP112" s="67"/>
      <c r="HQ112" s="67"/>
      <c r="HR112" s="67"/>
      <c r="HS112" s="67"/>
      <c r="HT112" s="67"/>
      <c r="HU112" s="67"/>
      <c r="HV112" s="67"/>
      <c r="HW112" s="67"/>
      <c r="HX112" s="67"/>
      <c r="HY112" s="67"/>
      <c r="HZ112" s="67"/>
      <c r="IA112" s="67"/>
      <c r="IB112" s="67"/>
      <c r="IC112" s="67"/>
      <c r="ID112" s="67"/>
      <c r="IE112" s="67"/>
      <c r="IF112" s="67"/>
      <c r="IG112" s="67"/>
      <c r="IH112" s="67"/>
      <c r="II112" s="67"/>
      <c r="IJ112" s="67"/>
      <c r="IK112" s="67"/>
      <c r="IL112" s="67"/>
      <c r="IM112" s="67"/>
      <c r="IN112" s="67"/>
      <c r="IO112" s="67"/>
      <c r="IP112" s="67"/>
      <c r="IQ112" s="67"/>
      <c r="IR112" s="67"/>
      <c r="IS112" s="67"/>
      <c r="IT112" s="67"/>
      <c r="IU112" s="67"/>
      <c r="IV112" s="67"/>
      <c r="IW112" s="67"/>
      <c r="IX112" s="67"/>
      <c r="IY112" s="67"/>
      <c r="IZ112" s="67"/>
      <c r="JA112" s="67"/>
      <c r="JB112" s="67"/>
      <c r="JC112" s="67"/>
      <c r="JD112" s="67"/>
      <c r="JE112" s="67"/>
      <c r="JF112" s="67"/>
      <c r="JG112" s="67"/>
      <c r="JH112" s="67"/>
      <c r="JI112" s="67"/>
      <c r="JJ112" s="67"/>
      <c r="JK112" s="67"/>
      <c r="JL112" s="67"/>
      <c r="JM112" s="67"/>
      <c r="JN112" s="67"/>
      <c r="JO112" s="67"/>
      <c r="JP112" s="67"/>
      <c r="JQ112" s="67"/>
      <c r="JR112" s="67"/>
      <c r="JS112" s="67"/>
      <c r="JT112" s="67"/>
      <c r="JU112" s="67"/>
      <c r="JV112" s="67"/>
      <c r="JW112" s="67"/>
      <c r="JX112" s="67"/>
      <c r="JY112" s="67"/>
      <c r="JZ112" s="67"/>
      <c r="KA112" s="67"/>
      <c r="KB112" s="67"/>
      <c r="KC112" s="67"/>
      <c r="KD112" s="67"/>
      <c r="KE112" s="67"/>
      <c r="KF112" s="67"/>
      <c r="KG112" s="67"/>
      <c r="KH112" s="67"/>
      <c r="KI112" s="67"/>
      <c r="KJ112" s="67"/>
      <c r="KK112" s="67"/>
      <c r="KL112" s="67"/>
      <c r="KM112" s="67"/>
      <c r="KN112" s="67"/>
      <c r="KO112" s="67"/>
      <c r="KP112" s="67"/>
      <c r="KQ112" s="67"/>
      <c r="KR112" s="67"/>
      <c r="KS112" s="67"/>
      <c r="KT112" s="67"/>
      <c r="KU112" s="67"/>
      <c r="KV112" s="67"/>
      <c r="KW112" s="67"/>
      <c r="KX112" s="67"/>
      <c r="KY112" s="67"/>
      <c r="KZ112" s="67"/>
      <c r="LA112" s="67"/>
      <c r="LB112" s="67"/>
      <c r="LC112" s="67"/>
      <c r="LD112" s="67"/>
      <c r="LE112" s="67"/>
      <c r="LF112" s="67"/>
      <c r="LG112" s="67"/>
      <c r="LH112" s="67"/>
      <c r="LI112" s="67"/>
      <c r="LJ112" s="67"/>
      <c r="LK112" s="67"/>
      <c r="LL112" s="67"/>
      <c r="LM112" s="67"/>
      <c r="LN112" s="67"/>
      <c r="LO112" s="67"/>
      <c r="LP112" s="67"/>
      <c r="LQ112" s="67"/>
      <c r="LR112" s="67"/>
      <c r="LS112" s="67"/>
      <c r="LT112" s="67"/>
      <c r="LU112" s="67"/>
      <c r="LV112" s="67"/>
      <c r="LW112" s="67"/>
      <c r="LX112" s="67"/>
      <c r="LY112" s="67"/>
      <c r="LZ112" s="67"/>
      <c r="MA112" s="67"/>
      <c r="MB112" s="67"/>
      <c r="MC112" s="67"/>
      <c r="MD112" s="67"/>
      <c r="ME112" s="67"/>
      <c r="MF112" s="67"/>
      <c r="MG112" s="67"/>
      <c r="MH112" s="67"/>
      <c r="MI112" s="67"/>
      <c r="MJ112" s="67"/>
      <c r="MK112" s="67"/>
      <c r="ML112" s="67"/>
      <c r="MM112" s="67"/>
      <c r="MN112" s="67"/>
      <c r="MO112" s="67"/>
      <c r="MP112" s="67"/>
      <c r="MQ112" s="67"/>
      <c r="MR112" s="67"/>
      <c r="MS112" s="67"/>
      <c r="MT112" s="67"/>
      <c r="MU112" s="67"/>
      <c r="MV112" s="67"/>
      <c r="MW112" s="67"/>
      <c r="MX112" s="67"/>
      <c r="MY112" s="67"/>
      <c r="MZ112" s="67"/>
      <c r="NA112" s="67"/>
      <c r="NB112" s="67"/>
      <c r="NC112" s="67"/>
      <c r="ND112" s="67"/>
      <c r="NE112" s="67"/>
      <c r="NF112" s="67"/>
      <c r="NG112" s="67"/>
      <c r="NH112" s="67"/>
      <c r="NI112" s="67"/>
      <c r="NJ112" s="67"/>
      <c r="NK112" s="67"/>
      <c r="NL112" s="68"/>
    </row>
    <row r="113" spans="1:376" x14ac:dyDescent="0.15">
      <c r="A113" s="23">
        <v>51</v>
      </c>
      <c r="B113" s="24" t="s">
        <v>161</v>
      </c>
      <c r="C113" s="45" t="s">
        <v>162</v>
      </c>
      <c r="D113" s="26" t="s">
        <v>165</v>
      </c>
      <c r="E113" s="27" t="s">
        <v>13</v>
      </c>
      <c r="F113" s="28">
        <v>43157</v>
      </c>
      <c r="G113" s="28">
        <v>43189</v>
      </c>
      <c r="H113" s="29">
        <f t="shared" si="235"/>
        <v>16</v>
      </c>
      <c r="I113" s="30"/>
      <c r="J113" s="31"/>
      <c r="K113" s="32"/>
      <c r="L113" s="32"/>
      <c r="M113" s="32"/>
      <c r="N113" s="32"/>
      <c r="O113" s="32"/>
      <c r="P113" s="32"/>
      <c r="Q113" s="32"/>
      <c r="R113" s="32"/>
      <c r="S113" s="32"/>
      <c r="T113" s="32"/>
      <c r="U113" s="32"/>
      <c r="V113" s="32"/>
      <c r="W113" s="32"/>
      <c r="X113" s="32"/>
      <c r="Y113" s="32"/>
      <c r="Z113" s="32"/>
      <c r="AA113" s="32"/>
      <c r="AB113" s="32"/>
      <c r="AC113" s="32"/>
      <c r="AD113" s="32"/>
      <c r="AE113" s="32"/>
      <c r="AF113" s="32"/>
      <c r="AG113" s="32"/>
      <c r="AH113" s="32"/>
      <c r="AI113" s="32"/>
      <c r="AJ113" s="32"/>
      <c r="AK113" s="32"/>
      <c r="AL113" s="32"/>
      <c r="AM113" s="32"/>
      <c r="AN113" s="32"/>
      <c r="AO113" s="32"/>
      <c r="AP113" s="33"/>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33"/>
      <c r="BT113" s="33"/>
      <c r="BU113" s="33"/>
      <c r="BV113" s="33"/>
      <c r="BW113" s="33"/>
      <c r="BX113" s="33"/>
      <c r="BY113" s="33"/>
      <c r="BZ113" s="33"/>
      <c r="CA113" s="33"/>
      <c r="CB113" s="33"/>
      <c r="CC113" s="33"/>
      <c r="CD113" s="33"/>
      <c r="CE113" s="33"/>
      <c r="CF113" s="33"/>
      <c r="CG113" s="33"/>
      <c r="CH113" s="33"/>
      <c r="CI113" s="33"/>
      <c r="CJ113" s="33"/>
      <c r="CK113" s="33"/>
      <c r="CL113" s="33"/>
      <c r="CM113" s="33"/>
      <c r="CN113" s="33"/>
      <c r="CO113" s="33"/>
      <c r="CP113" s="33"/>
      <c r="CQ113" s="33"/>
      <c r="CR113" s="33"/>
      <c r="CS113" s="33"/>
      <c r="CT113" s="33"/>
      <c r="CU113" s="33"/>
      <c r="CV113" s="33"/>
      <c r="CW113" s="33"/>
      <c r="CX113" s="33"/>
      <c r="CY113" s="33"/>
      <c r="CZ113" s="33"/>
      <c r="DA113" s="33"/>
      <c r="DB113" s="33"/>
      <c r="DC113" s="33"/>
      <c r="DD113" s="33"/>
      <c r="DE113" s="33"/>
      <c r="DF113" s="33"/>
      <c r="DG113" s="33"/>
      <c r="DH113" s="33"/>
      <c r="DI113" s="33"/>
      <c r="DJ113" s="33"/>
      <c r="DK113" s="33"/>
      <c r="DL113" s="33"/>
      <c r="DM113" s="33"/>
      <c r="DN113" s="33"/>
      <c r="DO113" s="33"/>
      <c r="DP113" s="33"/>
      <c r="DQ113" s="33"/>
      <c r="DR113" s="33"/>
      <c r="DS113" s="33"/>
      <c r="DT113" s="33"/>
      <c r="DU113" s="33"/>
      <c r="DV113" s="33"/>
      <c r="DW113" s="33"/>
      <c r="DX113" s="33"/>
      <c r="DY113" s="33"/>
      <c r="DZ113" s="33"/>
      <c r="EA113" s="33"/>
      <c r="EB113" s="33"/>
      <c r="EC113" s="33"/>
      <c r="ED113" s="33"/>
      <c r="EE113" s="33"/>
      <c r="EF113" s="33"/>
      <c r="EG113" s="33"/>
      <c r="EH113" s="33"/>
      <c r="EI113" s="33"/>
      <c r="EJ113" s="33"/>
      <c r="EK113" s="33"/>
      <c r="EL113" s="33"/>
      <c r="EM113" s="33"/>
      <c r="EN113" s="33"/>
      <c r="EO113" s="33"/>
      <c r="EP113" s="33"/>
      <c r="EQ113" s="33"/>
      <c r="ER113" s="33"/>
      <c r="ES113" s="33"/>
      <c r="ET113" s="33"/>
      <c r="EU113" s="33"/>
      <c r="EV113" s="33"/>
      <c r="EW113" s="33"/>
      <c r="EX113" s="33"/>
      <c r="EY113" s="33"/>
      <c r="EZ113" s="33"/>
      <c r="FA113" s="33"/>
      <c r="FB113" s="33"/>
      <c r="FC113" s="33"/>
      <c r="FD113" s="33"/>
      <c r="FE113" s="33"/>
      <c r="FF113" s="33"/>
      <c r="FG113" s="33"/>
      <c r="FH113" s="33"/>
      <c r="FI113" s="33"/>
      <c r="FJ113" s="33"/>
      <c r="FK113" s="33"/>
      <c r="FL113" s="33"/>
      <c r="FM113" s="33"/>
      <c r="FN113" s="33"/>
      <c r="FO113" s="33"/>
      <c r="FP113" s="33"/>
      <c r="FQ113" s="33"/>
      <c r="FR113" s="33"/>
      <c r="FS113" s="33"/>
      <c r="FT113" s="33"/>
      <c r="FU113" s="33"/>
      <c r="FV113" s="33"/>
      <c r="FW113" s="33"/>
      <c r="FX113" s="33"/>
      <c r="FY113" s="33"/>
      <c r="FZ113" s="33"/>
      <c r="GA113" s="33"/>
      <c r="GB113" s="33"/>
      <c r="GC113" s="33"/>
      <c r="GD113" s="33"/>
      <c r="GE113" s="33"/>
      <c r="GF113" s="33"/>
      <c r="GG113" s="33"/>
      <c r="GH113" s="33"/>
      <c r="GI113" s="33"/>
      <c r="GJ113" s="33"/>
      <c r="GK113" s="33"/>
      <c r="GL113" s="33"/>
      <c r="GM113" s="33"/>
      <c r="GN113" s="33"/>
      <c r="GO113" s="33"/>
      <c r="GP113" s="33"/>
      <c r="GQ113" s="33"/>
      <c r="GR113" s="33"/>
      <c r="GS113" s="33"/>
      <c r="GT113" s="33"/>
      <c r="GU113" s="33"/>
      <c r="GV113" s="33"/>
      <c r="GW113" s="33"/>
      <c r="GX113" s="33"/>
      <c r="GY113" s="33"/>
      <c r="GZ113" s="33"/>
      <c r="HA113" s="33"/>
      <c r="HB113" s="33"/>
      <c r="HC113" s="33"/>
      <c r="HD113" s="33"/>
      <c r="HE113" s="33"/>
      <c r="HF113" s="33"/>
      <c r="HG113" s="33"/>
      <c r="HH113" s="33"/>
      <c r="HI113" s="33"/>
      <c r="HJ113" s="33"/>
      <c r="HK113" s="33"/>
      <c r="HL113" s="33"/>
      <c r="HM113" s="33"/>
      <c r="HN113" s="33"/>
      <c r="HO113" s="33"/>
      <c r="HP113" s="33"/>
      <c r="HQ113" s="33"/>
      <c r="HR113" s="33"/>
      <c r="HS113" s="33"/>
      <c r="HT113" s="33"/>
      <c r="HU113" s="33"/>
      <c r="HV113" s="33"/>
      <c r="HW113" s="33"/>
      <c r="HX113" s="33"/>
      <c r="HY113" s="33"/>
      <c r="HZ113" s="33"/>
      <c r="IA113" s="33"/>
      <c r="IB113" s="33"/>
      <c r="IC113" s="33"/>
      <c r="ID113" s="33"/>
      <c r="IE113" s="33"/>
      <c r="IF113" s="33"/>
      <c r="IG113" s="33"/>
      <c r="IH113" s="33"/>
      <c r="II113" s="33"/>
      <c r="IJ113" s="33"/>
      <c r="IK113" s="33"/>
      <c r="IL113" s="33"/>
      <c r="IM113" s="33"/>
      <c r="IN113" s="33"/>
      <c r="IO113" s="33"/>
      <c r="IP113" s="33"/>
      <c r="IQ113" s="33"/>
      <c r="IR113" s="33"/>
      <c r="IS113" s="33"/>
      <c r="IT113" s="33"/>
      <c r="IU113" s="33"/>
      <c r="IV113" s="33"/>
      <c r="IW113" s="33"/>
      <c r="IX113" s="33"/>
      <c r="IY113" s="33"/>
      <c r="IZ113" s="33"/>
      <c r="JA113" s="33"/>
      <c r="JB113" s="33"/>
      <c r="JC113" s="33"/>
      <c r="JD113" s="33"/>
      <c r="JE113" s="33"/>
      <c r="JF113" s="33"/>
      <c r="JG113" s="33"/>
      <c r="JH113" s="33"/>
      <c r="JI113" s="33"/>
      <c r="JJ113" s="33"/>
      <c r="JK113" s="33"/>
      <c r="JL113" s="33"/>
      <c r="JM113" s="33"/>
      <c r="JN113" s="33"/>
      <c r="JO113" s="33"/>
      <c r="JP113" s="33"/>
      <c r="JQ113" s="33"/>
      <c r="JR113" s="33"/>
      <c r="JS113" s="33"/>
      <c r="JT113" s="33"/>
      <c r="JU113" s="33"/>
      <c r="JV113" s="33"/>
      <c r="JW113" s="33"/>
      <c r="JX113" s="33"/>
      <c r="JY113" s="33"/>
      <c r="JZ113" s="33"/>
      <c r="KA113" s="33"/>
      <c r="KB113" s="33"/>
      <c r="KC113" s="33"/>
      <c r="KD113" s="33"/>
      <c r="KE113" s="33"/>
      <c r="KF113" s="33"/>
      <c r="KG113" s="33"/>
      <c r="KH113" s="33"/>
      <c r="KI113" s="33"/>
      <c r="KJ113" s="33"/>
      <c r="KK113" s="33"/>
      <c r="KL113" s="33"/>
      <c r="KM113" s="33"/>
      <c r="KN113" s="33"/>
      <c r="KO113" s="33"/>
      <c r="KP113" s="33"/>
      <c r="KQ113" s="33"/>
      <c r="KR113" s="33"/>
      <c r="KS113" s="33"/>
      <c r="KT113" s="33"/>
      <c r="KU113" s="33"/>
      <c r="KV113" s="33"/>
      <c r="KW113" s="33"/>
      <c r="KX113" s="33"/>
      <c r="KY113" s="33"/>
      <c r="KZ113" s="33"/>
      <c r="LA113" s="33"/>
      <c r="LB113" s="33"/>
      <c r="LC113" s="33"/>
      <c r="LD113" s="33"/>
      <c r="LE113" s="33"/>
      <c r="LF113" s="33"/>
      <c r="LG113" s="33"/>
      <c r="LH113" s="33"/>
      <c r="LI113" s="33"/>
      <c r="LJ113" s="33"/>
      <c r="LK113" s="33"/>
      <c r="LL113" s="33"/>
      <c r="LM113" s="33"/>
      <c r="LN113" s="33"/>
      <c r="LO113" s="33"/>
      <c r="LP113" s="33"/>
      <c r="LQ113" s="33"/>
      <c r="LR113" s="33"/>
      <c r="LS113" s="33"/>
      <c r="LT113" s="33"/>
      <c r="LU113" s="33"/>
      <c r="LV113" s="33"/>
      <c r="LW113" s="33"/>
      <c r="LX113" s="33"/>
      <c r="LY113" s="33"/>
      <c r="LZ113" s="33"/>
      <c r="MA113" s="33"/>
      <c r="MB113" s="33"/>
      <c r="MC113" s="33"/>
      <c r="MD113" s="33"/>
      <c r="ME113" s="33"/>
      <c r="MF113" s="33">
        <v>4</v>
      </c>
      <c r="MG113" s="33"/>
      <c r="MH113" s="33"/>
      <c r="MI113" s="33"/>
      <c r="MJ113" s="33"/>
      <c r="MK113" s="33"/>
      <c r="ML113" s="33"/>
      <c r="MM113" s="33">
        <v>4</v>
      </c>
      <c r="MN113" s="33"/>
      <c r="MO113" s="33"/>
      <c r="MP113" s="33"/>
      <c r="MQ113" s="33"/>
      <c r="MR113" s="33"/>
      <c r="MS113" s="33"/>
      <c r="MT113" s="33">
        <v>4</v>
      </c>
      <c r="MU113" s="33"/>
      <c r="MV113" s="33"/>
      <c r="MW113" s="33"/>
      <c r="MX113" s="33"/>
      <c r="MY113" s="33"/>
      <c r="MZ113" s="33"/>
      <c r="NA113" s="33">
        <v>4</v>
      </c>
      <c r="NB113" s="33"/>
      <c r="NC113" s="33"/>
      <c r="ND113" s="33"/>
      <c r="NE113" s="33"/>
      <c r="NF113" s="33"/>
      <c r="NG113" s="33"/>
      <c r="NH113" s="33"/>
      <c r="NI113" s="33"/>
      <c r="NJ113" s="33"/>
      <c r="NK113" s="33"/>
      <c r="NL113" s="34"/>
    </row>
    <row r="114" spans="1:376" x14ac:dyDescent="0.15">
      <c r="A114" s="35">
        <v>51</v>
      </c>
      <c r="B114" s="36" t="str">
        <f>B113</f>
        <v>FT</v>
      </c>
      <c r="C114" s="36" t="str">
        <f>C113</f>
        <v>機能評価実施</v>
      </c>
      <c r="D114" s="37" t="str">
        <f>D113</f>
        <v>高澤</v>
      </c>
      <c r="E114" s="53" t="s">
        <v>0</v>
      </c>
      <c r="F114" s="54"/>
      <c r="G114" s="54"/>
      <c r="H114" s="55">
        <f t="shared" si="235"/>
        <v>0</v>
      </c>
      <c r="I114" s="56">
        <f t="shared" ref="I114" si="240">IF(OR(H113="",H114=""),"",H114-H113)</f>
        <v>-16</v>
      </c>
      <c r="J114" s="65"/>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7"/>
      <c r="AQ114" s="67"/>
      <c r="AR114" s="67"/>
      <c r="AS114" s="67"/>
      <c r="AT114" s="67"/>
      <c r="AU114" s="67"/>
      <c r="AV114" s="67"/>
      <c r="AW114" s="67"/>
      <c r="AX114" s="67"/>
      <c r="AY114" s="67"/>
      <c r="AZ114" s="67"/>
      <c r="BA114" s="67"/>
      <c r="BB114" s="67"/>
      <c r="BC114" s="67"/>
      <c r="BD114" s="67"/>
      <c r="BE114" s="67"/>
      <c r="BF114" s="67"/>
      <c r="BG114" s="67"/>
      <c r="BH114" s="67"/>
      <c r="BI114" s="67"/>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c r="DK114" s="67"/>
      <c r="DL114" s="67"/>
      <c r="DM114" s="67"/>
      <c r="DN114" s="67"/>
      <c r="DO114" s="67"/>
      <c r="DP114" s="67"/>
      <c r="DQ114" s="67"/>
      <c r="DR114" s="67"/>
      <c r="DS114" s="67"/>
      <c r="DT114" s="67"/>
      <c r="DU114" s="67"/>
      <c r="DV114" s="67"/>
      <c r="DW114" s="67"/>
      <c r="DX114" s="67"/>
      <c r="DY114" s="67"/>
      <c r="DZ114" s="67"/>
      <c r="EA114" s="67"/>
      <c r="EB114" s="67"/>
      <c r="EC114" s="67"/>
      <c r="ED114" s="67"/>
      <c r="EE114" s="67"/>
      <c r="EF114" s="67"/>
      <c r="EG114" s="67"/>
      <c r="EH114" s="67"/>
      <c r="EI114" s="67"/>
      <c r="EJ114" s="67"/>
      <c r="EK114" s="67"/>
      <c r="EL114" s="67"/>
      <c r="EM114" s="67"/>
      <c r="EN114" s="67"/>
      <c r="EO114" s="67"/>
      <c r="EP114" s="67"/>
      <c r="EQ114" s="67"/>
      <c r="ER114" s="67"/>
      <c r="ES114" s="67"/>
      <c r="ET114" s="67"/>
      <c r="EU114" s="67"/>
      <c r="EV114" s="67"/>
      <c r="EW114" s="67"/>
      <c r="EX114" s="67"/>
      <c r="EY114" s="67"/>
      <c r="EZ114" s="67"/>
      <c r="FA114" s="67"/>
      <c r="FB114" s="67"/>
      <c r="FC114" s="67"/>
      <c r="FD114" s="67"/>
      <c r="FE114" s="67"/>
      <c r="FF114" s="67"/>
      <c r="FG114" s="67"/>
      <c r="FH114" s="67"/>
      <c r="FI114" s="67"/>
      <c r="FJ114" s="67"/>
      <c r="FK114" s="67"/>
      <c r="FL114" s="67"/>
      <c r="FM114" s="67"/>
      <c r="FN114" s="67"/>
      <c r="FO114" s="67"/>
      <c r="FP114" s="67"/>
      <c r="FQ114" s="67"/>
      <c r="FR114" s="67"/>
      <c r="FS114" s="67"/>
      <c r="FT114" s="67"/>
      <c r="FU114" s="67"/>
      <c r="FV114" s="67"/>
      <c r="FW114" s="67"/>
      <c r="FX114" s="67"/>
      <c r="FY114" s="67"/>
      <c r="FZ114" s="67"/>
      <c r="GA114" s="67"/>
      <c r="GB114" s="67"/>
      <c r="GC114" s="67"/>
      <c r="GD114" s="67"/>
      <c r="GE114" s="67"/>
      <c r="GF114" s="67"/>
      <c r="GG114" s="67"/>
      <c r="GH114" s="67"/>
      <c r="GI114" s="67"/>
      <c r="GJ114" s="67"/>
      <c r="GK114" s="67"/>
      <c r="GL114" s="67"/>
      <c r="GM114" s="67"/>
      <c r="GN114" s="67"/>
      <c r="GO114" s="67"/>
      <c r="GP114" s="67"/>
      <c r="GQ114" s="67"/>
      <c r="GR114" s="67"/>
      <c r="GS114" s="67"/>
      <c r="GT114" s="67"/>
      <c r="GU114" s="67"/>
      <c r="GV114" s="67"/>
      <c r="GW114" s="67"/>
      <c r="GX114" s="67"/>
      <c r="GY114" s="67"/>
      <c r="GZ114" s="67"/>
      <c r="HA114" s="67"/>
      <c r="HB114" s="67"/>
      <c r="HC114" s="67"/>
      <c r="HD114" s="67"/>
      <c r="HE114" s="67"/>
      <c r="HF114" s="67"/>
      <c r="HG114" s="67"/>
      <c r="HH114" s="67"/>
      <c r="HI114" s="67"/>
      <c r="HJ114" s="67"/>
      <c r="HK114" s="67"/>
      <c r="HL114" s="67"/>
      <c r="HM114" s="67"/>
      <c r="HN114" s="67"/>
      <c r="HO114" s="67"/>
      <c r="HP114" s="67"/>
      <c r="HQ114" s="67"/>
      <c r="HR114" s="67"/>
      <c r="HS114" s="67"/>
      <c r="HT114" s="67"/>
      <c r="HU114" s="67"/>
      <c r="HV114" s="67"/>
      <c r="HW114" s="67"/>
      <c r="HX114" s="67"/>
      <c r="HY114" s="67"/>
      <c r="HZ114" s="67"/>
      <c r="IA114" s="67"/>
      <c r="IB114" s="67"/>
      <c r="IC114" s="67"/>
      <c r="ID114" s="67"/>
      <c r="IE114" s="67"/>
      <c r="IF114" s="67"/>
      <c r="IG114" s="67"/>
      <c r="IH114" s="67"/>
      <c r="II114" s="67"/>
      <c r="IJ114" s="67"/>
      <c r="IK114" s="67"/>
      <c r="IL114" s="67"/>
      <c r="IM114" s="67"/>
      <c r="IN114" s="67"/>
      <c r="IO114" s="67"/>
      <c r="IP114" s="67"/>
      <c r="IQ114" s="67"/>
      <c r="IR114" s="67"/>
      <c r="IS114" s="67"/>
      <c r="IT114" s="67"/>
      <c r="IU114" s="67"/>
      <c r="IV114" s="67"/>
      <c r="IW114" s="67"/>
      <c r="IX114" s="67"/>
      <c r="IY114" s="67"/>
      <c r="IZ114" s="67"/>
      <c r="JA114" s="67"/>
      <c r="JB114" s="67"/>
      <c r="JC114" s="67"/>
      <c r="JD114" s="67"/>
      <c r="JE114" s="67"/>
      <c r="JF114" s="67"/>
      <c r="JG114" s="67"/>
      <c r="JH114" s="67"/>
      <c r="JI114" s="67"/>
      <c r="JJ114" s="67"/>
      <c r="JK114" s="67"/>
      <c r="JL114" s="67"/>
      <c r="JM114" s="67"/>
      <c r="JN114" s="67"/>
      <c r="JO114" s="67"/>
      <c r="JP114" s="67"/>
      <c r="JQ114" s="67"/>
      <c r="JR114" s="67"/>
      <c r="JS114" s="67"/>
      <c r="JT114" s="67"/>
      <c r="JU114" s="67"/>
      <c r="JV114" s="67"/>
      <c r="JW114" s="67"/>
      <c r="JX114" s="67"/>
      <c r="JY114" s="67"/>
      <c r="JZ114" s="67"/>
      <c r="KA114" s="67"/>
      <c r="KB114" s="67"/>
      <c r="KC114" s="67"/>
      <c r="KD114" s="67"/>
      <c r="KE114" s="67"/>
      <c r="KF114" s="67"/>
      <c r="KG114" s="67"/>
      <c r="KH114" s="67"/>
      <c r="KI114" s="67"/>
      <c r="KJ114" s="67"/>
      <c r="KK114" s="67"/>
      <c r="KL114" s="67"/>
      <c r="KM114" s="67"/>
      <c r="KN114" s="67"/>
      <c r="KO114" s="67"/>
      <c r="KP114" s="67"/>
      <c r="KQ114" s="67"/>
      <c r="KR114" s="67"/>
      <c r="KS114" s="67"/>
      <c r="KT114" s="67"/>
      <c r="KU114" s="67"/>
      <c r="KV114" s="67"/>
      <c r="KW114" s="67"/>
      <c r="KX114" s="67"/>
      <c r="KY114" s="67"/>
      <c r="KZ114" s="67"/>
      <c r="LA114" s="67"/>
      <c r="LB114" s="67"/>
      <c r="LC114" s="67"/>
      <c r="LD114" s="67"/>
      <c r="LE114" s="67"/>
      <c r="LF114" s="67"/>
      <c r="LG114" s="67"/>
      <c r="LH114" s="67"/>
      <c r="LI114" s="67"/>
      <c r="LJ114" s="67"/>
      <c r="LK114" s="67"/>
      <c r="LL114" s="67"/>
      <c r="LM114" s="67"/>
      <c r="LN114" s="67"/>
      <c r="LO114" s="67"/>
      <c r="LP114" s="67"/>
      <c r="LQ114" s="67"/>
      <c r="LR114" s="67"/>
      <c r="LS114" s="67"/>
      <c r="LT114" s="67"/>
      <c r="LU114" s="67"/>
      <c r="LV114" s="67"/>
      <c r="LW114" s="67"/>
      <c r="LX114" s="67"/>
      <c r="LY114" s="67"/>
      <c r="LZ114" s="67"/>
      <c r="MA114" s="67"/>
      <c r="MB114" s="67"/>
      <c r="MC114" s="67"/>
      <c r="MD114" s="67"/>
      <c r="ME114" s="67"/>
      <c r="MF114" s="67"/>
      <c r="MG114" s="67"/>
      <c r="MH114" s="67"/>
      <c r="MI114" s="67"/>
      <c r="MJ114" s="67"/>
      <c r="MK114" s="67"/>
      <c r="ML114" s="67"/>
      <c r="MM114" s="67"/>
      <c r="MN114" s="67"/>
      <c r="MO114" s="67"/>
      <c r="MP114" s="67"/>
      <c r="MQ114" s="67"/>
      <c r="MR114" s="67"/>
      <c r="MS114" s="67"/>
      <c r="MT114" s="67"/>
      <c r="MU114" s="67"/>
      <c r="MV114" s="67"/>
      <c r="MW114" s="67"/>
      <c r="MX114" s="67"/>
      <c r="MY114" s="67"/>
      <c r="MZ114" s="67"/>
      <c r="NA114" s="67"/>
      <c r="NB114" s="67"/>
      <c r="NC114" s="67"/>
      <c r="ND114" s="67"/>
      <c r="NE114" s="67"/>
      <c r="NF114" s="67"/>
      <c r="NG114" s="67"/>
      <c r="NH114" s="67"/>
      <c r="NI114" s="67"/>
      <c r="NJ114" s="67"/>
      <c r="NK114" s="67"/>
      <c r="NL114" s="68"/>
    </row>
    <row r="115" spans="1:376" x14ac:dyDescent="0.15">
      <c r="A115" s="23">
        <v>52</v>
      </c>
      <c r="B115" s="24" t="s">
        <v>161</v>
      </c>
      <c r="C115" s="45" t="s">
        <v>163</v>
      </c>
      <c r="D115" s="26" t="s">
        <v>166</v>
      </c>
      <c r="E115" s="27" t="s">
        <v>13</v>
      </c>
      <c r="F115" s="28">
        <v>43157</v>
      </c>
      <c r="G115" s="28">
        <v>43189</v>
      </c>
      <c r="H115" s="29">
        <f t="shared" si="235"/>
        <v>16</v>
      </c>
      <c r="I115" s="30"/>
      <c r="J115" s="31"/>
      <c r="K115" s="32"/>
      <c r="L115" s="32"/>
      <c r="M115" s="32"/>
      <c r="N115" s="32"/>
      <c r="O115" s="32"/>
      <c r="P115" s="32"/>
      <c r="Q115" s="32"/>
      <c r="R115" s="32"/>
      <c r="S115" s="32"/>
      <c r="T115" s="32"/>
      <c r="U115" s="32"/>
      <c r="V115" s="32"/>
      <c r="W115" s="32"/>
      <c r="X115" s="32"/>
      <c r="Y115" s="32"/>
      <c r="Z115" s="32"/>
      <c r="AA115" s="32"/>
      <c r="AB115" s="32"/>
      <c r="AC115" s="32"/>
      <c r="AD115" s="32"/>
      <c r="AE115" s="32"/>
      <c r="AF115" s="32"/>
      <c r="AG115" s="32"/>
      <c r="AH115" s="32"/>
      <c r="AI115" s="32"/>
      <c r="AJ115" s="32"/>
      <c r="AK115" s="32"/>
      <c r="AL115" s="32"/>
      <c r="AM115" s="32"/>
      <c r="AN115" s="32"/>
      <c r="AO115" s="32"/>
      <c r="AP115" s="33"/>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33"/>
      <c r="BT115" s="33"/>
      <c r="BU115" s="33"/>
      <c r="BV115" s="33"/>
      <c r="BW115" s="33"/>
      <c r="BX115" s="33"/>
      <c r="BY115" s="33"/>
      <c r="BZ115" s="33"/>
      <c r="CA115" s="33"/>
      <c r="CB115" s="33"/>
      <c r="CC115" s="33"/>
      <c r="CD115" s="33"/>
      <c r="CE115" s="33"/>
      <c r="CF115" s="33"/>
      <c r="CG115" s="33"/>
      <c r="CH115" s="33"/>
      <c r="CI115" s="33"/>
      <c r="CJ115" s="33"/>
      <c r="CK115" s="33"/>
      <c r="CL115" s="33"/>
      <c r="CM115" s="33"/>
      <c r="CN115" s="33"/>
      <c r="CO115" s="33"/>
      <c r="CP115" s="33"/>
      <c r="CQ115" s="33"/>
      <c r="CR115" s="33"/>
      <c r="CS115" s="33"/>
      <c r="CT115" s="33"/>
      <c r="CU115" s="33"/>
      <c r="CV115" s="33"/>
      <c r="CW115" s="33"/>
      <c r="CX115" s="33"/>
      <c r="CY115" s="33"/>
      <c r="CZ115" s="33"/>
      <c r="DA115" s="33"/>
      <c r="DB115" s="33"/>
      <c r="DC115" s="33"/>
      <c r="DD115" s="33"/>
      <c r="DE115" s="33"/>
      <c r="DF115" s="33"/>
      <c r="DG115" s="33"/>
      <c r="DH115" s="33"/>
      <c r="DI115" s="33"/>
      <c r="DJ115" s="33"/>
      <c r="DK115" s="33"/>
      <c r="DL115" s="33"/>
      <c r="DM115" s="33"/>
      <c r="DN115" s="33"/>
      <c r="DO115" s="33"/>
      <c r="DP115" s="33"/>
      <c r="DQ115" s="33"/>
      <c r="DR115" s="33"/>
      <c r="DS115" s="33"/>
      <c r="DT115" s="33"/>
      <c r="DU115" s="33"/>
      <c r="DV115" s="33"/>
      <c r="DW115" s="33"/>
      <c r="DX115" s="33"/>
      <c r="DY115" s="33"/>
      <c r="DZ115" s="33"/>
      <c r="EA115" s="33"/>
      <c r="EB115" s="33"/>
      <c r="EC115" s="33"/>
      <c r="ED115" s="33"/>
      <c r="EE115" s="33"/>
      <c r="EF115" s="33"/>
      <c r="EG115" s="33"/>
      <c r="EH115" s="33"/>
      <c r="EI115" s="33"/>
      <c r="EJ115" s="33"/>
      <c r="EK115" s="33"/>
      <c r="EL115" s="33"/>
      <c r="EM115" s="33"/>
      <c r="EN115" s="33"/>
      <c r="EO115" s="33"/>
      <c r="EP115" s="33"/>
      <c r="EQ115" s="33"/>
      <c r="ER115" s="33"/>
      <c r="ES115" s="33"/>
      <c r="ET115" s="33"/>
      <c r="EU115" s="33"/>
      <c r="EV115" s="33"/>
      <c r="EW115" s="33"/>
      <c r="EX115" s="33"/>
      <c r="EY115" s="33"/>
      <c r="EZ115" s="33"/>
      <c r="FA115" s="33"/>
      <c r="FB115" s="33"/>
      <c r="FC115" s="33"/>
      <c r="FD115" s="33"/>
      <c r="FE115" s="33"/>
      <c r="FF115" s="33"/>
      <c r="FG115" s="33"/>
      <c r="FH115" s="33"/>
      <c r="FI115" s="33"/>
      <c r="FJ115" s="33"/>
      <c r="FK115" s="33"/>
      <c r="FL115" s="33"/>
      <c r="FM115" s="33"/>
      <c r="FN115" s="33"/>
      <c r="FO115" s="33"/>
      <c r="FP115" s="33"/>
      <c r="FQ115" s="33"/>
      <c r="FR115" s="33"/>
      <c r="FS115" s="33"/>
      <c r="FT115" s="33"/>
      <c r="FU115" s="33"/>
      <c r="FV115" s="33"/>
      <c r="FW115" s="33"/>
      <c r="FX115" s="33"/>
      <c r="FY115" s="33"/>
      <c r="FZ115" s="33"/>
      <c r="GA115" s="33"/>
      <c r="GB115" s="33"/>
      <c r="GC115" s="33"/>
      <c r="GD115" s="33"/>
      <c r="GE115" s="33"/>
      <c r="GF115" s="33"/>
      <c r="GG115" s="33"/>
      <c r="GH115" s="33"/>
      <c r="GI115" s="33"/>
      <c r="GJ115" s="33"/>
      <c r="GK115" s="33"/>
      <c r="GL115" s="33"/>
      <c r="GM115" s="33"/>
      <c r="GN115" s="33"/>
      <c r="GO115" s="33"/>
      <c r="GP115" s="33"/>
      <c r="GQ115" s="33"/>
      <c r="GR115" s="33"/>
      <c r="GS115" s="33"/>
      <c r="GT115" s="33"/>
      <c r="GU115" s="33"/>
      <c r="GV115" s="33"/>
      <c r="GW115" s="33"/>
      <c r="GX115" s="33"/>
      <c r="GY115" s="33"/>
      <c r="GZ115" s="33"/>
      <c r="HA115" s="33"/>
      <c r="HB115" s="33"/>
      <c r="HC115" s="33"/>
      <c r="HD115" s="33"/>
      <c r="HE115" s="33"/>
      <c r="HF115" s="33"/>
      <c r="HG115" s="33"/>
      <c r="HH115" s="33"/>
      <c r="HI115" s="33"/>
      <c r="HJ115" s="33"/>
      <c r="HK115" s="33"/>
      <c r="HL115" s="33"/>
      <c r="HM115" s="33"/>
      <c r="HN115" s="33"/>
      <c r="HO115" s="33"/>
      <c r="HP115" s="33"/>
      <c r="HQ115" s="33"/>
      <c r="HR115" s="33"/>
      <c r="HS115" s="33"/>
      <c r="HT115" s="33"/>
      <c r="HU115" s="33"/>
      <c r="HV115" s="33"/>
      <c r="HW115" s="33"/>
      <c r="HX115" s="33"/>
      <c r="HY115" s="33"/>
      <c r="HZ115" s="33"/>
      <c r="IA115" s="33"/>
      <c r="IB115" s="33"/>
      <c r="IC115" s="33"/>
      <c r="ID115" s="33"/>
      <c r="IE115" s="33"/>
      <c r="IF115" s="33"/>
      <c r="IG115" s="33"/>
      <c r="IH115" s="33"/>
      <c r="II115" s="33"/>
      <c r="IJ115" s="33"/>
      <c r="IK115" s="33"/>
      <c r="IL115" s="33"/>
      <c r="IM115" s="33"/>
      <c r="IN115" s="33"/>
      <c r="IO115" s="33"/>
      <c r="IP115" s="33"/>
      <c r="IQ115" s="33"/>
      <c r="IR115" s="33"/>
      <c r="IS115" s="33"/>
      <c r="IT115" s="33"/>
      <c r="IU115" s="33"/>
      <c r="IV115" s="33"/>
      <c r="IW115" s="33"/>
      <c r="IX115" s="33"/>
      <c r="IY115" s="33"/>
      <c r="IZ115" s="33"/>
      <c r="JA115" s="33"/>
      <c r="JB115" s="33"/>
      <c r="JC115" s="33"/>
      <c r="JD115" s="33"/>
      <c r="JE115" s="33"/>
      <c r="JF115" s="33"/>
      <c r="JG115" s="33"/>
      <c r="JH115" s="33"/>
      <c r="JI115" s="33"/>
      <c r="JJ115" s="33"/>
      <c r="JK115" s="33"/>
      <c r="JL115" s="33"/>
      <c r="JM115" s="33"/>
      <c r="JN115" s="33"/>
      <c r="JO115" s="33"/>
      <c r="JP115" s="33"/>
      <c r="JQ115" s="33"/>
      <c r="JR115" s="33"/>
      <c r="JS115" s="33"/>
      <c r="JT115" s="33"/>
      <c r="JU115" s="33"/>
      <c r="JV115" s="33"/>
      <c r="JW115" s="33"/>
      <c r="JX115" s="33"/>
      <c r="JY115" s="33"/>
      <c r="JZ115" s="33"/>
      <c r="KA115" s="33"/>
      <c r="KB115" s="33"/>
      <c r="KC115" s="33"/>
      <c r="KD115" s="33"/>
      <c r="KE115" s="33"/>
      <c r="KF115" s="33"/>
      <c r="KG115" s="33"/>
      <c r="KH115" s="33"/>
      <c r="KI115" s="33"/>
      <c r="KJ115" s="33"/>
      <c r="KK115" s="33"/>
      <c r="KL115" s="33"/>
      <c r="KM115" s="33"/>
      <c r="KN115" s="33"/>
      <c r="KO115" s="33"/>
      <c r="KP115" s="33"/>
      <c r="KQ115" s="33"/>
      <c r="KR115" s="33"/>
      <c r="KS115" s="33"/>
      <c r="KT115" s="33"/>
      <c r="KU115" s="33"/>
      <c r="KV115" s="33"/>
      <c r="KW115" s="33"/>
      <c r="KX115" s="33"/>
      <c r="KY115" s="33"/>
      <c r="KZ115" s="33"/>
      <c r="LA115" s="33"/>
      <c r="LB115" s="33"/>
      <c r="LC115" s="33"/>
      <c r="LD115" s="33"/>
      <c r="LE115" s="33"/>
      <c r="LF115" s="33"/>
      <c r="LG115" s="33"/>
      <c r="LH115" s="33"/>
      <c r="LI115" s="33"/>
      <c r="LJ115" s="33"/>
      <c r="LK115" s="33"/>
      <c r="LL115" s="33"/>
      <c r="LM115" s="33"/>
      <c r="LN115" s="33"/>
      <c r="LO115" s="33"/>
      <c r="LP115" s="33"/>
      <c r="LQ115" s="33"/>
      <c r="LR115" s="33"/>
      <c r="LS115" s="33"/>
      <c r="LT115" s="33"/>
      <c r="LU115" s="33"/>
      <c r="LV115" s="33"/>
      <c r="LW115" s="33"/>
      <c r="LX115" s="33"/>
      <c r="LY115" s="33"/>
      <c r="LZ115" s="33"/>
      <c r="MA115" s="33"/>
      <c r="MB115" s="33"/>
      <c r="MC115" s="33"/>
      <c r="MD115" s="33"/>
      <c r="ME115" s="33"/>
      <c r="MF115" s="33">
        <v>4</v>
      </c>
      <c r="MG115" s="33"/>
      <c r="MH115" s="33"/>
      <c r="MI115" s="33"/>
      <c r="MJ115" s="33"/>
      <c r="MK115" s="33"/>
      <c r="ML115" s="33"/>
      <c r="MM115" s="33">
        <v>4</v>
      </c>
      <c r="MN115" s="33"/>
      <c r="MO115" s="33"/>
      <c r="MP115" s="33"/>
      <c r="MQ115" s="33"/>
      <c r="MR115" s="33"/>
      <c r="MS115" s="33"/>
      <c r="MT115" s="33">
        <v>4</v>
      </c>
      <c r="MU115" s="33"/>
      <c r="MV115" s="33"/>
      <c r="MW115" s="33"/>
      <c r="MX115" s="33"/>
      <c r="MY115" s="33"/>
      <c r="MZ115" s="33"/>
      <c r="NA115" s="33">
        <v>4</v>
      </c>
      <c r="NB115" s="33"/>
      <c r="NC115" s="33"/>
      <c r="ND115" s="33"/>
      <c r="NE115" s="33"/>
      <c r="NF115" s="33"/>
      <c r="NG115" s="33"/>
      <c r="NH115" s="33"/>
      <c r="NI115" s="33"/>
      <c r="NJ115" s="33"/>
      <c r="NK115" s="33"/>
      <c r="NL115" s="34"/>
    </row>
    <row r="116" spans="1:376" x14ac:dyDescent="0.15">
      <c r="A116" s="35">
        <v>52</v>
      </c>
      <c r="B116" s="36" t="str">
        <f>B115</f>
        <v>FT</v>
      </c>
      <c r="C116" s="36" t="str">
        <f>C115</f>
        <v>機能評価実施</v>
      </c>
      <c r="D116" s="37" t="str">
        <f>D115</f>
        <v>長田</v>
      </c>
      <c r="E116" s="53" t="s">
        <v>0</v>
      </c>
      <c r="F116" s="54"/>
      <c r="G116" s="54"/>
      <c r="H116" s="55">
        <f t="shared" si="235"/>
        <v>0</v>
      </c>
      <c r="I116" s="56">
        <f t="shared" ref="I116" si="241">IF(OR(H115="",H116=""),"",H116-H115)</f>
        <v>-16</v>
      </c>
      <c r="J116" s="65"/>
      <c r="K116" s="66"/>
      <c r="L116" s="66"/>
      <c r="M116" s="66"/>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7"/>
      <c r="AQ116" s="67"/>
      <c r="AR116" s="67"/>
      <c r="AS116" s="67"/>
      <c r="AT116" s="67"/>
      <c r="AU116" s="67"/>
      <c r="AV116" s="67"/>
      <c r="AW116" s="67"/>
      <c r="AX116" s="67"/>
      <c r="AY116" s="67"/>
      <c r="AZ116" s="67"/>
      <c r="BA116" s="67"/>
      <c r="BB116" s="67"/>
      <c r="BC116" s="67"/>
      <c r="BD116" s="67"/>
      <c r="BE116" s="67"/>
      <c r="BF116" s="67"/>
      <c r="BG116" s="67"/>
      <c r="BH116" s="67"/>
      <c r="BI116" s="67"/>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c r="DK116" s="67"/>
      <c r="DL116" s="67"/>
      <c r="DM116" s="67"/>
      <c r="DN116" s="67"/>
      <c r="DO116" s="67"/>
      <c r="DP116" s="67"/>
      <c r="DQ116" s="67"/>
      <c r="DR116" s="67"/>
      <c r="DS116" s="67"/>
      <c r="DT116" s="67"/>
      <c r="DU116" s="67"/>
      <c r="DV116" s="67"/>
      <c r="DW116" s="67"/>
      <c r="DX116" s="67"/>
      <c r="DY116" s="67"/>
      <c r="DZ116" s="67"/>
      <c r="EA116" s="67"/>
      <c r="EB116" s="67"/>
      <c r="EC116" s="67"/>
      <c r="ED116" s="67"/>
      <c r="EE116" s="67"/>
      <c r="EF116" s="67"/>
      <c r="EG116" s="67"/>
      <c r="EH116" s="67"/>
      <c r="EI116" s="67"/>
      <c r="EJ116" s="67"/>
      <c r="EK116" s="67"/>
      <c r="EL116" s="67"/>
      <c r="EM116" s="67"/>
      <c r="EN116" s="67"/>
      <c r="EO116" s="67"/>
      <c r="EP116" s="67"/>
      <c r="EQ116" s="67"/>
      <c r="ER116" s="67"/>
      <c r="ES116" s="67"/>
      <c r="ET116" s="67"/>
      <c r="EU116" s="67"/>
      <c r="EV116" s="67"/>
      <c r="EW116" s="67"/>
      <c r="EX116" s="67"/>
      <c r="EY116" s="67"/>
      <c r="EZ116" s="67"/>
      <c r="FA116" s="67"/>
      <c r="FB116" s="67"/>
      <c r="FC116" s="67"/>
      <c r="FD116" s="67"/>
      <c r="FE116" s="67"/>
      <c r="FF116" s="67"/>
      <c r="FG116" s="67"/>
      <c r="FH116" s="67"/>
      <c r="FI116" s="67"/>
      <c r="FJ116" s="67"/>
      <c r="FK116" s="67"/>
      <c r="FL116" s="67"/>
      <c r="FM116" s="67"/>
      <c r="FN116" s="67"/>
      <c r="FO116" s="67"/>
      <c r="FP116" s="67"/>
      <c r="FQ116" s="67"/>
      <c r="FR116" s="67"/>
      <c r="FS116" s="67"/>
      <c r="FT116" s="67"/>
      <c r="FU116" s="67"/>
      <c r="FV116" s="67"/>
      <c r="FW116" s="67"/>
      <c r="FX116" s="67"/>
      <c r="FY116" s="67"/>
      <c r="FZ116" s="67"/>
      <c r="GA116" s="67"/>
      <c r="GB116" s="67"/>
      <c r="GC116" s="67"/>
      <c r="GD116" s="67"/>
      <c r="GE116" s="67"/>
      <c r="GF116" s="67"/>
      <c r="GG116" s="67"/>
      <c r="GH116" s="67"/>
      <c r="GI116" s="67"/>
      <c r="GJ116" s="67"/>
      <c r="GK116" s="67"/>
      <c r="GL116" s="67"/>
      <c r="GM116" s="67"/>
      <c r="GN116" s="67"/>
      <c r="GO116" s="67"/>
      <c r="GP116" s="67"/>
      <c r="GQ116" s="67"/>
      <c r="GR116" s="67"/>
      <c r="GS116" s="67"/>
      <c r="GT116" s="67"/>
      <c r="GU116" s="67"/>
      <c r="GV116" s="67"/>
      <c r="GW116" s="67"/>
      <c r="GX116" s="67"/>
      <c r="GY116" s="67"/>
      <c r="GZ116" s="67"/>
      <c r="HA116" s="67"/>
      <c r="HB116" s="67"/>
      <c r="HC116" s="67"/>
      <c r="HD116" s="67"/>
      <c r="HE116" s="67"/>
      <c r="HF116" s="67"/>
      <c r="HG116" s="67"/>
      <c r="HH116" s="67"/>
      <c r="HI116" s="67"/>
      <c r="HJ116" s="67"/>
      <c r="HK116" s="67"/>
      <c r="HL116" s="67"/>
      <c r="HM116" s="67"/>
      <c r="HN116" s="67"/>
      <c r="HO116" s="67"/>
      <c r="HP116" s="67"/>
      <c r="HQ116" s="67"/>
      <c r="HR116" s="67"/>
      <c r="HS116" s="67"/>
      <c r="HT116" s="67"/>
      <c r="HU116" s="67"/>
      <c r="HV116" s="67"/>
      <c r="HW116" s="67"/>
      <c r="HX116" s="67"/>
      <c r="HY116" s="67"/>
      <c r="HZ116" s="67"/>
      <c r="IA116" s="67"/>
      <c r="IB116" s="67"/>
      <c r="IC116" s="67"/>
      <c r="ID116" s="67"/>
      <c r="IE116" s="67"/>
      <c r="IF116" s="67"/>
      <c r="IG116" s="67"/>
      <c r="IH116" s="67"/>
      <c r="II116" s="67"/>
      <c r="IJ116" s="67"/>
      <c r="IK116" s="67"/>
      <c r="IL116" s="67"/>
      <c r="IM116" s="67"/>
      <c r="IN116" s="67"/>
      <c r="IO116" s="67"/>
      <c r="IP116" s="67"/>
      <c r="IQ116" s="67"/>
      <c r="IR116" s="67"/>
      <c r="IS116" s="67"/>
      <c r="IT116" s="67"/>
      <c r="IU116" s="67"/>
      <c r="IV116" s="67"/>
      <c r="IW116" s="67"/>
      <c r="IX116" s="67"/>
      <c r="IY116" s="67"/>
      <c r="IZ116" s="67"/>
      <c r="JA116" s="67"/>
      <c r="JB116" s="67"/>
      <c r="JC116" s="67"/>
      <c r="JD116" s="67"/>
      <c r="JE116" s="67"/>
      <c r="JF116" s="67"/>
      <c r="JG116" s="67"/>
      <c r="JH116" s="67"/>
      <c r="JI116" s="67"/>
      <c r="JJ116" s="67"/>
      <c r="JK116" s="67"/>
      <c r="JL116" s="67"/>
      <c r="JM116" s="67"/>
      <c r="JN116" s="67"/>
      <c r="JO116" s="67"/>
      <c r="JP116" s="67"/>
      <c r="JQ116" s="67"/>
      <c r="JR116" s="67"/>
      <c r="JS116" s="67"/>
      <c r="JT116" s="67"/>
      <c r="JU116" s="67"/>
      <c r="JV116" s="67"/>
      <c r="JW116" s="67"/>
      <c r="JX116" s="67"/>
      <c r="JY116" s="67"/>
      <c r="JZ116" s="67"/>
      <c r="KA116" s="67"/>
      <c r="KB116" s="67"/>
      <c r="KC116" s="67"/>
      <c r="KD116" s="67"/>
      <c r="KE116" s="67"/>
      <c r="KF116" s="67"/>
      <c r="KG116" s="67"/>
      <c r="KH116" s="67"/>
      <c r="KI116" s="67"/>
      <c r="KJ116" s="67"/>
      <c r="KK116" s="67"/>
      <c r="KL116" s="67"/>
      <c r="KM116" s="67"/>
      <c r="KN116" s="67"/>
      <c r="KO116" s="67"/>
      <c r="KP116" s="67"/>
      <c r="KQ116" s="67"/>
      <c r="KR116" s="67"/>
      <c r="KS116" s="67"/>
      <c r="KT116" s="67"/>
      <c r="KU116" s="67"/>
      <c r="KV116" s="67"/>
      <c r="KW116" s="67"/>
      <c r="KX116" s="67"/>
      <c r="KY116" s="67"/>
      <c r="KZ116" s="67"/>
      <c r="LA116" s="67"/>
      <c r="LB116" s="67"/>
      <c r="LC116" s="67"/>
      <c r="LD116" s="67"/>
      <c r="LE116" s="67"/>
      <c r="LF116" s="67"/>
      <c r="LG116" s="67"/>
      <c r="LH116" s="67"/>
      <c r="LI116" s="67"/>
      <c r="LJ116" s="67"/>
      <c r="LK116" s="67"/>
      <c r="LL116" s="67"/>
      <c r="LM116" s="67"/>
      <c r="LN116" s="67"/>
      <c r="LO116" s="67"/>
      <c r="LP116" s="67"/>
      <c r="LQ116" s="67"/>
      <c r="LR116" s="67"/>
      <c r="LS116" s="67"/>
      <c r="LT116" s="67"/>
      <c r="LU116" s="67"/>
      <c r="LV116" s="67"/>
      <c r="LW116" s="67"/>
      <c r="LX116" s="67"/>
      <c r="LY116" s="67"/>
      <c r="LZ116" s="67"/>
      <c r="MA116" s="67"/>
      <c r="MB116" s="67"/>
      <c r="MC116" s="67"/>
      <c r="MD116" s="67"/>
      <c r="ME116" s="67"/>
      <c r="MF116" s="67"/>
      <c r="MG116" s="67"/>
      <c r="MH116" s="67"/>
      <c r="MI116" s="67"/>
      <c r="MJ116" s="67"/>
      <c r="MK116" s="67"/>
      <c r="ML116" s="67"/>
      <c r="MM116" s="67"/>
      <c r="MN116" s="67"/>
      <c r="MO116" s="67"/>
      <c r="MP116" s="67"/>
      <c r="MQ116" s="67"/>
      <c r="MR116" s="67"/>
      <c r="MS116" s="67"/>
      <c r="MT116" s="67"/>
      <c r="MU116" s="67"/>
      <c r="MV116" s="67"/>
      <c r="MW116" s="67"/>
      <c r="MX116" s="67"/>
      <c r="MY116" s="67"/>
      <c r="MZ116" s="67"/>
      <c r="NA116" s="67"/>
      <c r="NB116" s="67"/>
      <c r="NC116" s="67"/>
      <c r="ND116" s="67"/>
      <c r="NE116" s="67"/>
      <c r="NF116" s="67"/>
      <c r="NG116" s="67"/>
      <c r="NH116" s="67"/>
      <c r="NI116" s="67"/>
      <c r="NJ116" s="67"/>
      <c r="NK116" s="67"/>
      <c r="NL116" s="68"/>
    </row>
    <row r="117" spans="1:376" x14ac:dyDescent="0.15">
      <c r="A117" s="23">
        <v>53</v>
      </c>
      <c r="B117" s="24"/>
      <c r="C117" s="45"/>
      <c r="D117" s="26"/>
      <c r="E117" s="27" t="s">
        <v>13</v>
      </c>
      <c r="F117" s="28"/>
      <c r="G117" s="28"/>
      <c r="H117" s="29"/>
      <c r="I117" s="30"/>
      <c r="J117" s="31"/>
      <c r="K117" s="32"/>
      <c r="L117" s="32"/>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3"/>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33"/>
      <c r="BT117" s="33"/>
      <c r="BU117" s="33"/>
      <c r="BV117" s="33"/>
      <c r="BW117" s="33"/>
      <c r="BX117" s="33"/>
      <c r="BY117" s="33"/>
      <c r="BZ117" s="33"/>
      <c r="CA117" s="33"/>
      <c r="CB117" s="33"/>
      <c r="CC117" s="33"/>
      <c r="CD117" s="33"/>
      <c r="CE117" s="33"/>
      <c r="CF117" s="33"/>
      <c r="CG117" s="33"/>
      <c r="CH117" s="33"/>
      <c r="CI117" s="33"/>
      <c r="CJ117" s="33"/>
      <c r="CK117" s="33"/>
      <c r="CL117" s="33"/>
      <c r="CM117" s="33"/>
      <c r="CN117" s="33"/>
      <c r="CO117" s="33"/>
      <c r="CP117" s="33"/>
      <c r="CQ117" s="33"/>
      <c r="CR117" s="33"/>
      <c r="CS117" s="33"/>
      <c r="CT117" s="33"/>
      <c r="CU117" s="33"/>
      <c r="CV117" s="33"/>
      <c r="CW117" s="33"/>
      <c r="CX117" s="33"/>
      <c r="CY117" s="33"/>
      <c r="CZ117" s="33"/>
      <c r="DA117" s="33"/>
      <c r="DB117" s="33"/>
      <c r="DC117" s="33"/>
      <c r="DD117" s="33"/>
      <c r="DE117" s="33"/>
      <c r="DF117" s="33"/>
      <c r="DG117" s="33"/>
      <c r="DH117" s="33"/>
      <c r="DI117" s="33"/>
      <c r="DJ117" s="33"/>
      <c r="DK117" s="33"/>
      <c r="DL117" s="33"/>
      <c r="DM117" s="33"/>
      <c r="DN117" s="33"/>
      <c r="DO117" s="33"/>
      <c r="DP117" s="33"/>
      <c r="DQ117" s="33"/>
      <c r="DR117" s="33"/>
      <c r="DS117" s="33"/>
      <c r="DT117" s="33"/>
      <c r="DU117" s="33"/>
      <c r="DV117" s="33"/>
      <c r="DW117" s="33"/>
      <c r="DX117" s="33"/>
      <c r="DY117" s="33"/>
      <c r="DZ117" s="33"/>
      <c r="EA117" s="33"/>
      <c r="EB117" s="33"/>
      <c r="EC117" s="33"/>
      <c r="ED117" s="33"/>
      <c r="EE117" s="33"/>
      <c r="EF117" s="33"/>
      <c r="EG117" s="33"/>
      <c r="EH117" s="33"/>
      <c r="EI117" s="33"/>
      <c r="EJ117" s="33"/>
      <c r="EK117" s="33"/>
      <c r="EL117" s="33"/>
      <c r="EM117" s="33"/>
      <c r="EN117" s="33"/>
      <c r="EO117" s="33"/>
      <c r="EP117" s="33"/>
      <c r="EQ117" s="33"/>
      <c r="ER117" s="33"/>
      <c r="ES117" s="33"/>
      <c r="ET117" s="33"/>
      <c r="EU117" s="33"/>
      <c r="EV117" s="33"/>
      <c r="EW117" s="33"/>
      <c r="EX117" s="33"/>
      <c r="EY117" s="33"/>
      <c r="EZ117" s="33"/>
      <c r="FA117" s="33"/>
      <c r="FB117" s="33"/>
      <c r="FC117" s="33"/>
      <c r="FD117" s="33"/>
      <c r="FE117" s="33"/>
      <c r="FF117" s="33"/>
      <c r="FG117" s="33"/>
      <c r="FH117" s="33"/>
      <c r="FI117" s="33"/>
      <c r="FJ117" s="33"/>
      <c r="FK117" s="33"/>
      <c r="FL117" s="33"/>
      <c r="FM117" s="33"/>
      <c r="FN117" s="33"/>
      <c r="FO117" s="33"/>
      <c r="FP117" s="33"/>
      <c r="FQ117" s="33"/>
      <c r="FR117" s="33"/>
      <c r="FS117" s="33"/>
      <c r="FT117" s="33"/>
      <c r="FU117" s="33"/>
      <c r="FV117" s="33"/>
      <c r="FW117" s="33"/>
      <c r="FX117" s="33"/>
      <c r="FY117" s="33"/>
      <c r="FZ117" s="33"/>
      <c r="GA117" s="33"/>
      <c r="GB117" s="33"/>
      <c r="GC117" s="33"/>
      <c r="GD117" s="33"/>
      <c r="GE117" s="33"/>
      <c r="GF117" s="33"/>
      <c r="GG117" s="33"/>
      <c r="GH117" s="33"/>
      <c r="GI117" s="33"/>
      <c r="GJ117" s="33"/>
      <c r="GK117" s="33"/>
      <c r="GL117" s="33"/>
      <c r="GM117" s="33"/>
      <c r="GN117" s="33"/>
      <c r="GO117" s="33"/>
      <c r="GP117" s="33"/>
      <c r="GQ117" s="33"/>
      <c r="GR117" s="33"/>
      <c r="GS117" s="33"/>
      <c r="GT117" s="33"/>
      <c r="GU117" s="33"/>
      <c r="GV117" s="33"/>
      <c r="GW117" s="33"/>
      <c r="GX117" s="33"/>
      <c r="GY117" s="33"/>
      <c r="GZ117" s="33"/>
      <c r="HA117" s="33"/>
      <c r="HB117" s="33"/>
      <c r="HC117" s="33"/>
      <c r="HD117" s="33"/>
      <c r="HE117" s="33"/>
      <c r="HF117" s="33"/>
      <c r="HG117" s="33"/>
      <c r="HH117" s="33"/>
      <c r="HI117" s="33"/>
      <c r="HJ117" s="33"/>
      <c r="HK117" s="33"/>
      <c r="HL117" s="33"/>
      <c r="HM117" s="33"/>
      <c r="HN117" s="33"/>
      <c r="HO117" s="33"/>
      <c r="HP117" s="33"/>
      <c r="HQ117" s="33"/>
      <c r="HR117" s="33"/>
      <c r="HS117" s="33"/>
      <c r="HT117" s="33"/>
      <c r="HU117" s="33"/>
      <c r="HV117" s="33"/>
      <c r="HW117" s="33"/>
      <c r="HX117" s="33"/>
      <c r="HY117" s="33"/>
      <c r="HZ117" s="33"/>
      <c r="IA117" s="33"/>
      <c r="IB117" s="33"/>
      <c r="IC117" s="33"/>
      <c r="ID117" s="33"/>
      <c r="IE117" s="33"/>
      <c r="IF117" s="33"/>
      <c r="IG117" s="33"/>
      <c r="IH117" s="33"/>
      <c r="II117" s="33"/>
      <c r="IJ117" s="33"/>
      <c r="IK117" s="33"/>
      <c r="IL117" s="33"/>
      <c r="IM117" s="33"/>
      <c r="IN117" s="33"/>
      <c r="IO117" s="33"/>
      <c r="IP117" s="33"/>
      <c r="IQ117" s="33"/>
      <c r="IR117" s="33"/>
      <c r="IS117" s="33"/>
      <c r="IT117" s="33"/>
      <c r="IU117" s="33"/>
      <c r="IV117" s="33"/>
      <c r="IW117" s="33"/>
      <c r="IX117" s="33"/>
      <c r="IY117" s="33"/>
      <c r="IZ117" s="33"/>
      <c r="JA117" s="33"/>
      <c r="JB117" s="33"/>
      <c r="JC117" s="33"/>
      <c r="JD117" s="33"/>
      <c r="JE117" s="33"/>
      <c r="JF117" s="33"/>
      <c r="JG117" s="33"/>
      <c r="JH117" s="33"/>
      <c r="JI117" s="33"/>
      <c r="JJ117" s="33"/>
      <c r="JK117" s="33"/>
      <c r="JL117" s="33"/>
      <c r="JM117" s="33"/>
      <c r="JN117" s="33"/>
      <c r="JO117" s="33"/>
      <c r="JP117" s="33"/>
      <c r="JQ117" s="33"/>
      <c r="JR117" s="33"/>
      <c r="JS117" s="33"/>
      <c r="JT117" s="33"/>
      <c r="JU117" s="33"/>
      <c r="JV117" s="33"/>
      <c r="JW117" s="33"/>
      <c r="JX117" s="33"/>
      <c r="JY117" s="33"/>
      <c r="JZ117" s="33"/>
      <c r="KA117" s="33"/>
      <c r="KB117" s="33"/>
      <c r="KC117" s="33"/>
      <c r="KD117" s="33"/>
      <c r="KE117" s="33"/>
      <c r="KF117" s="33"/>
      <c r="KG117" s="33"/>
      <c r="KH117" s="33"/>
      <c r="KI117" s="33"/>
      <c r="KJ117" s="33"/>
      <c r="KK117" s="33"/>
      <c r="KL117" s="33"/>
      <c r="KM117" s="33"/>
      <c r="KN117" s="33"/>
      <c r="KO117" s="33"/>
      <c r="KP117" s="33"/>
      <c r="KQ117" s="33"/>
      <c r="KR117" s="33"/>
      <c r="KS117" s="33"/>
      <c r="KT117" s="33"/>
      <c r="KU117" s="33"/>
      <c r="KV117" s="33"/>
      <c r="KW117" s="33"/>
      <c r="KX117" s="33"/>
      <c r="KY117" s="33"/>
      <c r="KZ117" s="33"/>
      <c r="LA117" s="33"/>
      <c r="LB117" s="33"/>
      <c r="LC117" s="33"/>
      <c r="LD117" s="33"/>
      <c r="LE117" s="33"/>
      <c r="LF117" s="33"/>
      <c r="LG117" s="33"/>
      <c r="LH117" s="33"/>
      <c r="LI117" s="33"/>
      <c r="LJ117" s="33"/>
      <c r="LK117" s="33"/>
      <c r="LL117" s="33"/>
      <c r="LM117" s="33"/>
      <c r="LN117" s="33"/>
      <c r="LO117" s="33"/>
      <c r="LP117" s="33"/>
      <c r="LQ117" s="33"/>
      <c r="LR117" s="33"/>
      <c r="LS117" s="33"/>
      <c r="LT117" s="33"/>
      <c r="LU117" s="33"/>
      <c r="LV117" s="33"/>
      <c r="LW117" s="33"/>
      <c r="LX117" s="33"/>
      <c r="LY117" s="33"/>
      <c r="LZ117" s="33"/>
      <c r="MA117" s="33"/>
      <c r="MB117" s="33"/>
      <c r="MC117" s="33"/>
      <c r="MD117" s="33"/>
      <c r="ME117" s="33"/>
      <c r="MF117" s="33"/>
      <c r="MG117" s="33"/>
      <c r="MH117" s="33"/>
      <c r="MI117" s="33"/>
      <c r="MJ117" s="33"/>
      <c r="MK117" s="33"/>
      <c r="ML117" s="33"/>
      <c r="MM117" s="33"/>
      <c r="MN117" s="33"/>
      <c r="MO117" s="33"/>
      <c r="MP117" s="33"/>
      <c r="MQ117" s="33"/>
      <c r="MR117" s="33"/>
      <c r="MS117" s="33"/>
      <c r="MT117" s="33"/>
      <c r="MU117" s="33"/>
      <c r="MV117" s="33"/>
      <c r="MW117" s="33"/>
      <c r="MX117" s="33"/>
      <c r="MY117" s="33"/>
      <c r="MZ117" s="33"/>
      <c r="NA117" s="33"/>
      <c r="NB117" s="33"/>
      <c r="NC117" s="33"/>
      <c r="ND117" s="33"/>
      <c r="NE117" s="33"/>
      <c r="NF117" s="33"/>
      <c r="NG117" s="33"/>
      <c r="NH117" s="33"/>
      <c r="NI117" s="33"/>
      <c r="NJ117" s="33"/>
      <c r="NK117" s="33"/>
      <c r="NL117" s="34"/>
    </row>
    <row r="118" spans="1:376" x14ac:dyDescent="0.15">
      <c r="A118" s="35">
        <v>53</v>
      </c>
      <c r="B118" s="36">
        <f>B117</f>
        <v>0</v>
      </c>
      <c r="C118" s="36">
        <f>C117</f>
        <v>0</v>
      </c>
      <c r="D118" s="37">
        <f>D117</f>
        <v>0</v>
      </c>
      <c r="E118" s="61" t="s">
        <v>0</v>
      </c>
      <c r="F118" s="62"/>
      <c r="G118" s="62"/>
      <c r="H118" s="63"/>
      <c r="I118" s="64" t="str">
        <f>IF(OR(H117="",H118=""),"",H118-H117)</f>
        <v/>
      </c>
      <c r="J118" s="65"/>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7"/>
      <c r="AQ118" s="67"/>
      <c r="AR118" s="67"/>
      <c r="AS118" s="67"/>
      <c r="AT118" s="67"/>
      <c r="AU118" s="67"/>
      <c r="AV118" s="67"/>
      <c r="AW118" s="67"/>
      <c r="AX118" s="67"/>
      <c r="AY118" s="67"/>
      <c r="AZ118" s="67"/>
      <c r="BA118" s="67"/>
      <c r="BB118" s="67"/>
      <c r="BC118" s="67"/>
      <c r="BD118" s="67"/>
      <c r="BE118" s="67"/>
      <c r="BF118" s="67"/>
      <c r="BG118" s="67"/>
      <c r="BH118" s="67"/>
      <c r="BI118" s="67"/>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c r="DK118" s="67"/>
      <c r="DL118" s="67"/>
      <c r="DM118" s="67"/>
      <c r="DN118" s="67"/>
      <c r="DO118" s="67"/>
      <c r="DP118" s="67"/>
      <c r="DQ118" s="67"/>
      <c r="DR118" s="67"/>
      <c r="DS118" s="67"/>
      <c r="DT118" s="67"/>
      <c r="DU118" s="67"/>
      <c r="DV118" s="67"/>
      <c r="DW118" s="67"/>
      <c r="DX118" s="67"/>
      <c r="DY118" s="67"/>
      <c r="DZ118" s="67"/>
      <c r="EA118" s="67"/>
      <c r="EB118" s="67"/>
      <c r="EC118" s="67"/>
      <c r="ED118" s="67"/>
      <c r="EE118" s="67"/>
      <c r="EF118" s="67"/>
      <c r="EG118" s="67"/>
      <c r="EH118" s="67"/>
      <c r="EI118" s="67"/>
      <c r="EJ118" s="67"/>
      <c r="EK118" s="67"/>
      <c r="EL118" s="67"/>
      <c r="EM118" s="67"/>
      <c r="EN118" s="67"/>
      <c r="EO118" s="67"/>
      <c r="EP118" s="67"/>
      <c r="EQ118" s="67"/>
      <c r="ER118" s="67"/>
      <c r="ES118" s="67"/>
      <c r="ET118" s="67"/>
      <c r="EU118" s="67"/>
      <c r="EV118" s="67"/>
      <c r="EW118" s="67"/>
      <c r="EX118" s="67"/>
      <c r="EY118" s="67"/>
      <c r="EZ118" s="67"/>
      <c r="FA118" s="67"/>
      <c r="FB118" s="67"/>
      <c r="FC118" s="67"/>
      <c r="FD118" s="67"/>
      <c r="FE118" s="67"/>
      <c r="FF118" s="67"/>
      <c r="FG118" s="67"/>
      <c r="FH118" s="67"/>
      <c r="FI118" s="67"/>
      <c r="FJ118" s="67"/>
      <c r="FK118" s="67"/>
      <c r="FL118" s="67"/>
      <c r="FM118" s="67"/>
      <c r="FN118" s="67"/>
      <c r="FO118" s="67"/>
      <c r="FP118" s="67"/>
      <c r="FQ118" s="67"/>
      <c r="FR118" s="67"/>
      <c r="FS118" s="67"/>
      <c r="FT118" s="67"/>
      <c r="FU118" s="67"/>
      <c r="FV118" s="67"/>
      <c r="FW118" s="67"/>
      <c r="FX118" s="67"/>
      <c r="FY118" s="67"/>
      <c r="FZ118" s="67"/>
      <c r="GA118" s="67"/>
      <c r="GB118" s="67"/>
      <c r="GC118" s="67"/>
      <c r="GD118" s="67"/>
      <c r="GE118" s="67"/>
      <c r="GF118" s="67"/>
      <c r="GG118" s="67"/>
      <c r="GH118" s="67"/>
      <c r="GI118" s="67"/>
      <c r="GJ118" s="67"/>
      <c r="GK118" s="67"/>
      <c r="GL118" s="67"/>
      <c r="GM118" s="67"/>
      <c r="GN118" s="67"/>
      <c r="GO118" s="67"/>
      <c r="GP118" s="67"/>
      <c r="GQ118" s="67"/>
      <c r="GR118" s="67"/>
      <c r="GS118" s="67"/>
      <c r="GT118" s="67"/>
      <c r="GU118" s="67"/>
      <c r="GV118" s="67"/>
      <c r="GW118" s="67"/>
      <c r="GX118" s="67"/>
      <c r="GY118" s="67"/>
      <c r="GZ118" s="67"/>
      <c r="HA118" s="67"/>
      <c r="HB118" s="67"/>
      <c r="HC118" s="67"/>
      <c r="HD118" s="67"/>
      <c r="HE118" s="67"/>
      <c r="HF118" s="67"/>
      <c r="HG118" s="67"/>
      <c r="HH118" s="67"/>
      <c r="HI118" s="67"/>
      <c r="HJ118" s="67"/>
      <c r="HK118" s="67"/>
      <c r="HL118" s="67"/>
      <c r="HM118" s="67"/>
      <c r="HN118" s="67"/>
      <c r="HO118" s="67"/>
      <c r="HP118" s="67"/>
      <c r="HQ118" s="67"/>
      <c r="HR118" s="67"/>
      <c r="HS118" s="67"/>
      <c r="HT118" s="67"/>
      <c r="HU118" s="67"/>
      <c r="HV118" s="67"/>
      <c r="HW118" s="67"/>
      <c r="HX118" s="67"/>
      <c r="HY118" s="67"/>
      <c r="HZ118" s="67"/>
      <c r="IA118" s="67"/>
      <c r="IB118" s="67"/>
      <c r="IC118" s="67"/>
      <c r="ID118" s="67"/>
      <c r="IE118" s="67"/>
      <c r="IF118" s="67"/>
      <c r="IG118" s="67"/>
      <c r="IH118" s="67"/>
      <c r="II118" s="67"/>
      <c r="IJ118" s="67"/>
      <c r="IK118" s="67"/>
      <c r="IL118" s="67"/>
      <c r="IM118" s="67"/>
      <c r="IN118" s="67"/>
      <c r="IO118" s="67"/>
      <c r="IP118" s="67"/>
      <c r="IQ118" s="67"/>
      <c r="IR118" s="67"/>
      <c r="IS118" s="67"/>
      <c r="IT118" s="67"/>
      <c r="IU118" s="67"/>
      <c r="IV118" s="67"/>
      <c r="IW118" s="67"/>
      <c r="IX118" s="67"/>
      <c r="IY118" s="67"/>
      <c r="IZ118" s="67"/>
      <c r="JA118" s="67"/>
      <c r="JB118" s="67"/>
      <c r="JC118" s="67"/>
      <c r="JD118" s="67"/>
      <c r="JE118" s="67"/>
      <c r="JF118" s="67"/>
      <c r="JG118" s="67"/>
      <c r="JH118" s="67"/>
      <c r="JI118" s="67"/>
      <c r="JJ118" s="67"/>
      <c r="JK118" s="67"/>
      <c r="JL118" s="67"/>
      <c r="JM118" s="67"/>
      <c r="JN118" s="67"/>
      <c r="JO118" s="67"/>
      <c r="JP118" s="67"/>
      <c r="JQ118" s="67"/>
      <c r="JR118" s="67"/>
      <c r="JS118" s="67"/>
      <c r="JT118" s="67"/>
      <c r="JU118" s="67"/>
      <c r="JV118" s="67"/>
      <c r="JW118" s="67"/>
      <c r="JX118" s="67"/>
      <c r="JY118" s="67"/>
      <c r="JZ118" s="67"/>
      <c r="KA118" s="67"/>
      <c r="KB118" s="67"/>
      <c r="KC118" s="67"/>
      <c r="KD118" s="67"/>
      <c r="KE118" s="67"/>
      <c r="KF118" s="67"/>
      <c r="KG118" s="67"/>
      <c r="KH118" s="67"/>
      <c r="KI118" s="67"/>
      <c r="KJ118" s="67"/>
      <c r="KK118" s="67"/>
      <c r="KL118" s="67"/>
      <c r="KM118" s="67"/>
      <c r="KN118" s="67"/>
      <c r="KO118" s="67"/>
      <c r="KP118" s="67"/>
      <c r="KQ118" s="67"/>
      <c r="KR118" s="67"/>
      <c r="KS118" s="67"/>
      <c r="KT118" s="67"/>
      <c r="KU118" s="67"/>
      <c r="KV118" s="67"/>
      <c r="KW118" s="67"/>
      <c r="KX118" s="67"/>
      <c r="KY118" s="67"/>
      <c r="KZ118" s="67"/>
      <c r="LA118" s="67"/>
      <c r="LB118" s="67"/>
      <c r="LC118" s="67"/>
      <c r="LD118" s="67"/>
      <c r="LE118" s="67"/>
      <c r="LF118" s="67"/>
      <c r="LG118" s="67"/>
      <c r="LH118" s="67"/>
      <c r="LI118" s="67"/>
      <c r="LJ118" s="67"/>
      <c r="LK118" s="67"/>
      <c r="LL118" s="67"/>
      <c r="LM118" s="67"/>
      <c r="LN118" s="67"/>
      <c r="LO118" s="67"/>
      <c r="LP118" s="67"/>
      <c r="LQ118" s="67"/>
      <c r="LR118" s="67"/>
      <c r="LS118" s="67"/>
      <c r="LT118" s="67"/>
      <c r="LU118" s="67"/>
      <c r="LV118" s="67"/>
      <c r="LW118" s="67"/>
      <c r="LX118" s="67"/>
      <c r="LY118" s="67"/>
      <c r="LZ118" s="67"/>
      <c r="MA118" s="67"/>
      <c r="MB118" s="67"/>
      <c r="MC118" s="67"/>
      <c r="MD118" s="67"/>
      <c r="ME118" s="67"/>
      <c r="MF118" s="67"/>
      <c r="MG118" s="67"/>
      <c r="MH118" s="67"/>
      <c r="MI118" s="67"/>
      <c r="MJ118" s="67"/>
      <c r="MK118" s="67"/>
      <c r="ML118" s="67"/>
      <c r="MM118" s="67"/>
      <c r="MN118" s="67"/>
      <c r="MO118" s="67"/>
      <c r="MP118" s="67"/>
      <c r="MQ118" s="67"/>
      <c r="MR118" s="67"/>
      <c r="MS118" s="67"/>
      <c r="MT118" s="67"/>
      <c r="MU118" s="67"/>
      <c r="MV118" s="67"/>
      <c r="MW118" s="67"/>
      <c r="MX118" s="67"/>
      <c r="MY118" s="67"/>
      <c r="MZ118" s="67"/>
      <c r="NA118" s="67"/>
      <c r="NB118" s="67"/>
      <c r="NC118" s="67"/>
      <c r="ND118" s="67"/>
      <c r="NE118" s="67"/>
      <c r="NF118" s="67"/>
      <c r="NG118" s="67"/>
      <c r="NH118" s="67"/>
      <c r="NI118" s="67"/>
      <c r="NJ118" s="67"/>
      <c r="NK118" s="67"/>
      <c r="NL118" s="68"/>
    </row>
    <row r="119" spans="1:376" x14ac:dyDescent="0.15">
      <c r="A119" s="23">
        <v>54</v>
      </c>
      <c r="B119" s="24"/>
      <c r="C119" s="45"/>
      <c r="D119" s="26"/>
      <c r="E119" s="27" t="s">
        <v>13</v>
      </c>
      <c r="F119" s="28"/>
      <c r="G119" s="28"/>
      <c r="H119" s="29"/>
      <c r="I119" s="30"/>
      <c r="J119" s="31"/>
      <c r="K119" s="32"/>
      <c r="L119" s="32"/>
      <c r="M119" s="32"/>
      <c r="N119" s="32"/>
      <c r="O119" s="32"/>
      <c r="P119" s="32"/>
      <c r="Q119" s="32"/>
      <c r="R119" s="32"/>
      <c r="S119" s="32"/>
      <c r="T119" s="32"/>
      <c r="U119" s="32"/>
      <c r="V119" s="32"/>
      <c r="W119" s="32"/>
      <c r="X119" s="32"/>
      <c r="Y119" s="32"/>
      <c r="Z119" s="32"/>
      <c r="AA119" s="32"/>
      <c r="AB119" s="32"/>
      <c r="AC119" s="32"/>
      <c r="AD119" s="32"/>
      <c r="AE119" s="32"/>
      <c r="AF119" s="32"/>
      <c r="AG119" s="32"/>
      <c r="AH119" s="32"/>
      <c r="AI119" s="32"/>
      <c r="AJ119" s="32"/>
      <c r="AK119" s="32"/>
      <c r="AL119" s="32"/>
      <c r="AM119" s="32"/>
      <c r="AN119" s="32"/>
      <c r="AO119" s="32"/>
      <c r="AP119" s="33"/>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33"/>
      <c r="BT119" s="33"/>
      <c r="BU119" s="33"/>
      <c r="BV119" s="33"/>
      <c r="BW119" s="33"/>
      <c r="BX119" s="33"/>
      <c r="BY119" s="33"/>
      <c r="BZ119" s="33"/>
      <c r="CA119" s="33"/>
      <c r="CB119" s="33"/>
      <c r="CC119" s="33"/>
      <c r="CD119" s="33"/>
      <c r="CE119" s="33"/>
      <c r="CF119" s="33"/>
      <c r="CG119" s="33"/>
      <c r="CH119" s="33"/>
      <c r="CI119" s="33"/>
      <c r="CJ119" s="33"/>
      <c r="CK119" s="33"/>
      <c r="CL119" s="33"/>
      <c r="CM119" s="33"/>
      <c r="CN119" s="33"/>
      <c r="CO119" s="33"/>
      <c r="CP119" s="33"/>
      <c r="CQ119" s="33"/>
      <c r="CR119" s="33"/>
      <c r="CS119" s="33"/>
      <c r="CT119" s="33"/>
      <c r="CU119" s="33"/>
      <c r="CV119" s="33"/>
      <c r="CW119" s="33"/>
      <c r="CX119" s="33"/>
      <c r="CY119" s="33"/>
      <c r="CZ119" s="33"/>
      <c r="DA119" s="33"/>
      <c r="DB119" s="33"/>
      <c r="DC119" s="33"/>
      <c r="DD119" s="33"/>
      <c r="DE119" s="33"/>
      <c r="DF119" s="33"/>
      <c r="DG119" s="33"/>
      <c r="DH119" s="33"/>
      <c r="DI119" s="33"/>
      <c r="DJ119" s="33"/>
      <c r="DK119" s="33"/>
      <c r="DL119" s="33"/>
      <c r="DM119" s="33"/>
      <c r="DN119" s="33"/>
      <c r="DO119" s="33"/>
      <c r="DP119" s="33"/>
      <c r="DQ119" s="33"/>
      <c r="DR119" s="33"/>
      <c r="DS119" s="33"/>
      <c r="DT119" s="33"/>
      <c r="DU119" s="33"/>
      <c r="DV119" s="33"/>
      <c r="DW119" s="33"/>
      <c r="DX119" s="33"/>
      <c r="DY119" s="33"/>
      <c r="DZ119" s="33"/>
      <c r="EA119" s="33"/>
      <c r="EB119" s="33"/>
      <c r="EC119" s="33"/>
      <c r="ED119" s="33"/>
      <c r="EE119" s="33"/>
      <c r="EF119" s="33"/>
      <c r="EG119" s="33"/>
      <c r="EH119" s="33"/>
      <c r="EI119" s="33"/>
      <c r="EJ119" s="33"/>
      <c r="EK119" s="33"/>
      <c r="EL119" s="33"/>
      <c r="EM119" s="33"/>
      <c r="EN119" s="33"/>
      <c r="EO119" s="33"/>
      <c r="EP119" s="33"/>
      <c r="EQ119" s="33"/>
      <c r="ER119" s="33"/>
      <c r="ES119" s="33"/>
      <c r="ET119" s="33"/>
      <c r="EU119" s="33"/>
      <c r="EV119" s="33"/>
      <c r="EW119" s="33"/>
      <c r="EX119" s="33"/>
      <c r="EY119" s="33"/>
      <c r="EZ119" s="33"/>
      <c r="FA119" s="33"/>
      <c r="FB119" s="33"/>
      <c r="FC119" s="33"/>
      <c r="FD119" s="33"/>
      <c r="FE119" s="33"/>
      <c r="FF119" s="33"/>
      <c r="FG119" s="33"/>
      <c r="FH119" s="33"/>
      <c r="FI119" s="33"/>
      <c r="FJ119" s="33"/>
      <c r="FK119" s="33"/>
      <c r="FL119" s="33"/>
      <c r="FM119" s="33"/>
      <c r="FN119" s="33"/>
      <c r="FO119" s="33"/>
      <c r="FP119" s="33"/>
      <c r="FQ119" s="33"/>
      <c r="FR119" s="33"/>
      <c r="FS119" s="33"/>
      <c r="FT119" s="33"/>
      <c r="FU119" s="33"/>
      <c r="FV119" s="33"/>
      <c r="FW119" s="33"/>
      <c r="FX119" s="33"/>
      <c r="FY119" s="33"/>
      <c r="FZ119" s="33"/>
      <c r="GA119" s="33"/>
      <c r="GB119" s="33"/>
      <c r="GC119" s="33"/>
      <c r="GD119" s="33"/>
      <c r="GE119" s="33"/>
      <c r="GF119" s="33"/>
      <c r="GG119" s="33"/>
      <c r="GH119" s="33"/>
      <c r="GI119" s="33"/>
      <c r="GJ119" s="33"/>
      <c r="GK119" s="33"/>
      <c r="GL119" s="33"/>
      <c r="GM119" s="33"/>
      <c r="GN119" s="33"/>
      <c r="GO119" s="33"/>
      <c r="GP119" s="33"/>
      <c r="GQ119" s="33"/>
      <c r="GR119" s="33"/>
      <c r="GS119" s="33"/>
      <c r="GT119" s="33"/>
      <c r="GU119" s="33"/>
      <c r="GV119" s="33"/>
      <c r="GW119" s="33"/>
      <c r="GX119" s="33"/>
      <c r="GY119" s="33"/>
      <c r="GZ119" s="33"/>
      <c r="HA119" s="33"/>
      <c r="HB119" s="33"/>
      <c r="HC119" s="33"/>
      <c r="HD119" s="33"/>
      <c r="HE119" s="33"/>
      <c r="HF119" s="33"/>
      <c r="HG119" s="33"/>
      <c r="HH119" s="33"/>
      <c r="HI119" s="33"/>
      <c r="HJ119" s="33"/>
      <c r="HK119" s="33"/>
      <c r="HL119" s="33"/>
      <c r="HM119" s="33"/>
      <c r="HN119" s="33"/>
      <c r="HO119" s="33"/>
      <c r="HP119" s="33"/>
      <c r="HQ119" s="33"/>
      <c r="HR119" s="33"/>
      <c r="HS119" s="33"/>
      <c r="HT119" s="33"/>
      <c r="HU119" s="33"/>
      <c r="HV119" s="33"/>
      <c r="HW119" s="33"/>
      <c r="HX119" s="33"/>
      <c r="HY119" s="33"/>
      <c r="HZ119" s="33"/>
      <c r="IA119" s="33"/>
      <c r="IB119" s="33"/>
      <c r="IC119" s="33"/>
      <c r="ID119" s="33"/>
      <c r="IE119" s="33"/>
      <c r="IF119" s="33"/>
      <c r="IG119" s="33"/>
      <c r="IH119" s="33"/>
      <c r="II119" s="33"/>
      <c r="IJ119" s="33"/>
      <c r="IK119" s="33"/>
      <c r="IL119" s="33"/>
      <c r="IM119" s="33"/>
      <c r="IN119" s="33"/>
      <c r="IO119" s="33"/>
      <c r="IP119" s="33"/>
      <c r="IQ119" s="33"/>
      <c r="IR119" s="33"/>
      <c r="IS119" s="33"/>
      <c r="IT119" s="33"/>
      <c r="IU119" s="33"/>
      <c r="IV119" s="33"/>
      <c r="IW119" s="33"/>
      <c r="IX119" s="33"/>
      <c r="IY119" s="33"/>
      <c r="IZ119" s="33"/>
      <c r="JA119" s="33"/>
      <c r="JB119" s="33"/>
      <c r="JC119" s="33"/>
      <c r="JD119" s="33"/>
      <c r="JE119" s="33"/>
      <c r="JF119" s="33"/>
      <c r="JG119" s="33"/>
      <c r="JH119" s="33"/>
      <c r="JI119" s="33"/>
      <c r="JJ119" s="33"/>
      <c r="JK119" s="33"/>
      <c r="JL119" s="33"/>
      <c r="JM119" s="33"/>
      <c r="JN119" s="33"/>
      <c r="JO119" s="33"/>
      <c r="JP119" s="33"/>
      <c r="JQ119" s="33"/>
      <c r="JR119" s="33"/>
      <c r="JS119" s="33"/>
      <c r="JT119" s="33"/>
      <c r="JU119" s="33"/>
      <c r="JV119" s="33"/>
      <c r="JW119" s="33"/>
      <c r="JX119" s="33"/>
      <c r="JY119" s="33"/>
      <c r="JZ119" s="33"/>
      <c r="KA119" s="33"/>
      <c r="KB119" s="33"/>
      <c r="KC119" s="33"/>
      <c r="KD119" s="33"/>
      <c r="KE119" s="33"/>
      <c r="KF119" s="33"/>
      <c r="KG119" s="33"/>
      <c r="KH119" s="33"/>
      <c r="KI119" s="33"/>
      <c r="KJ119" s="33"/>
      <c r="KK119" s="33"/>
      <c r="KL119" s="33"/>
      <c r="KM119" s="33"/>
      <c r="KN119" s="33"/>
      <c r="KO119" s="33"/>
      <c r="KP119" s="33"/>
      <c r="KQ119" s="33"/>
      <c r="KR119" s="33"/>
      <c r="KS119" s="33"/>
      <c r="KT119" s="33"/>
      <c r="KU119" s="33"/>
      <c r="KV119" s="33"/>
      <c r="KW119" s="33"/>
      <c r="KX119" s="33"/>
      <c r="KY119" s="33"/>
      <c r="KZ119" s="33"/>
      <c r="LA119" s="33"/>
      <c r="LB119" s="33"/>
      <c r="LC119" s="33"/>
      <c r="LD119" s="33"/>
      <c r="LE119" s="33"/>
      <c r="LF119" s="33"/>
      <c r="LG119" s="33"/>
      <c r="LH119" s="33"/>
      <c r="LI119" s="33"/>
      <c r="LJ119" s="33"/>
      <c r="LK119" s="33"/>
      <c r="LL119" s="33"/>
      <c r="LM119" s="33"/>
      <c r="LN119" s="33"/>
      <c r="LO119" s="33"/>
      <c r="LP119" s="33"/>
      <c r="LQ119" s="33"/>
      <c r="LR119" s="33"/>
      <c r="LS119" s="33"/>
      <c r="LT119" s="33"/>
      <c r="LU119" s="33"/>
      <c r="LV119" s="33"/>
      <c r="LW119" s="33"/>
      <c r="LX119" s="33"/>
      <c r="LY119" s="33"/>
      <c r="LZ119" s="33"/>
      <c r="MA119" s="33"/>
      <c r="MB119" s="33"/>
      <c r="MC119" s="33"/>
      <c r="MD119" s="33"/>
      <c r="ME119" s="33"/>
      <c r="MF119" s="33"/>
      <c r="MG119" s="33"/>
      <c r="MH119" s="33"/>
      <c r="MI119" s="33"/>
      <c r="MJ119" s="33"/>
      <c r="MK119" s="33"/>
      <c r="ML119" s="33"/>
      <c r="MM119" s="33"/>
      <c r="MN119" s="33"/>
      <c r="MO119" s="33"/>
      <c r="MP119" s="33"/>
      <c r="MQ119" s="33"/>
      <c r="MR119" s="33"/>
      <c r="MS119" s="33"/>
      <c r="MT119" s="33"/>
      <c r="MU119" s="33"/>
      <c r="MV119" s="33"/>
      <c r="MW119" s="33"/>
      <c r="MX119" s="33"/>
      <c r="MY119" s="33"/>
      <c r="MZ119" s="33"/>
      <c r="NA119" s="33"/>
      <c r="NB119" s="33"/>
      <c r="NC119" s="33"/>
      <c r="ND119" s="33"/>
      <c r="NE119" s="33"/>
      <c r="NF119" s="33"/>
      <c r="NG119" s="33"/>
      <c r="NH119" s="33"/>
      <c r="NI119" s="33"/>
      <c r="NJ119" s="33"/>
      <c r="NK119" s="33"/>
      <c r="NL119" s="34"/>
    </row>
    <row r="120" spans="1:376" x14ac:dyDescent="0.15">
      <c r="A120" s="35">
        <v>54</v>
      </c>
      <c r="B120" s="36">
        <f>B119</f>
        <v>0</v>
      </c>
      <c r="C120" s="36">
        <f>C119</f>
        <v>0</v>
      </c>
      <c r="D120" s="37">
        <f>D119</f>
        <v>0</v>
      </c>
      <c r="E120" s="61" t="s">
        <v>0</v>
      </c>
      <c r="F120" s="62"/>
      <c r="G120" s="62"/>
      <c r="H120" s="63"/>
      <c r="I120" s="64" t="str">
        <f>IF(OR(H119="",H120=""),"",H120-H119)</f>
        <v/>
      </c>
      <c r="J120" s="65"/>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7"/>
      <c r="AQ120" s="67"/>
      <c r="AR120" s="67"/>
      <c r="AS120" s="67"/>
      <c r="AT120" s="67"/>
      <c r="AU120" s="67"/>
      <c r="AV120" s="67"/>
      <c r="AW120" s="67"/>
      <c r="AX120" s="67"/>
      <c r="AY120" s="67"/>
      <c r="AZ120" s="67"/>
      <c r="BA120" s="67"/>
      <c r="BB120" s="67"/>
      <c r="BC120" s="67"/>
      <c r="BD120" s="67"/>
      <c r="BE120" s="67"/>
      <c r="BF120" s="67"/>
      <c r="BG120" s="67"/>
      <c r="BH120" s="67"/>
      <c r="BI120" s="67"/>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c r="DK120" s="67"/>
      <c r="DL120" s="67"/>
      <c r="DM120" s="67"/>
      <c r="DN120" s="67"/>
      <c r="DO120" s="67"/>
      <c r="DP120" s="67"/>
      <c r="DQ120" s="67"/>
      <c r="DR120" s="67"/>
      <c r="DS120" s="67"/>
      <c r="DT120" s="67"/>
      <c r="DU120" s="67"/>
      <c r="DV120" s="67"/>
      <c r="DW120" s="67"/>
      <c r="DX120" s="67"/>
      <c r="DY120" s="67"/>
      <c r="DZ120" s="67"/>
      <c r="EA120" s="67"/>
      <c r="EB120" s="67"/>
      <c r="EC120" s="67"/>
      <c r="ED120" s="67"/>
      <c r="EE120" s="67"/>
      <c r="EF120" s="67"/>
      <c r="EG120" s="67"/>
      <c r="EH120" s="67"/>
      <c r="EI120" s="67"/>
      <c r="EJ120" s="67"/>
      <c r="EK120" s="67"/>
      <c r="EL120" s="67"/>
      <c r="EM120" s="67"/>
      <c r="EN120" s="67"/>
      <c r="EO120" s="67"/>
      <c r="EP120" s="67"/>
      <c r="EQ120" s="67"/>
      <c r="ER120" s="67"/>
      <c r="ES120" s="67"/>
      <c r="ET120" s="67"/>
      <c r="EU120" s="67"/>
      <c r="EV120" s="67"/>
      <c r="EW120" s="67"/>
      <c r="EX120" s="67"/>
      <c r="EY120" s="67"/>
      <c r="EZ120" s="67"/>
      <c r="FA120" s="67"/>
      <c r="FB120" s="67"/>
      <c r="FC120" s="67"/>
      <c r="FD120" s="67"/>
      <c r="FE120" s="67"/>
      <c r="FF120" s="67"/>
      <c r="FG120" s="67"/>
      <c r="FH120" s="67"/>
      <c r="FI120" s="67"/>
      <c r="FJ120" s="67"/>
      <c r="FK120" s="67"/>
      <c r="FL120" s="67"/>
      <c r="FM120" s="67"/>
      <c r="FN120" s="67"/>
      <c r="FO120" s="67"/>
      <c r="FP120" s="67"/>
      <c r="FQ120" s="67"/>
      <c r="FR120" s="67"/>
      <c r="FS120" s="67"/>
      <c r="FT120" s="67"/>
      <c r="FU120" s="67"/>
      <c r="FV120" s="67"/>
      <c r="FW120" s="67"/>
      <c r="FX120" s="67"/>
      <c r="FY120" s="67"/>
      <c r="FZ120" s="67"/>
      <c r="GA120" s="67"/>
      <c r="GB120" s="67"/>
      <c r="GC120" s="67"/>
      <c r="GD120" s="67"/>
      <c r="GE120" s="67"/>
      <c r="GF120" s="67"/>
      <c r="GG120" s="67"/>
      <c r="GH120" s="67"/>
      <c r="GI120" s="67"/>
      <c r="GJ120" s="67"/>
      <c r="GK120" s="67"/>
      <c r="GL120" s="67"/>
      <c r="GM120" s="67"/>
      <c r="GN120" s="67"/>
      <c r="GO120" s="67"/>
      <c r="GP120" s="67"/>
      <c r="GQ120" s="67"/>
      <c r="GR120" s="67"/>
      <c r="GS120" s="67"/>
      <c r="GT120" s="67"/>
      <c r="GU120" s="67"/>
      <c r="GV120" s="67"/>
      <c r="GW120" s="67"/>
      <c r="GX120" s="67"/>
      <c r="GY120" s="67"/>
      <c r="GZ120" s="67"/>
      <c r="HA120" s="67"/>
      <c r="HB120" s="67"/>
      <c r="HC120" s="67"/>
      <c r="HD120" s="67"/>
      <c r="HE120" s="67"/>
      <c r="HF120" s="67"/>
      <c r="HG120" s="67"/>
      <c r="HH120" s="67"/>
      <c r="HI120" s="67"/>
      <c r="HJ120" s="67"/>
      <c r="HK120" s="67"/>
      <c r="HL120" s="67"/>
      <c r="HM120" s="67"/>
      <c r="HN120" s="67"/>
      <c r="HO120" s="67"/>
      <c r="HP120" s="67"/>
      <c r="HQ120" s="67"/>
      <c r="HR120" s="67"/>
      <c r="HS120" s="67"/>
      <c r="HT120" s="67"/>
      <c r="HU120" s="67"/>
      <c r="HV120" s="67"/>
      <c r="HW120" s="67"/>
      <c r="HX120" s="67"/>
      <c r="HY120" s="67"/>
      <c r="HZ120" s="67"/>
      <c r="IA120" s="67"/>
      <c r="IB120" s="67"/>
      <c r="IC120" s="67"/>
      <c r="ID120" s="67"/>
      <c r="IE120" s="67"/>
      <c r="IF120" s="67"/>
      <c r="IG120" s="67"/>
      <c r="IH120" s="67"/>
      <c r="II120" s="67"/>
      <c r="IJ120" s="67"/>
      <c r="IK120" s="67"/>
      <c r="IL120" s="67"/>
      <c r="IM120" s="67"/>
      <c r="IN120" s="67"/>
      <c r="IO120" s="67"/>
      <c r="IP120" s="67"/>
      <c r="IQ120" s="67"/>
      <c r="IR120" s="67"/>
      <c r="IS120" s="67"/>
      <c r="IT120" s="67"/>
      <c r="IU120" s="67"/>
      <c r="IV120" s="67"/>
      <c r="IW120" s="67"/>
      <c r="IX120" s="67"/>
      <c r="IY120" s="67"/>
      <c r="IZ120" s="67"/>
      <c r="JA120" s="67"/>
      <c r="JB120" s="67"/>
      <c r="JC120" s="67"/>
      <c r="JD120" s="67"/>
      <c r="JE120" s="67"/>
      <c r="JF120" s="67"/>
      <c r="JG120" s="67"/>
      <c r="JH120" s="67"/>
      <c r="JI120" s="67"/>
      <c r="JJ120" s="67"/>
      <c r="JK120" s="67"/>
      <c r="JL120" s="67"/>
      <c r="JM120" s="67"/>
      <c r="JN120" s="67"/>
      <c r="JO120" s="67"/>
      <c r="JP120" s="67"/>
      <c r="JQ120" s="67"/>
      <c r="JR120" s="67"/>
      <c r="JS120" s="67"/>
      <c r="JT120" s="67"/>
      <c r="JU120" s="67"/>
      <c r="JV120" s="67"/>
      <c r="JW120" s="67"/>
      <c r="JX120" s="67"/>
      <c r="JY120" s="67"/>
      <c r="JZ120" s="67"/>
      <c r="KA120" s="67"/>
      <c r="KB120" s="67"/>
      <c r="KC120" s="67"/>
      <c r="KD120" s="67"/>
      <c r="KE120" s="67"/>
      <c r="KF120" s="67"/>
      <c r="KG120" s="67"/>
      <c r="KH120" s="67"/>
      <c r="KI120" s="67"/>
      <c r="KJ120" s="67"/>
      <c r="KK120" s="67"/>
      <c r="KL120" s="67"/>
      <c r="KM120" s="67"/>
      <c r="KN120" s="67"/>
      <c r="KO120" s="67"/>
      <c r="KP120" s="67"/>
      <c r="KQ120" s="67"/>
      <c r="KR120" s="67"/>
      <c r="KS120" s="67"/>
      <c r="KT120" s="67"/>
      <c r="KU120" s="67"/>
      <c r="KV120" s="67"/>
      <c r="KW120" s="67"/>
      <c r="KX120" s="67"/>
      <c r="KY120" s="67"/>
      <c r="KZ120" s="67"/>
      <c r="LA120" s="67"/>
      <c r="LB120" s="67"/>
      <c r="LC120" s="67"/>
      <c r="LD120" s="67"/>
      <c r="LE120" s="67"/>
      <c r="LF120" s="67"/>
      <c r="LG120" s="67"/>
      <c r="LH120" s="67"/>
      <c r="LI120" s="67"/>
      <c r="LJ120" s="67"/>
      <c r="LK120" s="67"/>
      <c r="LL120" s="67"/>
      <c r="LM120" s="67"/>
      <c r="LN120" s="67"/>
      <c r="LO120" s="67"/>
      <c r="LP120" s="67"/>
      <c r="LQ120" s="67"/>
      <c r="LR120" s="67"/>
      <c r="LS120" s="67"/>
      <c r="LT120" s="67"/>
      <c r="LU120" s="67"/>
      <c r="LV120" s="67"/>
      <c r="LW120" s="67"/>
      <c r="LX120" s="67"/>
      <c r="LY120" s="67"/>
      <c r="LZ120" s="67"/>
      <c r="MA120" s="67"/>
      <c r="MB120" s="67"/>
      <c r="MC120" s="67"/>
      <c r="MD120" s="67"/>
      <c r="ME120" s="67"/>
      <c r="MF120" s="67"/>
      <c r="MG120" s="67"/>
      <c r="MH120" s="67"/>
      <c r="MI120" s="67"/>
      <c r="MJ120" s="67"/>
      <c r="MK120" s="67"/>
      <c r="ML120" s="67"/>
      <c r="MM120" s="67"/>
      <c r="MN120" s="67"/>
      <c r="MO120" s="67"/>
      <c r="MP120" s="67"/>
      <c r="MQ120" s="67"/>
      <c r="MR120" s="67"/>
      <c r="MS120" s="67"/>
      <c r="MT120" s="67"/>
      <c r="MU120" s="67"/>
      <c r="MV120" s="67"/>
      <c r="MW120" s="67"/>
      <c r="MX120" s="67"/>
      <c r="MY120" s="67"/>
      <c r="MZ120" s="67"/>
      <c r="NA120" s="67"/>
      <c r="NB120" s="67"/>
      <c r="NC120" s="67"/>
      <c r="ND120" s="67"/>
      <c r="NE120" s="67"/>
      <c r="NF120" s="67"/>
      <c r="NG120" s="67"/>
      <c r="NH120" s="67"/>
      <c r="NI120" s="67"/>
      <c r="NJ120" s="67"/>
      <c r="NK120" s="67"/>
      <c r="NL120" s="68"/>
    </row>
    <row r="121" spans="1:376" x14ac:dyDescent="0.15">
      <c r="A121" s="23">
        <v>55</v>
      </c>
      <c r="B121" s="24"/>
      <c r="C121" s="45"/>
      <c r="D121" s="26"/>
      <c r="E121" s="27" t="s">
        <v>13</v>
      </c>
      <c r="F121" s="28"/>
      <c r="G121" s="28"/>
      <c r="H121" s="29"/>
      <c r="I121" s="30"/>
      <c r="J121" s="31"/>
      <c r="K121" s="32"/>
      <c r="L121" s="32"/>
      <c r="M121" s="32"/>
      <c r="N121" s="32"/>
      <c r="O121" s="32"/>
      <c r="P121" s="32"/>
      <c r="Q121" s="32"/>
      <c r="R121" s="32"/>
      <c r="S121" s="32"/>
      <c r="T121" s="32"/>
      <c r="U121" s="32"/>
      <c r="V121" s="32"/>
      <c r="W121" s="32"/>
      <c r="X121" s="32"/>
      <c r="Y121" s="32"/>
      <c r="Z121" s="32"/>
      <c r="AA121" s="32"/>
      <c r="AB121" s="32"/>
      <c r="AC121" s="32"/>
      <c r="AD121" s="32"/>
      <c r="AE121" s="32"/>
      <c r="AF121" s="32"/>
      <c r="AG121" s="32"/>
      <c r="AH121" s="32"/>
      <c r="AI121" s="32"/>
      <c r="AJ121" s="32"/>
      <c r="AK121" s="32"/>
      <c r="AL121" s="32"/>
      <c r="AM121" s="32"/>
      <c r="AN121" s="32"/>
      <c r="AO121" s="32"/>
      <c r="AP121" s="33"/>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33"/>
      <c r="BT121" s="33"/>
      <c r="BU121" s="33"/>
      <c r="BV121" s="33"/>
      <c r="BW121" s="33"/>
      <c r="BX121" s="33"/>
      <c r="BY121" s="33"/>
      <c r="BZ121" s="33"/>
      <c r="CA121" s="33"/>
      <c r="CB121" s="33"/>
      <c r="CC121" s="33"/>
      <c r="CD121" s="33"/>
      <c r="CE121" s="33"/>
      <c r="CF121" s="33"/>
      <c r="CG121" s="33"/>
      <c r="CH121" s="33"/>
      <c r="CI121" s="33"/>
      <c r="CJ121" s="33"/>
      <c r="CK121" s="33"/>
      <c r="CL121" s="33"/>
      <c r="CM121" s="33"/>
      <c r="CN121" s="33"/>
      <c r="CO121" s="33"/>
      <c r="CP121" s="33"/>
      <c r="CQ121" s="33"/>
      <c r="CR121" s="33"/>
      <c r="CS121" s="33"/>
      <c r="CT121" s="33"/>
      <c r="CU121" s="33"/>
      <c r="CV121" s="33"/>
      <c r="CW121" s="33"/>
      <c r="CX121" s="33"/>
      <c r="CY121" s="33"/>
      <c r="CZ121" s="33"/>
      <c r="DA121" s="33"/>
      <c r="DB121" s="33"/>
      <c r="DC121" s="33"/>
      <c r="DD121" s="33"/>
      <c r="DE121" s="33"/>
      <c r="DF121" s="33"/>
      <c r="DG121" s="33"/>
      <c r="DH121" s="33"/>
      <c r="DI121" s="33"/>
      <c r="DJ121" s="33"/>
      <c r="DK121" s="33"/>
      <c r="DL121" s="33"/>
      <c r="DM121" s="33"/>
      <c r="DN121" s="33"/>
      <c r="DO121" s="33"/>
      <c r="DP121" s="33"/>
      <c r="DQ121" s="33"/>
      <c r="DR121" s="33"/>
      <c r="DS121" s="33"/>
      <c r="DT121" s="33"/>
      <c r="DU121" s="33"/>
      <c r="DV121" s="33"/>
      <c r="DW121" s="33"/>
      <c r="DX121" s="33"/>
      <c r="DY121" s="33"/>
      <c r="DZ121" s="33"/>
      <c r="EA121" s="33"/>
      <c r="EB121" s="33"/>
      <c r="EC121" s="33"/>
      <c r="ED121" s="33"/>
      <c r="EE121" s="33"/>
      <c r="EF121" s="33"/>
      <c r="EG121" s="33"/>
      <c r="EH121" s="33"/>
      <c r="EI121" s="33"/>
      <c r="EJ121" s="33"/>
      <c r="EK121" s="33"/>
      <c r="EL121" s="33"/>
      <c r="EM121" s="33"/>
      <c r="EN121" s="33"/>
      <c r="EO121" s="33"/>
      <c r="EP121" s="33"/>
      <c r="EQ121" s="33"/>
      <c r="ER121" s="33"/>
      <c r="ES121" s="33"/>
      <c r="ET121" s="33"/>
      <c r="EU121" s="33"/>
      <c r="EV121" s="33"/>
      <c r="EW121" s="33"/>
      <c r="EX121" s="33"/>
      <c r="EY121" s="33"/>
      <c r="EZ121" s="33"/>
      <c r="FA121" s="33"/>
      <c r="FB121" s="33"/>
      <c r="FC121" s="33"/>
      <c r="FD121" s="33"/>
      <c r="FE121" s="33"/>
      <c r="FF121" s="33"/>
      <c r="FG121" s="33"/>
      <c r="FH121" s="33"/>
      <c r="FI121" s="33"/>
      <c r="FJ121" s="33"/>
      <c r="FK121" s="33"/>
      <c r="FL121" s="33"/>
      <c r="FM121" s="33"/>
      <c r="FN121" s="33"/>
      <c r="FO121" s="33"/>
      <c r="FP121" s="33"/>
      <c r="FQ121" s="33"/>
      <c r="FR121" s="33"/>
      <c r="FS121" s="33"/>
      <c r="FT121" s="33"/>
      <c r="FU121" s="33"/>
      <c r="FV121" s="33"/>
      <c r="FW121" s="33"/>
      <c r="FX121" s="33"/>
      <c r="FY121" s="33"/>
      <c r="FZ121" s="33"/>
      <c r="GA121" s="33"/>
      <c r="GB121" s="33"/>
      <c r="GC121" s="33"/>
      <c r="GD121" s="33"/>
      <c r="GE121" s="33"/>
      <c r="GF121" s="33"/>
      <c r="GG121" s="33"/>
      <c r="GH121" s="33"/>
      <c r="GI121" s="33"/>
      <c r="GJ121" s="33"/>
      <c r="GK121" s="33"/>
      <c r="GL121" s="33"/>
      <c r="GM121" s="33"/>
      <c r="GN121" s="33"/>
      <c r="GO121" s="33"/>
      <c r="GP121" s="33"/>
      <c r="GQ121" s="33"/>
      <c r="GR121" s="33"/>
      <c r="GS121" s="33"/>
      <c r="GT121" s="33"/>
      <c r="GU121" s="33"/>
      <c r="GV121" s="33"/>
      <c r="GW121" s="33"/>
      <c r="GX121" s="33"/>
      <c r="GY121" s="33"/>
      <c r="GZ121" s="33"/>
      <c r="HA121" s="33"/>
      <c r="HB121" s="33"/>
      <c r="HC121" s="33"/>
      <c r="HD121" s="33"/>
      <c r="HE121" s="33"/>
      <c r="HF121" s="33"/>
      <c r="HG121" s="33"/>
      <c r="HH121" s="33"/>
      <c r="HI121" s="33"/>
      <c r="HJ121" s="33"/>
      <c r="HK121" s="33"/>
      <c r="HL121" s="33"/>
      <c r="HM121" s="33"/>
      <c r="HN121" s="33"/>
      <c r="HO121" s="33"/>
      <c r="HP121" s="33"/>
      <c r="HQ121" s="33"/>
      <c r="HR121" s="33"/>
      <c r="HS121" s="33"/>
      <c r="HT121" s="33"/>
      <c r="HU121" s="33"/>
      <c r="HV121" s="33"/>
      <c r="HW121" s="33"/>
      <c r="HX121" s="33"/>
      <c r="HY121" s="33"/>
      <c r="HZ121" s="33"/>
      <c r="IA121" s="33"/>
      <c r="IB121" s="33"/>
      <c r="IC121" s="33"/>
      <c r="ID121" s="33"/>
      <c r="IE121" s="33"/>
      <c r="IF121" s="33"/>
      <c r="IG121" s="33"/>
      <c r="IH121" s="33"/>
      <c r="II121" s="33"/>
      <c r="IJ121" s="33"/>
      <c r="IK121" s="33"/>
      <c r="IL121" s="33"/>
      <c r="IM121" s="33"/>
      <c r="IN121" s="33"/>
      <c r="IO121" s="33"/>
      <c r="IP121" s="33"/>
      <c r="IQ121" s="33"/>
      <c r="IR121" s="33"/>
      <c r="IS121" s="33"/>
      <c r="IT121" s="33"/>
      <c r="IU121" s="33"/>
      <c r="IV121" s="33"/>
      <c r="IW121" s="33"/>
      <c r="IX121" s="33"/>
      <c r="IY121" s="33"/>
      <c r="IZ121" s="33"/>
      <c r="JA121" s="33"/>
      <c r="JB121" s="33"/>
      <c r="JC121" s="33"/>
      <c r="JD121" s="33"/>
      <c r="JE121" s="33"/>
      <c r="JF121" s="33"/>
      <c r="JG121" s="33"/>
      <c r="JH121" s="33"/>
      <c r="JI121" s="33"/>
      <c r="JJ121" s="33"/>
      <c r="JK121" s="33"/>
      <c r="JL121" s="33"/>
      <c r="JM121" s="33"/>
      <c r="JN121" s="33"/>
      <c r="JO121" s="33"/>
      <c r="JP121" s="33"/>
      <c r="JQ121" s="33"/>
      <c r="JR121" s="33"/>
      <c r="JS121" s="33"/>
      <c r="JT121" s="33"/>
      <c r="JU121" s="33"/>
      <c r="JV121" s="33"/>
      <c r="JW121" s="33"/>
      <c r="JX121" s="33"/>
      <c r="JY121" s="33"/>
      <c r="JZ121" s="33"/>
      <c r="KA121" s="33"/>
      <c r="KB121" s="33"/>
      <c r="KC121" s="33"/>
      <c r="KD121" s="33"/>
      <c r="KE121" s="33"/>
      <c r="KF121" s="33"/>
      <c r="KG121" s="33"/>
      <c r="KH121" s="33"/>
      <c r="KI121" s="33"/>
      <c r="KJ121" s="33"/>
      <c r="KK121" s="33"/>
      <c r="KL121" s="33"/>
      <c r="KM121" s="33"/>
      <c r="KN121" s="33"/>
      <c r="KO121" s="33"/>
      <c r="KP121" s="33"/>
      <c r="KQ121" s="33"/>
      <c r="KR121" s="33"/>
      <c r="KS121" s="33"/>
      <c r="KT121" s="33"/>
      <c r="KU121" s="33"/>
      <c r="KV121" s="33"/>
      <c r="KW121" s="33"/>
      <c r="KX121" s="33"/>
      <c r="KY121" s="33"/>
      <c r="KZ121" s="33"/>
      <c r="LA121" s="33"/>
      <c r="LB121" s="33"/>
      <c r="LC121" s="33"/>
      <c r="LD121" s="33"/>
      <c r="LE121" s="33"/>
      <c r="LF121" s="33"/>
      <c r="LG121" s="33"/>
      <c r="LH121" s="33"/>
      <c r="LI121" s="33"/>
      <c r="LJ121" s="33"/>
      <c r="LK121" s="33"/>
      <c r="LL121" s="33"/>
      <c r="LM121" s="33"/>
      <c r="LN121" s="33"/>
      <c r="LO121" s="33"/>
      <c r="LP121" s="33"/>
      <c r="LQ121" s="33"/>
      <c r="LR121" s="33"/>
      <c r="LS121" s="33"/>
      <c r="LT121" s="33"/>
      <c r="LU121" s="33"/>
      <c r="LV121" s="33"/>
      <c r="LW121" s="33"/>
      <c r="LX121" s="33"/>
      <c r="LY121" s="33"/>
      <c r="LZ121" s="33"/>
      <c r="MA121" s="33"/>
      <c r="MB121" s="33"/>
      <c r="MC121" s="33"/>
      <c r="MD121" s="33"/>
      <c r="ME121" s="33"/>
      <c r="MF121" s="33"/>
      <c r="MG121" s="33"/>
      <c r="MH121" s="33"/>
      <c r="MI121" s="33"/>
      <c r="MJ121" s="33"/>
      <c r="MK121" s="33"/>
      <c r="ML121" s="33"/>
      <c r="MM121" s="33"/>
      <c r="MN121" s="33"/>
      <c r="MO121" s="33"/>
      <c r="MP121" s="33"/>
      <c r="MQ121" s="33"/>
      <c r="MR121" s="33"/>
      <c r="MS121" s="33"/>
      <c r="MT121" s="33"/>
      <c r="MU121" s="33"/>
      <c r="MV121" s="33"/>
      <c r="MW121" s="33"/>
      <c r="MX121" s="33"/>
      <c r="MY121" s="33"/>
      <c r="MZ121" s="33"/>
      <c r="NA121" s="33"/>
      <c r="NB121" s="33"/>
      <c r="NC121" s="33"/>
      <c r="ND121" s="33"/>
      <c r="NE121" s="33"/>
      <c r="NF121" s="33"/>
      <c r="NG121" s="33"/>
      <c r="NH121" s="33"/>
      <c r="NI121" s="33"/>
      <c r="NJ121" s="33"/>
      <c r="NK121" s="33"/>
      <c r="NL121" s="34"/>
    </row>
    <row r="122" spans="1:376" x14ac:dyDescent="0.15">
      <c r="A122" s="35">
        <v>55</v>
      </c>
      <c r="B122" s="36">
        <f>B121</f>
        <v>0</v>
      </c>
      <c r="C122" s="36">
        <f>C121</f>
        <v>0</v>
      </c>
      <c r="D122" s="37">
        <f>D121</f>
        <v>0</v>
      </c>
      <c r="E122" s="61" t="s">
        <v>0</v>
      </c>
      <c r="F122" s="62"/>
      <c r="G122" s="62"/>
      <c r="H122" s="63"/>
      <c r="I122" s="64" t="str">
        <f>IF(OR(H121="",H122=""),"",H122-H121)</f>
        <v/>
      </c>
      <c r="J122" s="65"/>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7"/>
      <c r="AQ122" s="67"/>
      <c r="AR122" s="67"/>
      <c r="AS122" s="67"/>
      <c r="AT122" s="67"/>
      <c r="AU122" s="67"/>
      <c r="AV122" s="67"/>
      <c r="AW122" s="67"/>
      <c r="AX122" s="67"/>
      <c r="AY122" s="67"/>
      <c r="AZ122" s="67"/>
      <c r="BA122" s="67"/>
      <c r="BB122" s="67"/>
      <c r="BC122" s="67"/>
      <c r="BD122" s="67"/>
      <c r="BE122" s="67"/>
      <c r="BF122" s="67"/>
      <c r="BG122" s="67"/>
      <c r="BH122" s="67"/>
      <c r="BI122" s="67"/>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c r="DK122" s="67"/>
      <c r="DL122" s="67"/>
      <c r="DM122" s="67"/>
      <c r="DN122" s="67"/>
      <c r="DO122" s="67"/>
      <c r="DP122" s="67"/>
      <c r="DQ122" s="67"/>
      <c r="DR122" s="67"/>
      <c r="DS122" s="67"/>
      <c r="DT122" s="67"/>
      <c r="DU122" s="67"/>
      <c r="DV122" s="67"/>
      <c r="DW122" s="67"/>
      <c r="DX122" s="67"/>
      <c r="DY122" s="67"/>
      <c r="DZ122" s="67"/>
      <c r="EA122" s="67"/>
      <c r="EB122" s="67"/>
      <c r="EC122" s="67"/>
      <c r="ED122" s="67"/>
      <c r="EE122" s="67"/>
      <c r="EF122" s="67"/>
      <c r="EG122" s="67"/>
      <c r="EH122" s="67"/>
      <c r="EI122" s="67"/>
      <c r="EJ122" s="67"/>
      <c r="EK122" s="67"/>
      <c r="EL122" s="67"/>
      <c r="EM122" s="67"/>
      <c r="EN122" s="67"/>
      <c r="EO122" s="67"/>
      <c r="EP122" s="67"/>
      <c r="EQ122" s="67"/>
      <c r="ER122" s="67"/>
      <c r="ES122" s="67"/>
      <c r="ET122" s="67"/>
      <c r="EU122" s="67"/>
      <c r="EV122" s="67"/>
      <c r="EW122" s="67"/>
      <c r="EX122" s="67"/>
      <c r="EY122" s="67"/>
      <c r="EZ122" s="67"/>
      <c r="FA122" s="67"/>
      <c r="FB122" s="67"/>
      <c r="FC122" s="67"/>
      <c r="FD122" s="67"/>
      <c r="FE122" s="67"/>
      <c r="FF122" s="67"/>
      <c r="FG122" s="67"/>
      <c r="FH122" s="67"/>
      <c r="FI122" s="67"/>
      <c r="FJ122" s="67"/>
      <c r="FK122" s="67"/>
      <c r="FL122" s="67"/>
      <c r="FM122" s="67"/>
      <c r="FN122" s="67"/>
      <c r="FO122" s="67"/>
      <c r="FP122" s="67"/>
      <c r="FQ122" s="67"/>
      <c r="FR122" s="67"/>
      <c r="FS122" s="67"/>
      <c r="FT122" s="67"/>
      <c r="FU122" s="67"/>
      <c r="FV122" s="67"/>
      <c r="FW122" s="67"/>
      <c r="FX122" s="67"/>
      <c r="FY122" s="67"/>
      <c r="FZ122" s="67"/>
      <c r="GA122" s="67"/>
      <c r="GB122" s="67"/>
      <c r="GC122" s="67"/>
      <c r="GD122" s="67"/>
      <c r="GE122" s="67"/>
      <c r="GF122" s="67"/>
      <c r="GG122" s="67"/>
      <c r="GH122" s="67"/>
      <c r="GI122" s="67"/>
      <c r="GJ122" s="67"/>
      <c r="GK122" s="67"/>
      <c r="GL122" s="67"/>
      <c r="GM122" s="67"/>
      <c r="GN122" s="67"/>
      <c r="GO122" s="67"/>
      <c r="GP122" s="67"/>
      <c r="GQ122" s="67"/>
      <c r="GR122" s="67"/>
      <c r="GS122" s="67"/>
      <c r="GT122" s="67"/>
      <c r="GU122" s="67"/>
      <c r="GV122" s="67"/>
      <c r="GW122" s="67"/>
      <c r="GX122" s="67"/>
      <c r="GY122" s="67"/>
      <c r="GZ122" s="67"/>
      <c r="HA122" s="67"/>
      <c r="HB122" s="67"/>
      <c r="HC122" s="67"/>
      <c r="HD122" s="67"/>
      <c r="HE122" s="67"/>
      <c r="HF122" s="67"/>
      <c r="HG122" s="67"/>
      <c r="HH122" s="67"/>
      <c r="HI122" s="67"/>
      <c r="HJ122" s="67"/>
      <c r="HK122" s="67"/>
      <c r="HL122" s="67"/>
      <c r="HM122" s="67"/>
      <c r="HN122" s="67"/>
      <c r="HO122" s="67"/>
      <c r="HP122" s="67"/>
      <c r="HQ122" s="67"/>
      <c r="HR122" s="67"/>
      <c r="HS122" s="67"/>
      <c r="HT122" s="67"/>
      <c r="HU122" s="67"/>
      <c r="HV122" s="67"/>
      <c r="HW122" s="67"/>
      <c r="HX122" s="67"/>
      <c r="HY122" s="67"/>
      <c r="HZ122" s="67"/>
      <c r="IA122" s="67"/>
      <c r="IB122" s="67"/>
      <c r="IC122" s="67"/>
      <c r="ID122" s="67"/>
      <c r="IE122" s="67"/>
      <c r="IF122" s="67"/>
      <c r="IG122" s="67"/>
      <c r="IH122" s="67"/>
      <c r="II122" s="67"/>
      <c r="IJ122" s="67"/>
      <c r="IK122" s="67"/>
      <c r="IL122" s="67"/>
      <c r="IM122" s="67"/>
      <c r="IN122" s="67"/>
      <c r="IO122" s="67"/>
      <c r="IP122" s="67"/>
      <c r="IQ122" s="67"/>
      <c r="IR122" s="67"/>
      <c r="IS122" s="67"/>
      <c r="IT122" s="67"/>
      <c r="IU122" s="67"/>
      <c r="IV122" s="67"/>
      <c r="IW122" s="67"/>
      <c r="IX122" s="67"/>
      <c r="IY122" s="67"/>
      <c r="IZ122" s="67"/>
      <c r="JA122" s="67"/>
      <c r="JB122" s="67"/>
      <c r="JC122" s="67"/>
      <c r="JD122" s="67"/>
      <c r="JE122" s="67"/>
      <c r="JF122" s="67"/>
      <c r="JG122" s="67"/>
      <c r="JH122" s="67"/>
      <c r="JI122" s="67"/>
      <c r="JJ122" s="67"/>
      <c r="JK122" s="67"/>
      <c r="JL122" s="67"/>
      <c r="JM122" s="67"/>
      <c r="JN122" s="67"/>
      <c r="JO122" s="67"/>
      <c r="JP122" s="67"/>
      <c r="JQ122" s="67"/>
      <c r="JR122" s="67"/>
      <c r="JS122" s="67"/>
      <c r="JT122" s="67"/>
      <c r="JU122" s="67"/>
      <c r="JV122" s="67"/>
      <c r="JW122" s="67"/>
      <c r="JX122" s="67"/>
      <c r="JY122" s="67"/>
      <c r="JZ122" s="67"/>
      <c r="KA122" s="67"/>
      <c r="KB122" s="67"/>
      <c r="KC122" s="67"/>
      <c r="KD122" s="67"/>
      <c r="KE122" s="67"/>
      <c r="KF122" s="67"/>
      <c r="KG122" s="67"/>
      <c r="KH122" s="67"/>
      <c r="KI122" s="67"/>
      <c r="KJ122" s="67"/>
      <c r="KK122" s="67"/>
      <c r="KL122" s="67"/>
      <c r="KM122" s="67"/>
      <c r="KN122" s="67"/>
      <c r="KO122" s="67"/>
      <c r="KP122" s="67"/>
      <c r="KQ122" s="67"/>
      <c r="KR122" s="67"/>
      <c r="KS122" s="67"/>
      <c r="KT122" s="67"/>
      <c r="KU122" s="67"/>
      <c r="KV122" s="67"/>
      <c r="KW122" s="67"/>
      <c r="KX122" s="67"/>
      <c r="KY122" s="67"/>
      <c r="KZ122" s="67"/>
      <c r="LA122" s="67"/>
      <c r="LB122" s="67"/>
      <c r="LC122" s="67"/>
      <c r="LD122" s="67"/>
      <c r="LE122" s="67"/>
      <c r="LF122" s="67"/>
      <c r="LG122" s="67"/>
      <c r="LH122" s="67"/>
      <c r="LI122" s="67"/>
      <c r="LJ122" s="67"/>
      <c r="LK122" s="67"/>
      <c r="LL122" s="67"/>
      <c r="LM122" s="67"/>
      <c r="LN122" s="67"/>
      <c r="LO122" s="67"/>
      <c r="LP122" s="67"/>
      <c r="LQ122" s="67"/>
      <c r="LR122" s="67"/>
      <c r="LS122" s="67"/>
      <c r="LT122" s="67"/>
      <c r="LU122" s="67"/>
      <c r="LV122" s="67"/>
      <c r="LW122" s="67"/>
      <c r="LX122" s="67"/>
      <c r="LY122" s="67"/>
      <c r="LZ122" s="67"/>
      <c r="MA122" s="67"/>
      <c r="MB122" s="67"/>
      <c r="MC122" s="67"/>
      <c r="MD122" s="67"/>
      <c r="ME122" s="67"/>
      <c r="MF122" s="67"/>
      <c r="MG122" s="67"/>
      <c r="MH122" s="67"/>
      <c r="MI122" s="67"/>
      <c r="MJ122" s="67"/>
      <c r="MK122" s="67"/>
      <c r="ML122" s="67"/>
      <c r="MM122" s="67"/>
      <c r="MN122" s="67"/>
      <c r="MO122" s="67"/>
      <c r="MP122" s="67"/>
      <c r="MQ122" s="67"/>
      <c r="MR122" s="67"/>
      <c r="MS122" s="67"/>
      <c r="MT122" s="67"/>
      <c r="MU122" s="67"/>
      <c r="MV122" s="67"/>
      <c r="MW122" s="67"/>
      <c r="MX122" s="67"/>
      <c r="MY122" s="67"/>
      <c r="MZ122" s="67"/>
      <c r="NA122" s="67"/>
      <c r="NB122" s="67"/>
      <c r="NC122" s="67"/>
      <c r="ND122" s="67"/>
      <c r="NE122" s="67"/>
      <c r="NF122" s="67"/>
      <c r="NG122" s="67"/>
      <c r="NH122" s="67"/>
      <c r="NI122" s="67"/>
      <c r="NJ122" s="67"/>
      <c r="NK122" s="67"/>
      <c r="NL122" s="68"/>
    </row>
    <row r="123" spans="1:376" x14ac:dyDescent="0.15">
      <c r="A123" s="23">
        <v>56</v>
      </c>
      <c r="B123" s="24"/>
      <c r="C123" s="45"/>
      <c r="D123" s="26"/>
      <c r="E123" s="27" t="s">
        <v>13</v>
      </c>
      <c r="F123" s="28"/>
      <c r="G123" s="28"/>
      <c r="H123" s="29"/>
      <c r="I123" s="30"/>
      <c r="J123" s="31"/>
      <c r="K123" s="32"/>
      <c r="L123" s="32"/>
      <c r="M123" s="32"/>
      <c r="N123" s="32"/>
      <c r="O123" s="32"/>
      <c r="P123" s="32"/>
      <c r="Q123" s="32"/>
      <c r="R123" s="32"/>
      <c r="S123" s="32"/>
      <c r="T123" s="32"/>
      <c r="U123" s="32"/>
      <c r="V123" s="32"/>
      <c r="W123" s="32"/>
      <c r="X123" s="32"/>
      <c r="Y123" s="32"/>
      <c r="Z123" s="32"/>
      <c r="AA123" s="32"/>
      <c r="AB123" s="32"/>
      <c r="AC123" s="32"/>
      <c r="AD123" s="32"/>
      <c r="AE123" s="32"/>
      <c r="AF123" s="32"/>
      <c r="AG123" s="32"/>
      <c r="AH123" s="32"/>
      <c r="AI123" s="32"/>
      <c r="AJ123" s="32"/>
      <c r="AK123" s="32"/>
      <c r="AL123" s="32"/>
      <c r="AM123" s="32"/>
      <c r="AN123" s="32"/>
      <c r="AO123" s="32"/>
      <c r="AP123" s="33"/>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33"/>
      <c r="BT123" s="33"/>
      <c r="BU123" s="33"/>
      <c r="BV123" s="33"/>
      <c r="BW123" s="33"/>
      <c r="BX123" s="33"/>
      <c r="BY123" s="33"/>
      <c r="BZ123" s="33"/>
      <c r="CA123" s="33"/>
      <c r="CB123" s="33"/>
      <c r="CC123" s="33"/>
      <c r="CD123" s="33"/>
      <c r="CE123" s="33"/>
      <c r="CF123" s="33"/>
      <c r="CG123" s="33"/>
      <c r="CH123" s="33"/>
      <c r="CI123" s="33"/>
      <c r="CJ123" s="33"/>
      <c r="CK123" s="33"/>
      <c r="CL123" s="33"/>
      <c r="CM123" s="33"/>
      <c r="CN123" s="33"/>
      <c r="CO123" s="33"/>
      <c r="CP123" s="33"/>
      <c r="CQ123" s="33"/>
      <c r="CR123" s="33"/>
      <c r="CS123" s="33"/>
      <c r="CT123" s="33"/>
      <c r="CU123" s="33"/>
      <c r="CV123" s="33"/>
      <c r="CW123" s="33"/>
      <c r="CX123" s="33"/>
      <c r="CY123" s="33"/>
      <c r="CZ123" s="33"/>
      <c r="DA123" s="33"/>
      <c r="DB123" s="33"/>
      <c r="DC123" s="33"/>
      <c r="DD123" s="33"/>
      <c r="DE123" s="33"/>
      <c r="DF123" s="33"/>
      <c r="DG123" s="33"/>
      <c r="DH123" s="33"/>
      <c r="DI123" s="33"/>
      <c r="DJ123" s="33"/>
      <c r="DK123" s="33"/>
      <c r="DL123" s="33"/>
      <c r="DM123" s="33"/>
      <c r="DN123" s="33"/>
      <c r="DO123" s="33"/>
      <c r="DP123" s="33"/>
      <c r="DQ123" s="33"/>
      <c r="DR123" s="33"/>
      <c r="DS123" s="33"/>
      <c r="DT123" s="33"/>
      <c r="DU123" s="33"/>
      <c r="DV123" s="33"/>
      <c r="DW123" s="33"/>
      <c r="DX123" s="33"/>
      <c r="DY123" s="33"/>
      <c r="DZ123" s="33"/>
      <c r="EA123" s="33"/>
      <c r="EB123" s="33"/>
      <c r="EC123" s="33"/>
      <c r="ED123" s="33"/>
      <c r="EE123" s="33"/>
      <c r="EF123" s="33"/>
      <c r="EG123" s="33"/>
      <c r="EH123" s="33"/>
      <c r="EI123" s="33"/>
      <c r="EJ123" s="33"/>
      <c r="EK123" s="33"/>
      <c r="EL123" s="33"/>
      <c r="EM123" s="33"/>
      <c r="EN123" s="33"/>
      <c r="EO123" s="33"/>
      <c r="EP123" s="33"/>
      <c r="EQ123" s="33"/>
      <c r="ER123" s="33"/>
      <c r="ES123" s="33"/>
      <c r="ET123" s="33"/>
      <c r="EU123" s="33"/>
      <c r="EV123" s="33"/>
      <c r="EW123" s="33"/>
      <c r="EX123" s="33"/>
      <c r="EY123" s="33"/>
      <c r="EZ123" s="33"/>
      <c r="FA123" s="33"/>
      <c r="FB123" s="33"/>
      <c r="FC123" s="33"/>
      <c r="FD123" s="33"/>
      <c r="FE123" s="33"/>
      <c r="FF123" s="33"/>
      <c r="FG123" s="33"/>
      <c r="FH123" s="33"/>
      <c r="FI123" s="33"/>
      <c r="FJ123" s="33"/>
      <c r="FK123" s="33"/>
      <c r="FL123" s="33"/>
      <c r="FM123" s="33"/>
      <c r="FN123" s="33"/>
      <c r="FO123" s="33"/>
      <c r="FP123" s="33"/>
      <c r="FQ123" s="33"/>
      <c r="FR123" s="33"/>
      <c r="FS123" s="33"/>
      <c r="FT123" s="33"/>
      <c r="FU123" s="33"/>
      <c r="FV123" s="33"/>
      <c r="FW123" s="33"/>
      <c r="FX123" s="33"/>
      <c r="FY123" s="33"/>
      <c r="FZ123" s="33"/>
      <c r="GA123" s="33"/>
      <c r="GB123" s="33"/>
      <c r="GC123" s="33"/>
      <c r="GD123" s="33"/>
      <c r="GE123" s="33"/>
      <c r="GF123" s="33"/>
      <c r="GG123" s="33"/>
      <c r="GH123" s="33"/>
      <c r="GI123" s="33"/>
      <c r="GJ123" s="33"/>
      <c r="GK123" s="33"/>
      <c r="GL123" s="33"/>
      <c r="GM123" s="33"/>
      <c r="GN123" s="33"/>
      <c r="GO123" s="33"/>
      <c r="GP123" s="33"/>
      <c r="GQ123" s="33"/>
      <c r="GR123" s="33"/>
      <c r="GS123" s="33"/>
      <c r="GT123" s="33"/>
      <c r="GU123" s="33"/>
      <c r="GV123" s="33"/>
      <c r="GW123" s="33"/>
      <c r="GX123" s="33"/>
      <c r="GY123" s="33"/>
      <c r="GZ123" s="33"/>
      <c r="HA123" s="33"/>
      <c r="HB123" s="33"/>
      <c r="HC123" s="33"/>
      <c r="HD123" s="33"/>
      <c r="HE123" s="33"/>
      <c r="HF123" s="33"/>
      <c r="HG123" s="33"/>
      <c r="HH123" s="33"/>
      <c r="HI123" s="33"/>
      <c r="HJ123" s="33"/>
      <c r="HK123" s="33"/>
      <c r="HL123" s="33"/>
      <c r="HM123" s="33"/>
      <c r="HN123" s="33"/>
      <c r="HO123" s="33"/>
      <c r="HP123" s="33"/>
      <c r="HQ123" s="33"/>
      <c r="HR123" s="33"/>
      <c r="HS123" s="33"/>
      <c r="HT123" s="33"/>
      <c r="HU123" s="33"/>
      <c r="HV123" s="33"/>
      <c r="HW123" s="33"/>
      <c r="HX123" s="33"/>
      <c r="HY123" s="33"/>
      <c r="HZ123" s="33"/>
      <c r="IA123" s="33"/>
      <c r="IB123" s="33"/>
      <c r="IC123" s="33"/>
      <c r="ID123" s="33"/>
      <c r="IE123" s="33"/>
      <c r="IF123" s="33"/>
      <c r="IG123" s="33"/>
      <c r="IH123" s="33"/>
      <c r="II123" s="33"/>
      <c r="IJ123" s="33"/>
      <c r="IK123" s="33"/>
      <c r="IL123" s="33"/>
      <c r="IM123" s="33"/>
      <c r="IN123" s="33"/>
      <c r="IO123" s="33"/>
      <c r="IP123" s="33"/>
      <c r="IQ123" s="33"/>
      <c r="IR123" s="33"/>
      <c r="IS123" s="33"/>
      <c r="IT123" s="33"/>
      <c r="IU123" s="33"/>
      <c r="IV123" s="33"/>
      <c r="IW123" s="33"/>
      <c r="IX123" s="33"/>
      <c r="IY123" s="33"/>
      <c r="IZ123" s="33"/>
      <c r="JA123" s="33"/>
      <c r="JB123" s="33"/>
      <c r="JC123" s="33"/>
      <c r="JD123" s="33"/>
      <c r="JE123" s="33"/>
      <c r="JF123" s="33"/>
      <c r="JG123" s="33"/>
      <c r="JH123" s="33"/>
      <c r="JI123" s="33"/>
      <c r="JJ123" s="33"/>
      <c r="JK123" s="33"/>
      <c r="JL123" s="33"/>
      <c r="JM123" s="33"/>
      <c r="JN123" s="33"/>
      <c r="JO123" s="33"/>
      <c r="JP123" s="33"/>
      <c r="JQ123" s="33"/>
      <c r="JR123" s="33"/>
      <c r="JS123" s="33"/>
      <c r="JT123" s="33"/>
      <c r="JU123" s="33"/>
      <c r="JV123" s="33"/>
      <c r="JW123" s="33"/>
      <c r="JX123" s="33"/>
      <c r="JY123" s="33"/>
      <c r="JZ123" s="33"/>
      <c r="KA123" s="33"/>
      <c r="KB123" s="33"/>
      <c r="KC123" s="33"/>
      <c r="KD123" s="33"/>
      <c r="KE123" s="33"/>
      <c r="KF123" s="33"/>
      <c r="KG123" s="33"/>
      <c r="KH123" s="33"/>
      <c r="KI123" s="33"/>
      <c r="KJ123" s="33"/>
      <c r="KK123" s="33"/>
      <c r="KL123" s="33"/>
      <c r="KM123" s="33"/>
      <c r="KN123" s="33"/>
      <c r="KO123" s="33"/>
      <c r="KP123" s="33"/>
      <c r="KQ123" s="33"/>
      <c r="KR123" s="33"/>
      <c r="KS123" s="33"/>
      <c r="KT123" s="33"/>
      <c r="KU123" s="33"/>
      <c r="KV123" s="33"/>
      <c r="KW123" s="33"/>
      <c r="KX123" s="33"/>
      <c r="KY123" s="33"/>
      <c r="KZ123" s="33"/>
      <c r="LA123" s="33"/>
      <c r="LB123" s="33"/>
      <c r="LC123" s="33"/>
      <c r="LD123" s="33"/>
      <c r="LE123" s="33"/>
      <c r="LF123" s="33"/>
      <c r="LG123" s="33"/>
      <c r="LH123" s="33"/>
      <c r="LI123" s="33"/>
      <c r="LJ123" s="33"/>
      <c r="LK123" s="33"/>
      <c r="LL123" s="33"/>
      <c r="LM123" s="33"/>
      <c r="LN123" s="33"/>
      <c r="LO123" s="33"/>
      <c r="LP123" s="33"/>
      <c r="LQ123" s="33"/>
      <c r="LR123" s="33"/>
      <c r="LS123" s="33"/>
      <c r="LT123" s="33"/>
      <c r="LU123" s="33"/>
      <c r="LV123" s="33"/>
      <c r="LW123" s="33"/>
      <c r="LX123" s="33"/>
      <c r="LY123" s="33"/>
      <c r="LZ123" s="33"/>
      <c r="MA123" s="33"/>
      <c r="MB123" s="33"/>
      <c r="MC123" s="33"/>
      <c r="MD123" s="33"/>
      <c r="ME123" s="33"/>
      <c r="MF123" s="33"/>
      <c r="MG123" s="33"/>
      <c r="MH123" s="33"/>
      <c r="MI123" s="33"/>
      <c r="MJ123" s="33"/>
      <c r="MK123" s="33"/>
      <c r="ML123" s="33"/>
      <c r="MM123" s="33"/>
      <c r="MN123" s="33"/>
      <c r="MO123" s="33"/>
      <c r="MP123" s="33"/>
      <c r="MQ123" s="33"/>
      <c r="MR123" s="33"/>
      <c r="MS123" s="33"/>
      <c r="MT123" s="33"/>
      <c r="MU123" s="33"/>
      <c r="MV123" s="33"/>
      <c r="MW123" s="33"/>
      <c r="MX123" s="33"/>
      <c r="MY123" s="33"/>
      <c r="MZ123" s="33"/>
      <c r="NA123" s="33"/>
      <c r="NB123" s="33"/>
      <c r="NC123" s="33"/>
      <c r="ND123" s="33"/>
      <c r="NE123" s="33"/>
      <c r="NF123" s="33"/>
      <c r="NG123" s="33"/>
      <c r="NH123" s="33"/>
      <c r="NI123" s="33"/>
      <c r="NJ123" s="33"/>
      <c r="NK123" s="33"/>
      <c r="NL123" s="34"/>
    </row>
    <row r="124" spans="1:376" x14ac:dyDescent="0.15">
      <c r="A124" s="35">
        <v>56</v>
      </c>
      <c r="B124" s="36">
        <f>B123</f>
        <v>0</v>
      </c>
      <c r="C124" s="36">
        <f>C123</f>
        <v>0</v>
      </c>
      <c r="D124" s="37">
        <f>D123</f>
        <v>0</v>
      </c>
      <c r="E124" s="61" t="s">
        <v>0</v>
      </c>
      <c r="F124" s="62"/>
      <c r="G124" s="62"/>
      <c r="H124" s="63"/>
      <c r="I124" s="64" t="str">
        <f>IF(OR(H123="",H124=""),"",H124-H123)</f>
        <v/>
      </c>
      <c r="J124" s="65"/>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7"/>
      <c r="AQ124" s="67"/>
      <c r="AR124" s="67"/>
      <c r="AS124" s="67"/>
      <c r="AT124" s="67"/>
      <c r="AU124" s="67"/>
      <c r="AV124" s="67"/>
      <c r="AW124" s="67"/>
      <c r="AX124" s="67"/>
      <c r="AY124" s="67"/>
      <c r="AZ124" s="67"/>
      <c r="BA124" s="67"/>
      <c r="BB124" s="67"/>
      <c r="BC124" s="67"/>
      <c r="BD124" s="67"/>
      <c r="BE124" s="67"/>
      <c r="BF124" s="67"/>
      <c r="BG124" s="67"/>
      <c r="BH124" s="67"/>
      <c r="BI124" s="67"/>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c r="DK124" s="67"/>
      <c r="DL124" s="67"/>
      <c r="DM124" s="67"/>
      <c r="DN124" s="67"/>
      <c r="DO124" s="67"/>
      <c r="DP124" s="67"/>
      <c r="DQ124" s="67"/>
      <c r="DR124" s="67"/>
      <c r="DS124" s="67"/>
      <c r="DT124" s="67"/>
      <c r="DU124" s="67"/>
      <c r="DV124" s="67"/>
      <c r="DW124" s="67"/>
      <c r="DX124" s="67"/>
      <c r="DY124" s="67"/>
      <c r="DZ124" s="67"/>
      <c r="EA124" s="67"/>
      <c r="EB124" s="67"/>
      <c r="EC124" s="67"/>
      <c r="ED124" s="67"/>
      <c r="EE124" s="67"/>
      <c r="EF124" s="67"/>
      <c r="EG124" s="67"/>
      <c r="EH124" s="67"/>
      <c r="EI124" s="67"/>
      <c r="EJ124" s="67"/>
      <c r="EK124" s="67"/>
      <c r="EL124" s="67"/>
      <c r="EM124" s="67"/>
      <c r="EN124" s="67"/>
      <c r="EO124" s="67"/>
      <c r="EP124" s="67"/>
      <c r="EQ124" s="67"/>
      <c r="ER124" s="67"/>
      <c r="ES124" s="67"/>
      <c r="ET124" s="67"/>
      <c r="EU124" s="67"/>
      <c r="EV124" s="67"/>
      <c r="EW124" s="67"/>
      <c r="EX124" s="67"/>
      <c r="EY124" s="67"/>
      <c r="EZ124" s="67"/>
      <c r="FA124" s="67"/>
      <c r="FB124" s="67"/>
      <c r="FC124" s="67"/>
      <c r="FD124" s="67"/>
      <c r="FE124" s="67"/>
      <c r="FF124" s="67"/>
      <c r="FG124" s="67"/>
      <c r="FH124" s="67"/>
      <c r="FI124" s="67"/>
      <c r="FJ124" s="67"/>
      <c r="FK124" s="67"/>
      <c r="FL124" s="67"/>
      <c r="FM124" s="67"/>
      <c r="FN124" s="67"/>
      <c r="FO124" s="67"/>
      <c r="FP124" s="67"/>
      <c r="FQ124" s="67"/>
      <c r="FR124" s="67"/>
      <c r="FS124" s="67"/>
      <c r="FT124" s="67"/>
      <c r="FU124" s="67"/>
      <c r="FV124" s="67"/>
      <c r="FW124" s="67"/>
      <c r="FX124" s="67"/>
      <c r="FY124" s="67"/>
      <c r="FZ124" s="67"/>
      <c r="GA124" s="67"/>
      <c r="GB124" s="67"/>
      <c r="GC124" s="67"/>
      <c r="GD124" s="67"/>
      <c r="GE124" s="67"/>
      <c r="GF124" s="67"/>
      <c r="GG124" s="67"/>
      <c r="GH124" s="67"/>
      <c r="GI124" s="67"/>
      <c r="GJ124" s="67"/>
      <c r="GK124" s="67"/>
      <c r="GL124" s="67"/>
      <c r="GM124" s="67"/>
      <c r="GN124" s="67"/>
      <c r="GO124" s="67"/>
      <c r="GP124" s="67"/>
      <c r="GQ124" s="67"/>
      <c r="GR124" s="67"/>
      <c r="GS124" s="67"/>
      <c r="GT124" s="67"/>
      <c r="GU124" s="67"/>
      <c r="GV124" s="67"/>
      <c r="GW124" s="67"/>
      <c r="GX124" s="67"/>
      <c r="GY124" s="67"/>
      <c r="GZ124" s="67"/>
      <c r="HA124" s="67"/>
      <c r="HB124" s="67"/>
      <c r="HC124" s="67"/>
      <c r="HD124" s="67"/>
      <c r="HE124" s="67"/>
      <c r="HF124" s="67"/>
      <c r="HG124" s="67"/>
      <c r="HH124" s="67"/>
      <c r="HI124" s="67"/>
      <c r="HJ124" s="67"/>
      <c r="HK124" s="67"/>
      <c r="HL124" s="67"/>
      <c r="HM124" s="67"/>
      <c r="HN124" s="67"/>
      <c r="HO124" s="67"/>
      <c r="HP124" s="67"/>
      <c r="HQ124" s="67"/>
      <c r="HR124" s="67"/>
      <c r="HS124" s="67"/>
      <c r="HT124" s="67"/>
      <c r="HU124" s="67"/>
      <c r="HV124" s="67"/>
      <c r="HW124" s="67"/>
      <c r="HX124" s="67"/>
      <c r="HY124" s="67"/>
      <c r="HZ124" s="67"/>
      <c r="IA124" s="67"/>
      <c r="IB124" s="67"/>
      <c r="IC124" s="67"/>
      <c r="ID124" s="67"/>
      <c r="IE124" s="67"/>
      <c r="IF124" s="67"/>
      <c r="IG124" s="67"/>
      <c r="IH124" s="67"/>
      <c r="II124" s="67"/>
      <c r="IJ124" s="67"/>
      <c r="IK124" s="67"/>
      <c r="IL124" s="67"/>
      <c r="IM124" s="67"/>
      <c r="IN124" s="67"/>
      <c r="IO124" s="67"/>
      <c r="IP124" s="67"/>
      <c r="IQ124" s="67"/>
      <c r="IR124" s="67"/>
      <c r="IS124" s="67"/>
      <c r="IT124" s="67"/>
      <c r="IU124" s="67"/>
      <c r="IV124" s="67"/>
      <c r="IW124" s="67"/>
      <c r="IX124" s="67"/>
      <c r="IY124" s="67"/>
      <c r="IZ124" s="67"/>
      <c r="JA124" s="67"/>
      <c r="JB124" s="67"/>
      <c r="JC124" s="67"/>
      <c r="JD124" s="67"/>
      <c r="JE124" s="67"/>
      <c r="JF124" s="67"/>
      <c r="JG124" s="67"/>
      <c r="JH124" s="67"/>
      <c r="JI124" s="67"/>
      <c r="JJ124" s="67"/>
      <c r="JK124" s="67"/>
      <c r="JL124" s="67"/>
      <c r="JM124" s="67"/>
      <c r="JN124" s="67"/>
      <c r="JO124" s="67"/>
      <c r="JP124" s="67"/>
      <c r="JQ124" s="67"/>
      <c r="JR124" s="67"/>
      <c r="JS124" s="67"/>
      <c r="JT124" s="67"/>
      <c r="JU124" s="67"/>
      <c r="JV124" s="67"/>
      <c r="JW124" s="67"/>
      <c r="JX124" s="67"/>
      <c r="JY124" s="67"/>
      <c r="JZ124" s="67"/>
      <c r="KA124" s="67"/>
      <c r="KB124" s="67"/>
      <c r="KC124" s="67"/>
      <c r="KD124" s="67"/>
      <c r="KE124" s="67"/>
      <c r="KF124" s="67"/>
      <c r="KG124" s="67"/>
      <c r="KH124" s="67"/>
      <c r="KI124" s="67"/>
      <c r="KJ124" s="67"/>
      <c r="KK124" s="67"/>
      <c r="KL124" s="67"/>
      <c r="KM124" s="67"/>
      <c r="KN124" s="67"/>
      <c r="KO124" s="67"/>
      <c r="KP124" s="67"/>
      <c r="KQ124" s="67"/>
      <c r="KR124" s="67"/>
      <c r="KS124" s="67"/>
      <c r="KT124" s="67"/>
      <c r="KU124" s="67"/>
      <c r="KV124" s="67"/>
      <c r="KW124" s="67"/>
      <c r="KX124" s="67"/>
      <c r="KY124" s="67"/>
      <c r="KZ124" s="67"/>
      <c r="LA124" s="67"/>
      <c r="LB124" s="67"/>
      <c r="LC124" s="67"/>
      <c r="LD124" s="67"/>
      <c r="LE124" s="67"/>
      <c r="LF124" s="67"/>
      <c r="LG124" s="67"/>
      <c r="LH124" s="67"/>
      <c r="LI124" s="67"/>
      <c r="LJ124" s="67"/>
      <c r="LK124" s="67"/>
      <c r="LL124" s="67"/>
      <c r="LM124" s="67"/>
      <c r="LN124" s="67"/>
      <c r="LO124" s="67"/>
      <c r="LP124" s="67"/>
      <c r="LQ124" s="67"/>
      <c r="LR124" s="67"/>
      <c r="LS124" s="67"/>
      <c r="LT124" s="67"/>
      <c r="LU124" s="67"/>
      <c r="LV124" s="67"/>
      <c r="LW124" s="67"/>
      <c r="LX124" s="67"/>
      <c r="LY124" s="67"/>
      <c r="LZ124" s="67"/>
      <c r="MA124" s="67"/>
      <c r="MB124" s="67"/>
      <c r="MC124" s="67"/>
      <c r="MD124" s="67"/>
      <c r="ME124" s="67"/>
      <c r="MF124" s="67"/>
      <c r="MG124" s="67"/>
      <c r="MH124" s="67"/>
      <c r="MI124" s="67"/>
      <c r="MJ124" s="67"/>
      <c r="MK124" s="67"/>
      <c r="ML124" s="67"/>
      <c r="MM124" s="67"/>
      <c r="MN124" s="67"/>
      <c r="MO124" s="67"/>
      <c r="MP124" s="67"/>
      <c r="MQ124" s="67"/>
      <c r="MR124" s="67"/>
      <c r="MS124" s="67"/>
      <c r="MT124" s="67"/>
      <c r="MU124" s="67"/>
      <c r="MV124" s="67"/>
      <c r="MW124" s="67"/>
      <c r="MX124" s="67"/>
      <c r="MY124" s="67"/>
      <c r="MZ124" s="67"/>
      <c r="NA124" s="67"/>
      <c r="NB124" s="67"/>
      <c r="NC124" s="67"/>
      <c r="ND124" s="67"/>
      <c r="NE124" s="67"/>
      <c r="NF124" s="67"/>
      <c r="NG124" s="67"/>
      <c r="NH124" s="67"/>
      <c r="NI124" s="67"/>
      <c r="NJ124" s="67"/>
      <c r="NK124" s="67"/>
      <c r="NL124" s="68"/>
    </row>
  </sheetData>
  <sheetProtection selectLockedCells="1"/>
  <phoneticPr fontId="2"/>
  <conditionalFormatting sqref="J13:CT13 J15:CT15 J17:CT17 J19:CT19 J21:CT21 J23:CT23 J25:CT25 J27:CT27 J29:CT29 J31:CT31 J33:CT33 J35:CT35 J37:CT37 J39:CT39 J41:CT41 J43:CT43 J45:CT45 J47:CT47 J49:CT49 J51:CT51 J53:CT53 J55:CT55 J57:CT57 J59:CT59 J61:CT61 J63:CT63 J65:CT65 J67:CT67 J69:CT69 J71:CT71 J73:CT73 J75:CT75 J77:CT77 J79:CT79 J81:CT81 J83:CT83 J85:CT85 J87:CT87 J89:CT89 J91:CT91 J93:CT93 J95:CT95 J97:CT97 J99:CT99 J101:CT101 J103:CT103 J105:CT105 J107:CT107 J109:CT109 J111:CT111 NL111 NL109 NL107 NL105 NL103 NL101 NL99 NL97 NL95 NL93 NL91 NL89 NL87 NL85 NL83 NL81 NL79 NL77 NL75 NL73 NL71 NL69 NL67 NL65 NL63 NL61 NL59 NL57 NL55 NL53 NL51 NL49 NL47 NL45 NL43 NL41 NL39 NL37 NL35 NL33 NL31 NL29 NL27 NL25 NL23 NL21 NL19 NL17 NL15 NL13">
    <cfRule type="expression" dxfId="737" priority="737" stopIfTrue="1">
      <formula>AND(J$12&gt;=$F13,J$12&lt;=$G13)</formula>
    </cfRule>
  </conditionalFormatting>
  <conditionalFormatting sqref="J14:CT14 J16:CT16 J18:CT18 J20:CT20 J22:CT22 J24:CT24 J26:CT26 J28:CT28 J30:CT30 J32:CT32 J34:CT34 J36:CT36 J38:CT38 J40:CT40 J42:CT42 J44:CT44 J46:CT46 J48:CT48 J50:CT50 J52:CT52 J54:CT54 J56:CT56 J58:CT58 J60:CT60 J62:CT62 J64:CT64 J66:CT66 J68:CT68 J70:CT70 J72:CT72 J74:CT74 J76:CT76 J78:CT78 J80:CT80 J82:CT82 J84:CT84 J86:CT86 J88:CT88 J90:CT90 J92:CT92 J94:CT94 J96:CT96 J98:CT98 J100:CT100 J102:CT102 J104:CT104 J106:CT106 J108:CT108 J110:CT110 J112:CT112 NL112 NL110 NL108 NL106 NL104 NL102 NL100 NL98 NL96 NL94 NL92 NL90 NL88 NL86 NL84 NL82 NL80 NL78 NL76 NL74 NL72 NL70 NL68 NL66 NL64 NL62 NL60 NL58 NL56 NL54 NL52 NL50 NL48 NL46 NL44 NL42 NL40 NL38 NL36 NL34 NL32 NL30 NL28 NL26 NL24 NL22 NL20 NL18 NL16 NL14">
    <cfRule type="expression" dxfId="736" priority="738" stopIfTrue="1">
      <formula>AND(J$12&gt;=$F14,J$12&lt;=$G14)</formula>
    </cfRule>
  </conditionalFormatting>
  <conditionalFormatting sqref="J12:CT12">
    <cfRule type="expression" dxfId="735" priority="739" stopIfTrue="1">
      <formula>TEXT(J12,"aaa")="土"</formula>
    </cfRule>
    <cfRule type="expression" dxfId="734" priority="740" stopIfTrue="1">
      <formula>TEXT(J12,"aaa")="日"</formula>
    </cfRule>
  </conditionalFormatting>
  <conditionalFormatting sqref="CU13:DW13 CU15:DW15 CU17:DW17 CU19:DW19 CU21:DW21 CU23:DW23 CU25:DW25 CU27:DW27 CU29:DW29 CU31:DW31 CU33:DW33 CU35:DW35 CU37:DW37 CU39:DW39 CU41:DW41 CU43:DW43 CU45:DW45 CU47:DW47 CU49:DW49 CU51:DW51 CU53:DW53 CU55:DW55 CU57:DW57 CU59:DW59 CU61:DW61 CU63:DW63 CU65:DW65 CU67:DW67 CU69:DW69 CU71:DW71 CU73:DW73 CU75:DW75 CU77:DW77 CU79:DW79 CU81:DW81 CU83:DW83 CU85:DW85 CU87:DW87 CU89:DW89 CU91:DW91 CU93:DW93 CU95:DW95 CU97:DW97 CU99:DW99 CU101:DW101 CU103:DW103 CU105:DW105 CU107:DW107 CU109:DW109 CU111:DW111">
    <cfRule type="expression" dxfId="733" priority="733" stopIfTrue="1">
      <formula>AND(CU$12&gt;=$F13,CU$12&lt;=$G13)</formula>
    </cfRule>
  </conditionalFormatting>
  <conditionalFormatting sqref="CU14:DW14 CU16:DW16 CU18:DW18 CU20:DW20 CU22:DW22 CU24:DW24 CU26:DW26 CU28:DW28 CU30:DW30 CU32:DW32 CU34:DW34 CU36:DW36 CU38:DW38 CU40:DW40 CU42:DW42 CU44:DW44 CU46:DW46 CU48:DW48 CU50:DW50 CU52:DW52 CU54:DW54 CU56:DW56 CU58:DW58 CU60:DW60 CU62:DW62 CU64:DW64 CU66:DW66 CU68:DW68 CU70:DW70 CU72:DW72 CU74:DW74 CU76:DW76 CU78:DW78 CU80:DW80 CU82:DW82 CU84:DW84 CU86:DW86 CU88:DW88 CU90:DW90 CU92:DW92 CU94:DW94 CU96:DW96 CU98:DW98 CU100:DW100 CU102:DW102 CU104:DW104 CU106:DW106 CU108:DW108 CU110:DW110 CU112:DW112">
    <cfRule type="expression" dxfId="732" priority="734" stopIfTrue="1">
      <formula>AND(CU$12&gt;=$F14,CU$12&lt;=$G14)</formula>
    </cfRule>
  </conditionalFormatting>
  <conditionalFormatting sqref="CU12:DW12">
    <cfRule type="expression" dxfId="731" priority="735" stopIfTrue="1">
      <formula>TEXT(CU12,"aaa")="土"</formula>
    </cfRule>
    <cfRule type="expression" dxfId="730" priority="736" stopIfTrue="1">
      <formula>TEXT(CU12,"aaa")="日"</formula>
    </cfRule>
  </conditionalFormatting>
  <conditionalFormatting sqref="DX13:FB13 DX15:FB15 DX17:FB17 DX19:FB19 DX21:FB21 DX23:FB23 DX25:FB25 DX27:FB27 DX29:FB29 DX31:FB31 DX33:FB33 DX35:FB35 DX37:FB37 DX39:FB39 DX41:FB41 DX43:FB43 DX45:FB45 DX47:FB47 DX49:FB49 DX51:FB51 DX53:FB53 DX55:FB55 DX57:FB57 DX59:FB59 DX61:FB61 DX63:FB63 DX65:FB65 DX67:FB67 DX69:FB69 DX71:FB71 DX73:FB73 DX75:FB75 DX77:FB77 DX79:FB79 DX81:FB81 DX83:FB83 DX85:FB85 DX87:FB87 DX89:FB89 DX91:FB91 DX93:FB93 DX95:FB95 DX97:FB97 DX99:FB99 DX101:FB101 DX103:FB103 DX105:FB105 DX107:FB107 DX109:FB109 DX111:FB111">
    <cfRule type="expression" dxfId="729" priority="727" stopIfTrue="1">
      <formula>AND(DX$12&gt;=$F13,DX$12&lt;=$G13)</formula>
    </cfRule>
  </conditionalFormatting>
  <conditionalFormatting sqref="DX14:FB14 DX16:FB16 DX18:FB18 DX20:FB20 DX22:FB22 DX24:FB24 DX26:FB26 DX28:FB28 DX30:FB30 DX32:FB32 DX34:FB34 DX36:FB36 DX38:FB38 DX40:FB40 DX42:FB42 DX44:FB44 DX46:FB46 DX48:FB48 DX50:FB50 DX52:FB52 DX54:FB54 DX56:FB56 DX58:FB58 DX60:FB60 DX62:FB62 DX64:FB64 DX66:FB66 DX68:FB68 DX70:FB70 DX72:FB72 DX74:FB74 DX76:FB76 DX78:FB78 DX80:FB80 DX82:FB82 DX84:FB84 DX86:FB86 DX88:FB88 DX90:FB90 DX92:FB92 DX94:FB94 DX96:FB96 DX98:FB98 DX100:FB100 DX102:FB102 DX104:FB104 DX106:FB106 DX108:FB108 DX110:FB110 DX112:FB112">
    <cfRule type="expression" dxfId="728" priority="728" stopIfTrue="1">
      <formula>AND(DX$12&gt;=$F14,DX$12&lt;=$G14)</formula>
    </cfRule>
  </conditionalFormatting>
  <conditionalFormatting sqref="DX12:NL12">
    <cfRule type="expression" dxfId="727" priority="729" stopIfTrue="1">
      <formula>TEXT(DX12,"aaa")="土"</formula>
    </cfRule>
    <cfRule type="expression" dxfId="726" priority="730" stopIfTrue="1">
      <formula>TEXT(DX12,"aaa")="日"</formula>
    </cfRule>
  </conditionalFormatting>
  <conditionalFormatting sqref="FC13:FI13 FC15:FI15 FC17:FI17 FC19:FI19 FC21:FI21 FC23:FI23 FC25:FI25 FC27:FI27 FC29:FI29 FC31:FI31 FC33:FI33 FC35:FI35 FC37:FI37 FC39:FI39 FC41:FI41 FC43:FI43 FC45:FI45 FC47:FI47 FC49:FI49 FC51:FI51 FC53:FI53 FC55:FI55 FC57:FI57 FC59:FI59 FC61:FI61 FC63:FI63 FC65:FI65 FC67:FI67 FC69:FI69 FC71:FI71 FC73:FI73 FC75:FI75 FC77:FI77 FC79:FI79 FC81:FI81 FC83:FI83 FC85:FI85 FC87:FI87 FC89:FI89 FC91:FI91 FC93:FI93 FC95:FI95 FC97:FI97 FC99:FI99 FC101:FI101 FC103:FI103 FC105:FI105 FC107:FI107 FC109:FI109 FC111:FI111 NI111:NK111 NI109:NK109 NI107:NK107 NI105:NK105 NI103:NK103 NI101:NK101 NI99:NK99 NI97:NK97 NI95:NK95 NI93:NK93 NI91:NK91 NI89:NK89 NI87:NK87 NI85:NK85 NI83:NK83 NI81:NK81 NI79:NK79 NI77:NK77 NI75:NK75 NI73:NK73 NI71:NK71 NI69:NK69 NI67:NK67 NI65:NK65 NI63:NK63 NI61:NK61 NI59:NK59 NI57:NK57 NI55:NK55 NI53:NK53 NI51:NK51 NI49:NK49 NI47:NK47 NI45:NK45 NI43:NK43 NI41:NK41 NI39:NK39 NI37:NK37 NI35:NK35 NI33:NK33 NI31:NK31 NI29:NK29 NI27:NK27 NI25:NK25 NI23:NK23 NI21:NK21 NI19:NK19 NI17:NK17 NI15:NK15 NI13:NK13 MZ111:NE111 MZ109:NE109 MZ107:NE107 MZ105:NE105 MZ103:NE103 MZ101:NE101 MZ99:NE99 MZ97:NE97 MZ95:NE95 MZ93:NE93 MZ91:NE91 MZ89:NE89 MZ87:NE87 MZ85:NE85 MZ83:NE83 MZ81:NE81 MZ79:NE79 MZ77:NE77 MZ75:NE75 MZ73:NE73 MZ71:NE71 MZ69:NE69 MZ67:NE67 MZ65:NE65 MZ63:NE63 MZ61:NE61 MZ59:NE59 MZ57:NE57 MZ55:NE55 MZ53:NE53 MZ51:NE51 MZ49:NE49 MZ47:NE47 MZ45:NE45 MZ43:NE43 MZ41:NE41 MZ39:NE39 MZ37:NE37 MZ35:NE35 MZ33:NE33 MZ31:NE31 MZ29:NE29 MZ27:NE27 MZ25:NE25 MZ23:NE23 MZ21:NE21 MZ19:NE19 MZ17:NE17 MZ15:NE15 MZ13:NE13 MQ111:MX111 MQ109:MX109 MQ107:MX107 MQ105:MX105 MQ103:MX103 MQ101:MX101 MQ99:MX99 MQ97:MX97 MQ95:MX95 MQ93:MX93 MQ91:MX91 MQ89:MX89 MQ87:MX87 MQ85:MX85 MQ83:MX83 MQ81:MX81 MQ79:MX79 MQ77:MX77 MQ75:MX75 MQ73:MX73 MQ71:MX71 MQ69:MX69 MQ67:MX67 MQ65:MX65 MQ63:MX63 MQ61:MX61 MQ59:MX59 MQ57:MX57 MQ55:MX55 MQ53:MX53 MQ51:MX51 MQ49:MX49 MQ47:MX47 MQ45:MX45 MQ43:MX43 MQ41:MX41 MQ39:MX39 MQ37:MX37 MQ35:MX35 MQ33:MX33 MQ31:MX31 MQ29:MX29 MQ27:MX27 MQ25:MX25 MQ23:MX23 MQ21:MX21 MQ19:MX19 MQ17:MX17 MQ15:MX15 MQ13:MX13 LI111 LI109 LI107 LI105 LI103 LI101 LI99 LI97 LI95 LI93 LI91 LI89 LI87 LI85 LI83 LI81 LI79 LI77 LI75 LI73 LI71 LI69 LI67 LI65 LI63 LI61 LI59 LI57 LI55 LI53 LI51 LI49 LI47 LI45 LI43 LI41 LI39 LI37 LI35 LI33 LI31 LI29 LI27 LI25 LI23 LI21 LI19 LI17 LI15 LI13 KT111:KV111 KT109:KV109 KT107:KV107 KT105:KV105 KT103:KV103 KT101:KV101 KT99:KV99 KT97:KV97 KT95:KV95 KT93:KV93 KT91:KV91 KT89:KV89 KT87:KV87 KT85:KV85 KT83:KV83 KT81:KV81 KT79:KV79 KT77:KV77 KT75:KV75 KT73:KV73 KT71:KV71 KT69:KV69 KT67:KV67 KT65:KV65 KT63:KV63 KT61:KV61 KT59:KV59 KT57:KV57 KT55:KV55 KT53:KV53 KT51:KV51 KT49:KV49 KT47:KV47 KT45:KV45 KT43:KV43 KT41:KV41 KT39:KV39 KT37:KV37 KT35:KV35 KT33:KV33 KT31:KV31 KT29:KV29 KT27:KV27 KT25:KV25 KT23:KV23 KT21:KV21 KT19:KV19 KT17:KV17 KT15:KV15 KT13:KV13 IZ111 IZ109 IZ107 IZ105 IZ103 IZ101 IZ99 IZ97 IZ95 IZ93 IZ91 IZ89 IZ87 IZ85 IZ83 IZ81 IZ79 IZ77 IZ75 IZ73 IZ71 IZ69 IZ67 IZ65 IZ63 IZ61 IZ59 IZ57 IZ55 IZ53 IZ51 IZ49 IZ47 IZ45 IZ43 IZ41 IZ39 IZ37 IZ35 IZ33 IZ31 IZ29 IZ27 IZ25 IZ23 IZ21 IZ19 IZ17 IZ15 IZ13">
    <cfRule type="expression" dxfId="725" priority="723" stopIfTrue="1">
      <formula>AND(FC$12&gt;=$F13,FC$12&lt;=$G13)</formula>
    </cfRule>
  </conditionalFormatting>
  <conditionalFormatting sqref="FC14:FI14 FC16:FI16 FC18:FI18 FC20:FI20 FC22:FI22 FC24:FI24 FC26:FI26 FC28:FI28 FC30:FI30 FC32:FI32 FC34:FI34 FC36:FI36 FC38:FI38 FC40:FI40 FC42:FI42 FC44:FI44 FC46:FI46 FC48:FI48 FC50:FI50 FC52:FI52 FC54:FI54 FC56:FI56 FC58:FI58 FC60:FI60 FC62:FI62 FC64:FI64 FC66:FI66 FC68:FI68 FC70:FI70 FC72:FI72 FC74:FI74 FC76:FI76 FC78:FI78 FC80:FI80 FC82:FI82 FC84:FI84 FC86:FI86 FC88:FI88 FC90:FI90 FC92:FI92 FC94:FI94 FC96:FI96 FC98:FI98 FC100:FI100 FC102:FI102 FC104:FI104 FC106:FI106 FC108:FI108 FC110:FI110 FC112:FI112 NI112:NK112 NI110:NK110 NI108:NK108 NI106:NK106 NI104:NK104 NI102:NK102 NI100:NK100 NI98:NK98 NI96:NK96 NI94:NK94 NI92:NK92 NI90:NK90 NI88:NK88 NI86:NK86 NI84:NK84 NI82:NK82 NI80:NK80 NI78:NK78 NI76:NK76 NI74:NK74 NI72:NK72 NI70:NK70 NI68:NK68 NI66:NK66 NI64:NK64 NI62:NK62 NI60:NK60 NI58:NK58 NI56:NK56 NI54:NK54 NI52:NK52 NI50:NK50 NI48:NK48 NI46:NK46 NI44:NK44 NI42:NK42 NI40:NK40 NI38:NK38 NI36:NK36 NI34:NK34 NI32:NK32 NI30:NK30 NI28:NK28 NI26:NK26 NI24:NK24 NI22:NK22 NI20:NK20 NI18:NK18 NI16:NK16 NI14:NK14 MZ112:NE112 MZ110:NE110 MZ108:NE108 MZ106:NE106 MZ104:NE104 MZ102:NE102 MZ100:NE100 MZ98:NE98 MZ96:NE96 MZ94:NE94 MZ92:NE92 MZ90:NE90 MZ88:NE88 MZ86:NE86 MZ84:NE84 MZ82:NE82 MZ80:NE80 MZ78:NE78 MZ76:NE76 MZ74:NE74 MZ72:NE72 MZ70:NE70 MZ68:NE68 MZ66:NE66 MZ64:NE64 MZ62:NE62 MZ60:NE60 MZ58:NE58 MZ56:NE56 MZ54:NE54 MZ52:NE52 MZ50:NE50 MZ48:NE48 MZ46:NE46 MZ44:NE44 MZ42:NE42 MZ40:NE40 MZ38:NE38 MZ36:NE36 MZ34:NE34 MZ32:NE32 MZ30:NE30 MZ28:NE28 MZ26:NE26 MZ24:NE24 MZ22:NE22 MZ20:NE20 MZ18:NE18 MZ16:NE16 MZ14:NE14 MQ112:MX112 MQ110:MX110 MQ108:MX108 MQ106:MX106 MQ104:MX104 MQ102:MX102 MQ100:MX100 MQ98:MX98 MQ96:MX96 MQ94:MX94 MQ92:MX92 MQ90:MX90 MQ88:MX88 MQ86:MX86 MQ84:MX84 MQ82:MX82 MQ80:MX80 MQ78:MX78 MQ76:MX76 MQ74:MX74 MQ72:MX72 MQ70:MX70 MQ68:MX68 MQ66:MX66 MQ64:MX64 MQ62:MX62 MQ60:MX60 MQ58:MX58 MQ56:MX56 MQ54:MX54 MQ52:MX52 MQ50:MX50 MQ48:MX48 MQ46:MX46 MQ44:MX44 MQ42:MX42 MQ40:MX40 MQ38:MX38 MQ36:MX36 MQ34:MX34 MQ32:MX32 MQ30:MX30 MQ28:MX28 MQ26:MX26 MQ24:MX24 MQ22:MX22 MQ20:MX20 MQ18:MX18 MQ16:MX16 MQ14:MX14 LI112 LI110 LI108 LI106 LI104 LI102 LI100 LI98 LI96 LI94 LI92 LI90 LI88 LI86 LI84 LI82 LI80 LI78 LI76 LI74 LI72 LI70 LI68 LI66 LI64 LI62 LI60 LI58 LI56 LI54 LI52 LI50 LI48 LI46 LI44 LI42 LI40 LI38 LI36 LI34 LI32 LI30 LI28 LI26 LI24 LI22 LI20 LI18 LI16 LI14 KT112:KV112 KT110:KV110 KT108:KV108 KT106:KV106 KT104:KV104 KT102:KV102 KT100:KV100 KT98:KV98 KT96:KV96 KT94:KV94 KT92:KV92 KT90:KV90 KT88:KV88 KT86:KV86 KT84:KV84 KT82:KV82 KT80:KV80 KT78:KV78 KT76:KV76 KT74:KV74 KT72:KV72 KT70:KV70 KT68:KV68 KT66:KV66 KT64:KV64 KT62:KV62 KT60:KV60 KT58:KV58 KT56:KV56 KT54:KV54 KT52:KV52 KT50:KV50 KT48:KV48 KT46:KV46 KT44:KV44 KT42:KV42 KT40:KV40 KT38:KV38 KT36:KV36 KT34:KV34 KT32:KV32 KT30:KV30 KT28:KV28 KT26:KV26 KT24:KV24 KT22:KV22 KT20:KV20 KT18:KV18 KT16:KV16 KT14:KV14 IZ112 IZ110 IZ108 IZ106 IZ104 IZ102 IZ100 IZ98 IZ96 IZ94 IZ92 IZ90 IZ88 IZ86 IZ84 IZ82 IZ80 IZ78 IZ76 IZ74 IZ72 IZ70 IZ68 IZ66 IZ64 IZ62 IZ60 IZ58 IZ56 IZ54 IZ52 IZ50 IZ48 IZ46 IZ44 IZ42 IZ40 IZ38 IZ36 IZ34 IZ32 IZ30 IZ28 IZ26 IZ24 IZ22 IZ20 IZ18 IZ16 IZ14">
    <cfRule type="expression" dxfId="724" priority="724" stopIfTrue="1">
      <formula>AND(FC$12&gt;=$F14,FC$12&lt;=$G14)</formula>
    </cfRule>
  </conditionalFormatting>
  <conditionalFormatting sqref="NF111:NH111 NF109:NH109 NF107:NH107 NF105:NH105 NF103:NH103 NF101:NH101 NF99:NH99 NF97:NH97 NF95:NH95 NF93:NH93 NF91:NH91 NF89:NH89 NF87:NH87 NF85:NH85 NF83:NH83 NF81:NH81 NF79:NH79 NF77:NH77 NF75:NH75 NF73:NH73 NF71:NH71 NF69:NH69 NF67:NH67 NF65:NH65 NF63:NH63 NF61:NH61 NF59:NH59 NF57:NH57 NF55:NH55 NF53:NH53 NF51:NH51 NF49:NH49 NF47:NH47 NF45:NH45 NF43:NH43 NF41:NH41 NF39:NH39 NF37:NH37 NF35:NH35 NF33:NH33 NF31:NH31 NF29:NH29 NF27:NH27 NF25:NH25 NF23:NH23 NF21:NH21 NF19:NH19 NF17:NH17 NF15:NH15 NF13:NH13">
    <cfRule type="expression" dxfId="721" priority="719" stopIfTrue="1">
      <formula>AND(NF$12&gt;=$F13,NF$12&lt;=$G13)</formula>
    </cfRule>
  </conditionalFormatting>
  <conditionalFormatting sqref="NF112:NH112 NF110:NH110 NF108:NH108 NF106:NH106 NF104:NH104 NF102:NH102 NF100:NH100 NF98:NH98 NF96:NH96 NF94:NH94 NF92:NH92 NF90:NH90 NF88:NH88 NF86:NH86 NF84:NH84 NF82:NH82 NF80:NH80 NF78:NH78 NF76:NH76 NF74:NH74 NF72:NH72 NF70:NH70 NF68:NH68 NF66:NH66 NF64:NH64 NF62:NH62 NF60:NH60 NF58:NH58 NF56:NH56 NF54:NH54 NF52:NH52 NF50:NH50 NF48:NH48 NF46:NH46 NF44:NH44 NF42:NH42 NF40:NH40 NF38:NH38 NF36:NH36 NF34:NH34 NF32:NH32 NF30:NH30 NF28:NH28 NF26:NH26 NF24:NH24 NF22:NH22 NF20:NH20 NF18:NH18 NF16:NH16 NF14:NH14">
    <cfRule type="expression" dxfId="720" priority="720" stopIfTrue="1">
      <formula>AND(NF$12&gt;=$F14,NF$12&lt;=$G14)</formula>
    </cfRule>
  </conditionalFormatting>
  <conditionalFormatting sqref="J113:CT113 NL113">
    <cfRule type="expression" dxfId="711" priority="709" stopIfTrue="1">
      <formula>AND(J$12&gt;=$F113,J$12&lt;=$G113)</formula>
    </cfRule>
  </conditionalFormatting>
  <conditionalFormatting sqref="J114:CT114 NL114">
    <cfRule type="expression" dxfId="710" priority="710" stopIfTrue="1">
      <formula>AND(J$12&gt;=$F114,J$12&lt;=$G114)</formula>
    </cfRule>
  </conditionalFormatting>
  <conditionalFormatting sqref="CU113:DW113">
    <cfRule type="expression" dxfId="709" priority="707" stopIfTrue="1">
      <formula>AND(CU$12&gt;=$F113,CU$12&lt;=$G113)</formula>
    </cfRule>
  </conditionalFormatting>
  <conditionalFormatting sqref="CU114:DW114">
    <cfRule type="expression" dxfId="708" priority="708" stopIfTrue="1">
      <formula>AND(CU$12&gt;=$F114,CU$12&lt;=$G114)</formula>
    </cfRule>
  </conditionalFormatting>
  <conditionalFormatting sqref="DX113:FB113">
    <cfRule type="expression" dxfId="707" priority="705" stopIfTrue="1">
      <formula>AND(DX$12&gt;=$F113,DX$12&lt;=$G113)</formula>
    </cfRule>
  </conditionalFormatting>
  <conditionalFormatting sqref="DX114:FB114">
    <cfRule type="expression" dxfId="706" priority="706" stopIfTrue="1">
      <formula>AND(DX$12&gt;=$F114,DX$12&lt;=$G114)</formula>
    </cfRule>
  </conditionalFormatting>
  <conditionalFormatting sqref="FC113:FI113 NI113:NK113 MZ113:NE113 MQ113:MX113 LI113 KT113:KV113 IZ113">
    <cfRule type="expression" dxfId="705" priority="703" stopIfTrue="1">
      <formula>AND(FC$12&gt;=$F113,FC$12&lt;=$G113)</formula>
    </cfRule>
  </conditionalFormatting>
  <conditionalFormatting sqref="FC114:FI114 NI114:NK114 MZ114:NE114 MQ114:MX114 LI114 KT114:KV114 IZ114">
    <cfRule type="expression" dxfId="704" priority="704" stopIfTrue="1">
      <formula>AND(FC$12&gt;=$F114,FC$12&lt;=$G114)</formula>
    </cfRule>
  </conditionalFormatting>
  <conditionalFormatting sqref="NF113:NH113">
    <cfRule type="expression" dxfId="703" priority="701" stopIfTrue="1">
      <formula>AND(NF$12&gt;=$F113,NF$12&lt;=$G113)</formula>
    </cfRule>
  </conditionalFormatting>
  <conditionalFormatting sqref="NF114:NH114">
    <cfRule type="expression" dxfId="702" priority="702" stopIfTrue="1">
      <formula>AND(NF$12&gt;=$F114,NF$12&lt;=$G114)</formula>
    </cfRule>
  </conditionalFormatting>
  <conditionalFormatting sqref="J115:CT115 NL115">
    <cfRule type="expression" dxfId="701" priority="699" stopIfTrue="1">
      <formula>AND(J$12&gt;=$F115,J$12&lt;=$G115)</formula>
    </cfRule>
  </conditionalFormatting>
  <conditionalFormatting sqref="J116:CT116 NL116">
    <cfRule type="expression" dxfId="700" priority="700" stopIfTrue="1">
      <formula>AND(J$12&gt;=$F116,J$12&lt;=$G116)</formula>
    </cfRule>
  </conditionalFormatting>
  <conditionalFormatting sqref="CU115:DW115">
    <cfRule type="expression" dxfId="699" priority="697" stopIfTrue="1">
      <formula>AND(CU$12&gt;=$F115,CU$12&lt;=$G115)</formula>
    </cfRule>
  </conditionalFormatting>
  <conditionalFormatting sqref="CU116:DW116">
    <cfRule type="expression" dxfId="698" priority="698" stopIfTrue="1">
      <formula>AND(CU$12&gt;=$F116,CU$12&lt;=$G116)</formula>
    </cfRule>
  </conditionalFormatting>
  <conditionalFormatting sqref="DX115:FB115">
    <cfRule type="expression" dxfId="697" priority="695" stopIfTrue="1">
      <formula>AND(DX$12&gt;=$F115,DX$12&lt;=$G115)</formula>
    </cfRule>
  </conditionalFormatting>
  <conditionalFormatting sqref="DX116:FB116">
    <cfRule type="expression" dxfId="696" priority="696" stopIfTrue="1">
      <formula>AND(DX$12&gt;=$F116,DX$12&lt;=$G116)</formula>
    </cfRule>
  </conditionalFormatting>
  <conditionalFormatting sqref="FC115:FI115 NI115:NK115 MZ115:NE115 MQ115:MX115 LI115 KT115:KV115 IZ115">
    <cfRule type="expression" dxfId="695" priority="693" stopIfTrue="1">
      <formula>AND(FC$12&gt;=$F115,FC$12&lt;=$G115)</formula>
    </cfRule>
  </conditionalFormatting>
  <conditionalFormatting sqref="FC116:FI116 NI116:NK116 MZ116:NE116 MQ116:MX116 LI116 KT116:KV116 IZ116">
    <cfRule type="expression" dxfId="694" priority="694" stopIfTrue="1">
      <formula>AND(FC$12&gt;=$F116,FC$12&lt;=$G116)</formula>
    </cfRule>
  </conditionalFormatting>
  <conditionalFormatting sqref="NF115:NH115">
    <cfRule type="expression" dxfId="693" priority="691" stopIfTrue="1">
      <formula>AND(NF$12&gt;=$F115,NF$12&lt;=$G115)</formula>
    </cfRule>
  </conditionalFormatting>
  <conditionalFormatting sqref="NF116:NH116">
    <cfRule type="expression" dxfId="692" priority="692" stopIfTrue="1">
      <formula>AND(NF$12&gt;=$F116,NF$12&lt;=$G116)</formula>
    </cfRule>
  </conditionalFormatting>
  <conditionalFormatting sqref="J117:CT117 NL117">
    <cfRule type="expression" dxfId="691" priority="689" stopIfTrue="1">
      <formula>AND(J$12&gt;=$F117,J$12&lt;=$G117)</formula>
    </cfRule>
  </conditionalFormatting>
  <conditionalFormatting sqref="J118:CT118 NL118">
    <cfRule type="expression" dxfId="690" priority="690" stopIfTrue="1">
      <formula>AND(J$12&gt;=$F118,J$12&lt;=$G118)</formula>
    </cfRule>
  </conditionalFormatting>
  <conditionalFormatting sqref="CU117:DW117">
    <cfRule type="expression" dxfId="689" priority="687" stopIfTrue="1">
      <formula>AND(CU$12&gt;=$F117,CU$12&lt;=$G117)</formula>
    </cfRule>
  </conditionalFormatting>
  <conditionalFormatting sqref="CU118:DW118">
    <cfRule type="expression" dxfId="688" priority="688" stopIfTrue="1">
      <formula>AND(CU$12&gt;=$F118,CU$12&lt;=$G118)</formula>
    </cfRule>
  </conditionalFormatting>
  <conditionalFormatting sqref="DX117:FB117">
    <cfRule type="expression" dxfId="687" priority="685" stopIfTrue="1">
      <formula>AND(DX$12&gt;=$F117,DX$12&lt;=$G117)</formula>
    </cfRule>
  </conditionalFormatting>
  <conditionalFormatting sqref="DX118:FB118">
    <cfRule type="expression" dxfId="686" priority="686" stopIfTrue="1">
      <formula>AND(DX$12&gt;=$F118,DX$12&lt;=$G118)</formula>
    </cfRule>
  </conditionalFormatting>
  <conditionalFormatting sqref="FC117:FI117 NI117:NK117 MZ117:NE117 MQ117:MX117 LI117 KT117:KV117 IZ117">
    <cfRule type="expression" dxfId="685" priority="683" stopIfTrue="1">
      <formula>AND(FC$12&gt;=$F117,FC$12&lt;=$G117)</formula>
    </cfRule>
  </conditionalFormatting>
  <conditionalFormatting sqref="FC118:FI118 NI118:NK118 MZ118:NE118 MQ118:MX118 LI118 KT118:KV118 IZ118">
    <cfRule type="expression" dxfId="684" priority="684" stopIfTrue="1">
      <formula>AND(FC$12&gt;=$F118,FC$12&lt;=$G118)</formula>
    </cfRule>
  </conditionalFormatting>
  <conditionalFormatting sqref="NF117:NH117">
    <cfRule type="expression" dxfId="683" priority="681" stopIfTrue="1">
      <formula>AND(NF$12&gt;=$F117,NF$12&lt;=$G117)</formula>
    </cfRule>
  </conditionalFormatting>
  <conditionalFormatting sqref="NF118:NH118">
    <cfRule type="expression" dxfId="682" priority="682" stopIfTrue="1">
      <formula>AND(NF$12&gt;=$F118,NF$12&lt;=$G118)</formula>
    </cfRule>
  </conditionalFormatting>
  <conditionalFormatting sqref="J119:CT119 NL119">
    <cfRule type="expression" dxfId="681" priority="679" stopIfTrue="1">
      <formula>AND(J$12&gt;=$F119,J$12&lt;=$G119)</formula>
    </cfRule>
  </conditionalFormatting>
  <conditionalFormatting sqref="J120:CT120 NL120">
    <cfRule type="expression" dxfId="680" priority="680" stopIfTrue="1">
      <formula>AND(J$12&gt;=$F120,J$12&lt;=$G120)</formula>
    </cfRule>
  </conditionalFormatting>
  <conditionalFormatting sqref="CU119:DW119">
    <cfRule type="expression" dxfId="679" priority="677" stopIfTrue="1">
      <formula>AND(CU$12&gt;=$F119,CU$12&lt;=$G119)</formula>
    </cfRule>
  </conditionalFormatting>
  <conditionalFormatting sqref="CU120:DW120">
    <cfRule type="expression" dxfId="678" priority="678" stopIfTrue="1">
      <formula>AND(CU$12&gt;=$F120,CU$12&lt;=$G120)</formula>
    </cfRule>
  </conditionalFormatting>
  <conditionalFormatting sqref="DX119:FB119">
    <cfRule type="expression" dxfId="677" priority="675" stopIfTrue="1">
      <formula>AND(DX$12&gt;=$F119,DX$12&lt;=$G119)</formula>
    </cfRule>
  </conditionalFormatting>
  <conditionalFormatting sqref="DX120:FB120">
    <cfRule type="expression" dxfId="676" priority="676" stopIfTrue="1">
      <formula>AND(DX$12&gt;=$F120,DX$12&lt;=$G120)</formula>
    </cfRule>
  </conditionalFormatting>
  <conditionalFormatting sqref="FC119:FI119 NI119:NK119 MZ119:NE119 MQ119:MX119 LI119 KT119:KV119 IZ119">
    <cfRule type="expression" dxfId="675" priority="673" stopIfTrue="1">
      <formula>AND(FC$12&gt;=$F119,FC$12&lt;=$G119)</formula>
    </cfRule>
  </conditionalFormatting>
  <conditionalFormatting sqref="FC120:FI120 NI120:NK120 MZ120:NE120 MQ120:MX120 LI120 KT120:KV120 IZ120">
    <cfRule type="expression" dxfId="674" priority="674" stopIfTrue="1">
      <formula>AND(FC$12&gt;=$F120,FC$12&lt;=$G120)</formula>
    </cfRule>
  </conditionalFormatting>
  <conditionalFormatting sqref="NF119:NH119">
    <cfRule type="expression" dxfId="673" priority="671" stopIfTrue="1">
      <formula>AND(NF$12&gt;=$F119,NF$12&lt;=$G119)</formula>
    </cfRule>
  </conditionalFormatting>
  <conditionalFormatting sqref="NF120:NH120">
    <cfRule type="expression" dxfId="672" priority="672" stopIfTrue="1">
      <formula>AND(NF$12&gt;=$F120,NF$12&lt;=$G120)</formula>
    </cfRule>
  </conditionalFormatting>
  <conditionalFormatting sqref="J121:CT121 NL121">
    <cfRule type="expression" dxfId="671" priority="669" stopIfTrue="1">
      <formula>AND(J$12&gt;=$F121,J$12&lt;=$G121)</formula>
    </cfRule>
  </conditionalFormatting>
  <conditionalFormatting sqref="J122:CT122 NL122">
    <cfRule type="expression" dxfId="670" priority="670" stopIfTrue="1">
      <formula>AND(J$12&gt;=$F122,J$12&lt;=$G122)</formula>
    </cfRule>
  </conditionalFormatting>
  <conditionalFormatting sqref="CU121:DW121">
    <cfRule type="expression" dxfId="669" priority="667" stopIfTrue="1">
      <formula>AND(CU$12&gt;=$F121,CU$12&lt;=$G121)</formula>
    </cfRule>
  </conditionalFormatting>
  <conditionalFormatting sqref="CU122:DW122">
    <cfRule type="expression" dxfId="668" priority="668" stopIfTrue="1">
      <formula>AND(CU$12&gt;=$F122,CU$12&lt;=$G122)</formula>
    </cfRule>
  </conditionalFormatting>
  <conditionalFormatting sqref="DX121:FB121">
    <cfRule type="expression" dxfId="667" priority="665" stopIfTrue="1">
      <formula>AND(DX$12&gt;=$F121,DX$12&lt;=$G121)</formula>
    </cfRule>
  </conditionalFormatting>
  <conditionalFormatting sqref="DX122:FB122">
    <cfRule type="expression" dxfId="666" priority="666" stopIfTrue="1">
      <formula>AND(DX$12&gt;=$F122,DX$12&lt;=$G122)</formula>
    </cfRule>
  </conditionalFormatting>
  <conditionalFormatting sqref="FC121:FI121 NI121:NK121 MZ121:NE121 MQ121:MX121 LI121 KT121:KV121 IZ121">
    <cfRule type="expression" dxfId="665" priority="663" stopIfTrue="1">
      <formula>AND(FC$12&gt;=$F121,FC$12&lt;=$G121)</formula>
    </cfRule>
  </conditionalFormatting>
  <conditionalFormatting sqref="FC122:FI122 NI122:NK122 MZ122:NE122 MQ122:MX122 LI122 KT122:KV122 IZ122">
    <cfRule type="expression" dxfId="664" priority="664" stopIfTrue="1">
      <formula>AND(FC$12&gt;=$F122,FC$12&lt;=$G122)</formula>
    </cfRule>
  </conditionalFormatting>
  <conditionalFormatting sqref="NF121:NH121">
    <cfRule type="expression" dxfId="663" priority="661" stopIfTrue="1">
      <formula>AND(NF$12&gt;=$F121,NF$12&lt;=$G121)</formula>
    </cfRule>
  </conditionalFormatting>
  <conditionalFormatting sqref="NF122:NH122">
    <cfRule type="expression" dxfId="662" priority="662" stopIfTrue="1">
      <formula>AND(NF$12&gt;=$F122,NF$12&lt;=$G122)</formula>
    </cfRule>
  </conditionalFormatting>
  <conditionalFormatting sqref="J123:CT123 NL123">
    <cfRule type="expression" dxfId="661" priority="659" stopIfTrue="1">
      <formula>AND(J$12&gt;=$F123,J$12&lt;=$G123)</formula>
    </cfRule>
  </conditionalFormatting>
  <conditionalFormatting sqref="J124:CT124 NL124">
    <cfRule type="expression" dxfId="660" priority="660" stopIfTrue="1">
      <formula>AND(J$12&gt;=$F124,J$12&lt;=$G124)</formula>
    </cfRule>
  </conditionalFormatting>
  <conditionalFormatting sqref="CU123:DW123">
    <cfRule type="expression" dxfId="659" priority="657" stopIfTrue="1">
      <formula>AND(CU$12&gt;=$F123,CU$12&lt;=$G123)</formula>
    </cfRule>
  </conditionalFormatting>
  <conditionalFormatting sqref="CU124:DW124">
    <cfRule type="expression" dxfId="658" priority="658" stopIfTrue="1">
      <formula>AND(CU$12&gt;=$F124,CU$12&lt;=$G124)</formula>
    </cfRule>
  </conditionalFormatting>
  <conditionalFormatting sqref="DX123:FB123">
    <cfRule type="expression" dxfId="657" priority="655" stopIfTrue="1">
      <formula>AND(DX$12&gt;=$F123,DX$12&lt;=$G123)</formula>
    </cfRule>
  </conditionalFormatting>
  <conditionalFormatting sqref="DX124:FB124">
    <cfRule type="expression" dxfId="656" priority="656" stopIfTrue="1">
      <formula>AND(DX$12&gt;=$F124,DX$12&lt;=$G124)</formula>
    </cfRule>
  </conditionalFormatting>
  <conditionalFormatting sqref="FC123:FI123 NI123:NK123 MZ123:NE123 MQ123:MX123 LI123 KT123:KV123 IZ123">
    <cfRule type="expression" dxfId="655" priority="653" stopIfTrue="1">
      <formula>AND(FC$12&gt;=$F123,FC$12&lt;=$G123)</formula>
    </cfRule>
  </conditionalFormatting>
  <conditionalFormatting sqref="FC124:FI124 NI124:NK124 MZ124:NE124 MQ124:MX124 LI124 KT124:KV124 IZ124">
    <cfRule type="expression" dxfId="654" priority="654" stopIfTrue="1">
      <formula>AND(FC$12&gt;=$F124,FC$12&lt;=$G124)</formula>
    </cfRule>
  </conditionalFormatting>
  <conditionalFormatting sqref="NF123:NH123">
    <cfRule type="expression" dxfId="653" priority="651" stopIfTrue="1">
      <formula>AND(NF$12&gt;=$F123,NF$12&lt;=$G123)</formula>
    </cfRule>
  </conditionalFormatting>
  <conditionalFormatting sqref="NF124:NH124">
    <cfRule type="expression" dxfId="652" priority="652" stopIfTrue="1">
      <formula>AND(NF$12&gt;=$F124,NF$12&lt;=$G124)</formula>
    </cfRule>
  </conditionalFormatting>
  <conditionalFormatting sqref="MY111 MY109 MY107 MY105 MY103 MY101 MY99 MY97 MY95 MY93 MY91 MY89 MY87 MY85 MY83 MY81 MY79 MY77 MY75 MY73 MY71 MY69 MY67 MY65 MY63 MY61 MY59 MY57 MY55 MY53 MY51 MY49 MY47 MY45 MY43 MY41 MY39 MY37 MY35 MY33 MY31 MY29 MY27 MY25 MY23 MY21 MY19 MY17 MY15 MY13">
    <cfRule type="expression" dxfId="651" priority="647" stopIfTrue="1">
      <formula>AND(MY$12&gt;=$F13,MY$12&lt;=$G13)</formula>
    </cfRule>
  </conditionalFormatting>
  <conditionalFormatting sqref="MY112 MY110 MY108 MY106 MY104 MY102 MY100 MY98 MY96 MY94 MY92 MY90 MY88 MY86 MY84 MY82 MY80 MY78 MY76 MY74 MY72 MY70 MY68 MY66 MY64 MY62 MY60 MY58 MY56 MY54 MY52 MY50 MY48 MY46 MY44 MY42 MY40 MY38 MY36 MY34 MY32 MY30 MY28 MY26 MY24 MY22 MY20 MY18 MY16 MY14">
    <cfRule type="expression" dxfId="650" priority="648" stopIfTrue="1">
      <formula>AND(MY$12&gt;=$F14,MY$12&lt;=$G14)</formula>
    </cfRule>
  </conditionalFormatting>
  <conditionalFormatting sqref="MY113">
    <cfRule type="expression" dxfId="647" priority="645" stopIfTrue="1">
      <formula>AND(MY$12&gt;=$F113,MY$12&lt;=$G113)</formula>
    </cfRule>
  </conditionalFormatting>
  <conditionalFormatting sqref="MY114">
    <cfRule type="expression" dxfId="646" priority="646" stopIfTrue="1">
      <formula>AND(MY$12&gt;=$F114,MY$12&lt;=$G114)</formula>
    </cfRule>
  </conditionalFormatting>
  <conditionalFormatting sqref="MY115">
    <cfRule type="expression" dxfId="645" priority="643" stopIfTrue="1">
      <formula>AND(MY$12&gt;=$F115,MY$12&lt;=$G115)</formula>
    </cfRule>
  </conditionalFormatting>
  <conditionalFormatting sqref="MY116">
    <cfRule type="expression" dxfId="644" priority="644" stopIfTrue="1">
      <formula>AND(MY$12&gt;=$F116,MY$12&lt;=$G116)</formula>
    </cfRule>
  </conditionalFormatting>
  <conditionalFormatting sqref="MY117">
    <cfRule type="expression" dxfId="643" priority="641" stopIfTrue="1">
      <formula>AND(MY$12&gt;=$F117,MY$12&lt;=$G117)</formula>
    </cfRule>
  </conditionalFormatting>
  <conditionalFormatting sqref="MY118">
    <cfRule type="expression" dxfId="642" priority="642" stopIfTrue="1">
      <formula>AND(MY$12&gt;=$F118,MY$12&lt;=$G118)</formula>
    </cfRule>
  </conditionalFormatting>
  <conditionalFormatting sqref="MY119">
    <cfRule type="expression" dxfId="641" priority="639" stopIfTrue="1">
      <formula>AND(MY$12&gt;=$F119,MY$12&lt;=$G119)</formula>
    </cfRule>
  </conditionalFormatting>
  <conditionalFormatting sqref="MY120">
    <cfRule type="expression" dxfId="640" priority="640" stopIfTrue="1">
      <formula>AND(MY$12&gt;=$F120,MY$12&lt;=$G120)</formula>
    </cfRule>
  </conditionalFormatting>
  <conditionalFormatting sqref="MY121">
    <cfRule type="expression" dxfId="639" priority="637" stopIfTrue="1">
      <formula>AND(MY$12&gt;=$F121,MY$12&lt;=$G121)</formula>
    </cfRule>
  </conditionalFormatting>
  <conditionalFormatting sqref="MY122">
    <cfRule type="expression" dxfId="638" priority="638" stopIfTrue="1">
      <formula>AND(MY$12&gt;=$F122,MY$12&lt;=$G122)</formula>
    </cfRule>
  </conditionalFormatting>
  <conditionalFormatting sqref="MY123">
    <cfRule type="expression" dxfId="637" priority="635" stopIfTrue="1">
      <formula>AND(MY$12&gt;=$F123,MY$12&lt;=$G123)</formula>
    </cfRule>
  </conditionalFormatting>
  <conditionalFormatting sqref="MY124">
    <cfRule type="expression" dxfId="636" priority="636" stopIfTrue="1">
      <formula>AND(MY$12&gt;=$F124,MY$12&lt;=$G124)</formula>
    </cfRule>
  </conditionalFormatting>
  <conditionalFormatting sqref="LO111:LP111 LO109:LP109 LO107:LP107 LO105:LP105 LO103:LP103 LO101:LP101 LO99:LP99 LO97:LP97 LO95:LP95 LO93:LP93 LO91:LP91 LO89:LP89 LO87:LP87 LO85:LP85 LO83:LP83 LO81:LP81 LO79:LP79 LO77:LP77 LO75:LP75 LO73:LP73 LO71:LP71 LO69:LP69 LO67:LP67 LO65:LP65 LO63:LP63 LO61:LP61 LO59:LP59 LO57:LP57 LO55:LP55 LO53:LP53 LO51:LP51 LO49:LP49 LO47:LP47 LO45:LP45 LO43:LP43 LO41:LP41 LO39:LP39 LO37:LP37 LO35:LP35 LO33:LP33 LO31:LP31 LO29:LP29 LO27:LP27 LO25:LP25 LO23:LP23 LO21:LP21 LO19:LP19 LO17:LP17 LO15:LP15 LO13:LP13 LJ111:LM111 LJ109:LM109 LJ107:LM107 LJ105:LM105 LJ103:LM103 LJ101:LM101 LJ99:LM99 LJ97:LM97 LJ95:LM95 LJ93:LM93 LJ91:LM91 LJ89:LM89 LJ87:LM87 LJ85:LM85 LJ83:LM83 LJ81:LM81 LJ79:LM79 LJ77:LM77 LJ75:LM75 LJ73:LM73 LJ71:LM71 LJ69:LM69 LJ67:LM67 LJ65:LM65 LJ63:LM63 LJ61:LM61 LJ59:LM59 LJ57:LM57 LJ55:LM55 LJ53:LM53 LJ51:LM51 LJ49:LM49 LJ47:LM47 LJ45:LM45 LJ43:LM43 LJ41:LM41 LJ39:LM39 LJ37:LM37 LJ35:LM35 LJ33:LM33 LJ31:LM31 LJ29:LM29 LJ27:LM27 LJ25:LM25 LJ23:LM23 LJ21:LM21 LJ19:LM19 LJ17:LM17 LJ15:LM15 LJ13:LM13 ML13:MO13 ML15:MO15 ML17:MO17 ML19:MO19 ML21:MO21 ML23:MO23 ML25:MO25 ML27:MO27 ML29:MO29 ML31:MO31 ML33:MO33 ML35:MO35 ML37:MO37 ML39:MO39 ML41:MO41 ML43:MO43 ML45:MO45 ML47:MO47 ML49:MO49 ML51:MO51 ML53:MO53 ML55:MO55 ML57:MO57 ML59:MO59 ML61:MO61 ML63:MO63 ML65:MO65 ML67:MO67 ML69:MO69 ML71:MO71 ML73:MO73 ML75:MO75 ML77:MO77 ML79:MO79 ML81:MO81 ML83:MO83 ML85:MO85 ML87:MO87 ML89:MO89 ML91:MO91 ML93:MO93 ML95:MO95 ML97:MO97 ML99:MO99 ML101:MO101 ML103:MO103 ML105:MO105 ML107:MO107 ML109:MO109 ML111:MO111">
    <cfRule type="expression" dxfId="635" priority="631" stopIfTrue="1">
      <formula>AND(LJ$12&gt;=$F13,LJ$12&lt;=$G13)</formula>
    </cfRule>
  </conditionalFormatting>
  <conditionalFormatting sqref="LO112:LP112 LO110:LP110 LO108:LP108 LO106:LP106 LO104:LP104 LO102:LP102 LO100:LP100 LO98:LP98 LO96:LP96 LO94:LP94 LO92:LP92 LO90:LP90 LO88:LP88 LO86:LP86 LO84:LP84 LO82:LP82 LO80:LP80 LO78:LP78 LO76:LP76 LO74:LP74 LO72:LP72 LO70:LP70 LO68:LP68 LO66:LP66 LO64:LP64 LO62:LP62 LO60:LP60 LO58:LP58 LO56:LP56 LO54:LP54 LO52:LP52 LO50:LP50 LO48:LP48 LO46:LP46 LO44:LP44 LO42:LP42 LO40:LP40 LO38:LP38 LO36:LP36 LO34:LP34 LO32:LP32 LO30:LP30 LO28:LP28 LO26:LP26 LO24:LP24 LO22:LP22 LO20:LP20 LO18:LP18 LO16:LP16 LO14:LP14 LJ112:LM112 LJ110:LM110 LJ108:LM108 LJ106:LM106 LJ104:LM104 LJ102:LM102 LJ100:LM100 LJ98:LM98 LJ96:LM96 LJ94:LM94 LJ92:LM92 LJ90:LM90 LJ88:LM88 LJ86:LM86 LJ84:LM84 LJ82:LM82 LJ80:LM80 LJ78:LM78 LJ76:LM76 LJ74:LM74 LJ72:LM72 LJ70:LM70 LJ68:LM68 LJ66:LM66 LJ64:LM64 LJ62:LM62 LJ60:LM60 LJ58:LM58 LJ56:LM56 LJ54:LM54 LJ52:LM52 LJ50:LM50 LJ48:LM48 LJ46:LM46 LJ44:LM44 LJ42:LM42 LJ40:LM40 LJ38:LM38 LJ36:LM36 LJ34:LM34 LJ32:LM32 LJ30:LM30 LJ28:LM28 LJ26:LM26 LJ24:LM24 LJ22:LM22 LJ20:LM20 LJ18:LM18 LJ16:LM16 LJ14:LM14 ML14:MO14 ML16:MO16 ML18:MO18 ML20:MO20 ML22:MO22 ML24:MO24 ML26:MO26 ML28:MO28 ML30:MO30 ML32:MO32 ML34:MO34 ML36:MO36 ML38:MO38 ML40:MO40 ML42:MO42 ML44:MO44 ML46:MO46 ML48:MO48 ML50:MO50 ML52:MO52 ML54:MO54 ML56:MO56 ML58:MO58 ML60:MO60 ML62:MO62 ML64:MO64 ML66:MO66 ML68:MO68 ML70:MO70 ML72:MO72 ML74:MO74 ML76:MO76 ML78:MO78 ML80:MO80 ML82:MO82 ML84:MO84 ML86:MO86 ML88:MO88 ML90:MO90 ML92:MO92 ML94:MO94 ML96:MO96 ML98:MO98 ML100:MO100 ML102:MO102 ML104:MO104 ML106:MO106 ML108:MO108 ML110:MO110 ML112:MO112">
    <cfRule type="expression" dxfId="634" priority="632" stopIfTrue="1">
      <formula>AND(LJ$12&gt;=$F14,LJ$12&lt;=$G14)</formula>
    </cfRule>
  </conditionalFormatting>
  <conditionalFormatting sqref="MP111 MP109 MP107 MP105 MP103 MP101 MP99 MP97 MP95 MP93 MP91 MP89 MP87 MP85 MP83 MP81 MP79 MP77 MP75 MP73 MP71 MP69 MP67 MP65 MP63 MP61 MP59 MP57 MP55 MP53 MP51 MP49 MP47 MP45 MP43 MP41 MP39 MP37 MP35 MP33 MP31 MP29 MP27 MP25 MP23 MP21 MP19 MP17 MP15 MP13">
    <cfRule type="expression" dxfId="631" priority="629" stopIfTrue="1">
      <formula>AND(MP$12&gt;=$F13,MP$12&lt;=$G13)</formula>
    </cfRule>
  </conditionalFormatting>
  <conditionalFormatting sqref="MP112 MP110 MP108 MP106 MP104 MP102 MP100 MP98 MP96 MP94 MP92 MP90 MP88 MP86 MP84 MP82 MP80 MP78 MP76 MP74 MP72 MP70 MP68 MP66 MP64 MP62 MP60 MP58 MP56 MP54 MP52 MP50 MP48 MP46 MP44 MP42 MP40 MP38 MP36 MP34 MP32 MP30 MP28 MP26 MP24 MP22 MP20 MP18 MP16 MP14">
    <cfRule type="expression" dxfId="630" priority="630" stopIfTrue="1">
      <formula>AND(MP$12&gt;=$F14,MP$12&lt;=$G14)</formula>
    </cfRule>
  </conditionalFormatting>
  <conditionalFormatting sqref="LO113:LP113 LJ113:LM113 ML113:MO113">
    <cfRule type="expression" dxfId="627" priority="625" stopIfTrue="1">
      <formula>AND(LJ$12&gt;=$F113,LJ$12&lt;=$G113)</formula>
    </cfRule>
  </conditionalFormatting>
  <conditionalFormatting sqref="LO114:LP114 LJ114:LM114 ML114:MO114">
    <cfRule type="expression" dxfId="626" priority="626" stopIfTrue="1">
      <formula>AND(LJ$12&gt;=$F114,LJ$12&lt;=$G114)</formula>
    </cfRule>
  </conditionalFormatting>
  <conditionalFormatting sqref="MP113">
    <cfRule type="expression" dxfId="625" priority="623" stopIfTrue="1">
      <formula>AND(MP$12&gt;=$F113,MP$12&lt;=$G113)</formula>
    </cfRule>
  </conditionalFormatting>
  <conditionalFormatting sqref="MP114">
    <cfRule type="expression" dxfId="624" priority="624" stopIfTrue="1">
      <formula>AND(MP$12&gt;=$F114,MP$12&lt;=$G114)</formula>
    </cfRule>
  </conditionalFormatting>
  <conditionalFormatting sqref="LO115:LP115 LJ115:LM115 ML115:MO115">
    <cfRule type="expression" dxfId="623" priority="621" stopIfTrue="1">
      <formula>AND(LJ$12&gt;=$F115,LJ$12&lt;=$G115)</formula>
    </cfRule>
  </conditionalFormatting>
  <conditionalFormatting sqref="LO116:LP116 LJ116:LM116 ML116:MO116">
    <cfRule type="expression" dxfId="622" priority="622" stopIfTrue="1">
      <formula>AND(LJ$12&gt;=$F116,LJ$12&lt;=$G116)</formula>
    </cfRule>
  </conditionalFormatting>
  <conditionalFormatting sqref="MP115">
    <cfRule type="expression" dxfId="621" priority="619" stopIfTrue="1">
      <formula>AND(MP$12&gt;=$F115,MP$12&lt;=$G115)</formula>
    </cfRule>
  </conditionalFormatting>
  <conditionalFormatting sqref="MP116">
    <cfRule type="expression" dxfId="620" priority="620" stopIfTrue="1">
      <formula>AND(MP$12&gt;=$F116,MP$12&lt;=$G116)</formula>
    </cfRule>
  </conditionalFormatting>
  <conditionalFormatting sqref="LO117:LP117 LJ117:LM117 ML117:MO117">
    <cfRule type="expression" dxfId="619" priority="617" stopIfTrue="1">
      <formula>AND(LJ$12&gt;=$F117,LJ$12&lt;=$G117)</formula>
    </cfRule>
  </conditionalFormatting>
  <conditionalFormatting sqref="LO118:LP118 LJ118:LM118 ML118:MO118">
    <cfRule type="expression" dxfId="618" priority="618" stopIfTrue="1">
      <formula>AND(LJ$12&gt;=$F118,LJ$12&lt;=$G118)</formula>
    </cfRule>
  </conditionalFormatting>
  <conditionalFormatting sqref="MP117">
    <cfRule type="expression" dxfId="617" priority="615" stopIfTrue="1">
      <formula>AND(MP$12&gt;=$F117,MP$12&lt;=$G117)</formula>
    </cfRule>
  </conditionalFormatting>
  <conditionalFormatting sqref="MP118">
    <cfRule type="expression" dxfId="616" priority="616" stopIfTrue="1">
      <formula>AND(MP$12&gt;=$F118,MP$12&lt;=$G118)</formula>
    </cfRule>
  </conditionalFormatting>
  <conditionalFormatting sqref="LO119:LP119 LJ119:LM119 ML119:MO119">
    <cfRule type="expression" dxfId="615" priority="613" stopIfTrue="1">
      <formula>AND(LJ$12&gt;=$F119,LJ$12&lt;=$G119)</formula>
    </cfRule>
  </conditionalFormatting>
  <conditionalFormatting sqref="LO120:LP120 LJ120:LM120 ML120:MO120">
    <cfRule type="expression" dxfId="614" priority="614" stopIfTrue="1">
      <formula>AND(LJ$12&gt;=$F120,LJ$12&lt;=$G120)</formula>
    </cfRule>
  </conditionalFormatting>
  <conditionalFormatting sqref="MP119">
    <cfRule type="expression" dxfId="613" priority="611" stopIfTrue="1">
      <formula>AND(MP$12&gt;=$F119,MP$12&lt;=$G119)</formula>
    </cfRule>
  </conditionalFormatting>
  <conditionalFormatting sqref="MP120">
    <cfRule type="expression" dxfId="612" priority="612" stopIfTrue="1">
      <formula>AND(MP$12&gt;=$F120,MP$12&lt;=$G120)</formula>
    </cfRule>
  </conditionalFormatting>
  <conditionalFormatting sqref="LO121:LP121 LJ121:LM121 ML121:MO121">
    <cfRule type="expression" dxfId="611" priority="609" stopIfTrue="1">
      <formula>AND(LJ$12&gt;=$F121,LJ$12&lt;=$G121)</formula>
    </cfRule>
  </conditionalFormatting>
  <conditionalFormatting sqref="LO122:LP122 LJ122:LM122 ML122:MO122">
    <cfRule type="expression" dxfId="610" priority="610" stopIfTrue="1">
      <formula>AND(LJ$12&gt;=$F122,LJ$12&lt;=$G122)</formula>
    </cfRule>
  </conditionalFormatting>
  <conditionalFormatting sqref="MP121">
    <cfRule type="expression" dxfId="609" priority="607" stopIfTrue="1">
      <formula>AND(MP$12&gt;=$F121,MP$12&lt;=$G121)</formula>
    </cfRule>
  </conditionalFormatting>
  <conditionalFormatting sqref="MP122">
    <cfRule type="expression" dxfId="608" priority="608" stopIfTrue="1">
      <formula>AND(MP$12&gt;=$F122,MP$12&lt;=$G122)</formula>
    </cfRule>
  </conditionalFormatting>
  <conditionalFormatting sqref="LO123:LP123 LJ123:LM123 ML123:MO123">
    <cfRule type="expression" dxfId="607" priority="605" stopIfTrue="1">
      <formula>AND(LJ$12&gt;=$F123,LJ$12&lt;=$G123)</formula>
    </cfRule>
  </conditionalFormatting>
  <conditionalFormatting sqref="LO124:LP124 LJ124:LM124 ML124:MO124">
    <cfRule type="expression" dxfId="606" priority="606" stopIfTrue="1">
      <formula>AND(LJ$12&gt;=$F124,LJ$12&lt;=$G124)</formula>
    </cfRule>
  </conditionalFormatting>
  <conditionalFormatting sqref="MP123">
    <cfRule type="expression" dxfId="605" priority="603" stopIfTrue="1">
      <formula>AND(MP$12&gt;=$F123,MP$12&lt;=$G123)</formula>
    </cfRule>
  </conditionalFormatting>
  <conditionalFormatting sqref="MP124">
    <cfRule type="expression" dxfId="604" priority="604" stopIfTrue="1">
      <formula>AND(MP$12&gt;=$F124,MP$12&lt;=$G124)</formula>
    </cfRule>
  </conditionalFormatting>
  <conditionalFormatting sqref="LN111 LN109 LN107 LN105 LN103 LN101 LN99 LN97 LN95 LN93 LN91 LN89 LN87 LN85 LN83 LN81 LN79 LN77 LN75 LN73 LN71 LN69 LN67 LN65 LN63 LN61 LN59 LN57 LN55 LN53 LN51 LN49 LN47 LN45 LN43 LN41 LN39 LN37 LN35 LN33 LN31 LN29 LN27 LN25 LN23 LN21 LN19 LN17 LN15 LN13">
    <cfRule type="expression" dxfId="603" priority="599" stopIfTrue="1">
      <formula>AND(LN$12&gt;=$F13,LN$12&lt;=$G13)</formula>
    </cfRule>
  </conditionalFormatting>
  <conditionalFormatting sqref="LN112 LN110 LN108 LN106 LN104 LN102 LN100 LN98 LN96 LN94 LN92 LN90 LN88 LN86 LN84 LN82 LN80 LN78 LN76 LN74 LN72 LN70 LN68 LN66 LN64 LN62 LN60 LN58 LN56 LN54 LN52 LN50 LN48 LN46 LN44 LN42 LN40 LN38 LN36 LN34 LN32 LN30 LN28 LN26 LN24 LN22 LN20 LN18 LN16 LN14">
    <cfRule type="expression" dxfId="602" priority="600" stopIfTrue="1">
      <formula>AND(LN$12&gt;=$F14,LN$12&lt;=$G14)</formula>
    </cfRule>
  </conditionalFormatting>
  <conditionalFormatting sqref="LN113">
    <cfRule type="expression" dxfId="599" priority="597" stopIfTrue="1">
      <formula>AND(LN$12&gt;=$F113,LN$12&lt;=$G113)</formula>
    </cfRule>
  </conditionalFormatting>
  <conditionalFormatting sqref="LN114">
    <cfRule type="expression" dxfId="598" priority="598" stopIfTrue="1">
      <formula>AND(LN$12&gt;=$F114,LN$12&lt;=$G114)</formula>
    </cfRule>
  </conditionalFormatting>
  <conditionalFormatting sqref="LN115">
    <cfRule type="expression" dxfId="597" priority="595" stopIfTrue="1">
      <formula>AND(LN$12&gt;=$F115,LN$12&lt;=$G115)</formula>
    </cfRule>
  </conditionalFormatting>
  <conditionalFormatting sqref="LN116">
    <cfRule type="expression" dxfId="596" priority="596" stopIfTrue="1">
      <formula>AND(LN$12&gt;=$F116,LN$12&lt;=$G116)</formula>
    </cfRule>
  </conditionalFormatting>
  <conditionalFormatting sqref="LN117">
    <cfRule type="expression" dxfId="595" priority="593" stopIfTrue="1">
      <formula>AND(LN$12&gt;=$F117,LN$12&lt;=$G117)</formula>
    </cfRule>
  </conditionalFormatting>
  <conditionalFormatting sqref="LN118">
    <cfRule type="expression" dxfId="594" priority="594" stopIfTrue="1">
      <formula>AND(LN$12&gt;=$F118,LN$12&lt;=$G118)</formula>
    </cfRule>
  </conditionalFormatting>
  <conditionalFormatting sqref="LN119">
    <cfRule type="expression" dxfId="593" priority="591" stopIfTrue="1">
      <formula>AND(LN$12&gt;=$F119,LN$12&lt;=$G119)</formula>
    </cfRule>
  </conditionalFormatting>
  <conditionalFormatting sqref="LN120">
    <cfRule type="expression" dxfId="592" priority="592" stopIfTrue="1">
      <formula>AND(LN$12&gt;=$F120,LN$12&lt;=$G120)</formula>
    </cfRule>
  </conditionalFormatting>
  <conditionalFormatting sqref="LN121">
    <cfRule type="expression" dxfId="591" priority="589" stopIfTrue="1">
      <formula>AND(LN$12&gt;=$F121,LN$12&lt;=$G121)</formula>
    </cfRule>
  </conditionalFormatting>
  <conditionalFormatting sqref="LN122">
    <cfRule type="expression" dxfId="590" priority="590" stopIfTrue="1">
      <formula>AND(LN$12&gt;=$F122,LN$12&lt;=$G122)</formula>
    </cfRule>
  </conditionalFormatting>
  <conditionalFormatting sqref="LN123">
    <cfRule type="expression" dxfId="589" priority="587" stopIfTrue="1">
      <formula>AND(LN$12&gt;=$F123,LN$12&lt;=$G123)</formula>
    </cfRule>
  </conditionalFormatting>
  <conditionalFormatting sqref="LN124">
    <cfRule type="expression" dxfId="588" priority="588" stopIfTrue="1">
      <formula>AND(LN$12&gt;=$F124,LN$12&lt;=$G124)</formula>
    </cfRule>
  </conditionalFormatting>
  <conditionalFormatting sqref="LB111:LG111 LB109:LG109 LB107:LG107 LB105:LG105 LB103:LG103 LB101:LG101 LB99:LG99 LB97:LG97 LB95:LG95 LB93:LG93 LB91:LG91 LB89:LG89 LB87:LG87 LB85:LG85 LB83:LG83 LB81:LG81 LB79:LG79 LB77:LG77 LB75:LG75 LB73:LG73 LB71:LG71 LB69:LG69 LB67:LG67 LB65:LG65 LB63:LG63 LB61:LG61 LB59:LG59 LB57:LG57 LB55:LG55 LB53:LG53 LB51:LG51 LB49:LG49 LB47:LG47 LB45:LG45 LB43:LG43 LB41:LG41 LB39:LG39 LB37:LG37 LB35:LG35 LB33:LG33 LB31:LG31 LB29:LG29 LB27:LG27 LB25:LG25 LB23:LG23 LB21:LG21 LB19:LG19 LB17:LG17 LB15:LG15 LB13:LG13 KW111:KZ111 KW109:KZ109 KW107:KZ107 KW105:KZ105 KW103:KZ103 KW101:KZ101 KW99:KZ99 KW97:KZ97 KW95:KZ95 KW93:KZ93 KW91:KZ91 KW89:KZ89 KW87:KZ87 KW85:KZ85 KW83:KZ83 KW81:KZ81 KW79:KZ79 KW77:KZ77 KW75:KZ75 KW73:KZ73 KW71:KZ71 KW69:KZ69 KW67:KZ67 KW65:KZ65 KW63:KZ63 KW61:KZ61 KW59:KZ59 KW57:KZ57 KW55:KZ55 KW53:KZ53 KW51:KZ51 KW49:KZ49 KW47:KZ47 KW45:KZ45 KW43:KZ43 KW41:KZ41 KW39:KZ39 KW37:KZ37 KW35:KZ35 KW33:KZ33 KW31:KZ31 KW29:KZ29 KW27:KZ27 KW25:KZ25 KW23:KZ23 KW21:KZ21 KW19:KZ19 KW17:KZ17 KW15:KZ15 KW13:KZ13">
    <cfRule type="expression" dxfId="587" priority="583" stopIfTrue="1">
      <formula>AND(KW$12&gt;=$F13,KW$12&lt;=$G13)</formula>
    </cfRule>
  </conditionalFormatting>
  <conditionalFormatting sqref="LB112:LG112 LB110:LG110 LB108:LG108 LB106:LG106 LB104:LG104 LB102:LG102 LB100:LG100 LB98:LG98 LB96:LG96 LB94:LG94 LB92:LG92 LB90:LG90 LB88:LG88 LB86:LG86 LB84:LG84 LB82:LG82 LB80:LG80 LB78:LG78 LB76:LG76 LB74:LG74 LB72:LG72 LB70:LG70 LB68:LG68 LB66:LG66 LB64:LG64 LB62:LG62 LB60:LG60 LB58:LG58 LB56:LG56 LB54:LG54 LB52:LG52 LB50:LG50 LB48:LG48 LB46:LG46 LB44:LG44 LB42:LG42 LB40:LG40 LB38:LG38 LB36:LG36 LB34:LG34 LB32:LG32 LB30:LG30 LB28:LG28 LB26:LG26 LB24:LG24 LB22:LG22 LB20:LG20 LB18:LG18 LB16:LG16 LB14:LG14 KW112:KZ112 KW110:KZ110 KW108:KZ108 KW106:KZ106 KW104:KZ104 KW102:KZ102 KW100:KZ100 KW98:KZ98 KW96:KZ96 KW94:KZ94 KW92:KZ92 KW90:KZ90 KW88:KZ88 KW86:KZ86 KW84:KZ84 KW82:KZ82 KW80:KZ80 KW78:KZ78 KW76:KZ76 KW74:KZ74 KW72:KZ72 KW70:KZ70 KW68:KZ68 KW66:KZ66 KW64:KZ64 KW62:KZ62 KW60:KZ60 KW58:KZ58 KW56:KZ56 KW54:KZ54 KW52:KZ52 KW50:KZ50 KW48:KZ48 KW46:KZ46 KW44:KZ44 KW42:KZ42 KW40:KZ40 KW38:KZ38 KW36:KZ36 KW34:KZ34 KW32:KZ32 KW30:KZ30 KW28:KZ28 KW26:KZ26 KW24:KZ24 KW22:KZ22 KW20:KZ20 KW18:KZ18 KW16:KZ16 KW14:KZ14">
    <cfRule type="expression" dxfId="586" priority="584" stopIfTrue="1">
      <formula>AND(KW$12&gt;=$F14,KW$12&lt;=$G14)</formula>
    </cfRule>
  </conditionalFormatting>
  <conditionalFormatting sqref="LH111 LH109 LH107 LH105 LH103 LH101 LH99 LH97 LH95 LH93 LH91 LH89 LH87 LH85 LH83 LH81 LH79 LH77 LH75 LH73 LH71 LH69 LH67 LH65 LH63 LH61 LH59 LH57 LH55 LH53 LH51 LH49 LH47 LH45 LH43 LH41 LH39 LH37 LH35 LH33 LH31 LH29 LH27 LH25 LH23 LH21 LH19 LH17 LH15 LH13">
    <cfRule type="expression" dxfId="583" priority="581" stopIfTrue="1">
      <formula>AND(LH$12&gt;=$F13,LH$12&lt;=$G13)</formula>
    </cfRule>
  </conditionalFormatting>
  <conditionalFormatting sqref="LH112 LH110 LH108 LH106 LH104 LH102 LH100 LH98 LH96 LH94 LH92 LH90 LH88 LH86 LH84 LH82 LH80 LH78 LH76 LH74 LH72 LH70 LH68 LH66 LH64 LH62 LH60 LH58 LH56 LH54 LH52 LH50 LH48 LH46 LH44 LH42 LH40 LH38 LH36 LH34 LH32 LH30 LH28 LH26 LH24 LH22 LH20 LH18 LH16 LH14">
    <cfRule type="expression" dxfId="582" priority="582" stopIfTrue="1">
      <formula>AND(LH$12&gt;=$F14,LH$12&lt;=$G14)</formula>
    </cfRule>
  </conditionalFormatting>
  <conditionalFormatting sqref="LB113:LG113 KW113:KZ113">
    <cfRule type="expression" dxfId="579" priority="577" stopIfTrue="1">
      <formula>AND(KW$12&gt;=$F113,KW$12&lt;=$G113)</formula>
    </cfRule>
  </conditionalFormatting>
  <conditionalFormatting sqref="LB114:LG114 KW114:KZ114">
    <cfRule type="expression" dxfId="578" priority="578" stopIfTrue="1">
      <formula>AND(KW$12&gt;=$F114,KW$12&lt;=$G114)</formula>
    </cfRule>
  </conditionalFormatting>
  <conditionalFormatting sqref="LH113">
    <cfRule type="expression" dxfId="577" priority="575" stopIfTrue="1">
      <formula>AND(LH$12&gt;=$F113,LH$12&lt;=$G113)</formula>
    </cfRule>
  </conditionalFormatting>
  <conditionalFormatting sqref="LH114">
    <cfRule type="expression" dxfId="576" priority="576" stopIfTrue="1">
      <formula>AND(LH$12&gt;=$F114,LH$12&lt;=$G114)</formula>
    </cfRule>
  </conditionalFormatting>
  <conditionalFormatting sqref="LB115:LG115 KW115:KZ115">
    <cfRule type="expression" dxfId="575" priority="573" stopIfTrue="1">
      <formula>AND(KW$12&gt;=$F115,KW$12&lt;=$G115)</formula>
    </cfRule>
  </conditionalFormatting>
  <conditionalFormatting sqref="LB116:LG116 KW116:KZ116">
    <cfRule type="expression" dxfId="574" priority="574" stopIfTrue="1">
      <formula>AND(KW$12&gt;=$F116,KW$12&lt;=$G116)</formula>
    </cfRule>
  </conditionalFormatting>
  <conditionalFormatting sqref="LH115">
    <cfRule type="expression" dxfId="573" priority="571" stopIfTrue="1">
      <formula>AND(LH$12&gt;=$F115,LH$12&lt;=$G115)</formula>
    </cfRule>
  </conditionalFormatting>
  <conditionalFormatting sqref="LH116">
    <cfRule type="expression" dxfId="572" priority="572" stopIfTrue="1">
      <formula>AND(LH$12&gt;=$F116,LH$12&lt;=$G116)</formula>
    </cfRule>
  </conditionalFormatting>
  <conditionalFormatting sqref="LB117:LG117 KW117:KZ117">
    <cfRule type="expression" dxfId="571" priority="569" stopIfTrue="1">
      <formula>AND(KW$12&gt;=$F117,KW$12&lt;=$G117)</formula>
    </cfRule>
  </conditionalFormatting>
  <conditionalFormatting sqref="LB118:LG118 KW118:KZ118">
    <cfRule type="expression" dxfId="570" priority="570" stopIfTrue="1">
      <formula>AND(KW$12&gt;=$F118,KW$12&lt;=$G118)</formula>
    </cfRule>
  </conditionalFormatting>
  <conditionalFormatting sqref="LH117">
    <cfRule type="expression" dxfId="569" priority="567" stopIfTrue="1">
      <formula>AND(LH$12&gt;=$F117,LH$12&lt;=$G117)</formula>
    </cfRule>
  </conditionalFormatting>
  <conditionalFormatting sqref="LH118">
    <cfRule type="expression" dxfId="568" priority="568" stopIfTrue="1">
      <formula>AND(LH$12&gt;=$F118,LH$12&lt;=$G118)</formula>
    </cfRule>
  </conditionalFormatting>
  <conditionalFormatting sqref="LB119:LG119 KW119:KZ119">
    <cfRule type="expression" dxfId="567" priority="565" stopIfTrue="1">
      <formula>AND(KW$12&gt;=$F119,KW$12&lt;=$G119)</formula>
    </cfRule>
  </conditionalFormatting>
  <conditionalFormatting sqref="LB120:LG120 KW120:KZ120">
    <cfRule type="expression" dxfId="566" priority="566" stopIfTrue="1">
      <formula>AND(KW$12&gt;=$F120,KW$12&lt;=$G120)</formula>
    </cfRule>
  </conditionalFormatting>
  <conditionalFormatting sqref="LH119">
    <cfRule type="expression" dxfId="565" priority="563" stopIfTrue="1">
      <formula>AND(LH$12&gt;=$F119,LH$12&lt;=$G119)</formula>
    </cfRule>
  </conditionalFormatting>
  <conditionalFormatting sqref="LH120">
    <cfRule type="expression" dxfId="564" priority="564" stopIfTrue="1">
      <formula>AND(LH$12&gt;=$F120,LH$12&lt;=$G120)</formula>
    </cfRule>
  </conditionalFormatting>
  <conditionalFormatting sqref="LB121:LG121 KW121:KZ121">
    <cfRule type="expression" dxfId="563" priority="561" stopIfTrue="1">
      <formula>AND(KW$12&gt;=$F121,KW$12&lt;=$G121)</formula>
    </cfRule>
  </conditionalFormatting>
  <conditionalFormatting sqref="LB122:LG122 KW122:KZ122">
    <cfRule type="expression" dxfId="562" priority="562" stopIfTrue="1">
      <formula>AND(KW$12&gt;=$F122,KW$12&lt;=$G122)</formula>
    </cfRule>
  </conditionalFormatting>
  <conditionalFormatting sqref="LH121">
    <cfRule type="expression" dxfId="561" priority="559" stopIfTrue="1">
      <formula>AND(LH$12&gt;=$F121,LH$12&lt;=$G121)</formula>
    </cfRule>
  </conditionalFormatting>
  <conditionalFormatting sqref="LH122">
    <cfRule type="expression" dxfId="560" priority="560" stopIfTrue="1">
      <formula>AND(LH$12&gt;=$F122,LH$12&lt;=$G122)</formula>
    </cfRule>
  </conditionalFormatting>
  <conditionalFormatting sqref="LB123:LG123 KW123:KZ123">
    <cfRule type="expression" dxfId="559" priority="557" stopIfTrue="1">
      <formula>AND(KW$12&gt;=$F123,KW$12&lt;=$G123)</formula>
    </cfRule>
  </conditionalFormatting>
  <conditionalFormatting sqref="LB124:LG124 KW124:KZ124">
    <cfRule type="expression" dxfId="558" priority="558" stopIfTrue="1">
      <formula>AND(KW$12&gt;=$F124,KW$12&lt;=$G124)</formula>
    </cfRule>
  </conditionalFormatting>
  <conditionalFormatting sqref="LH123">
    <cfRule type="expression" dxfId="557" priority="555" stopIfTrue="1">
      <formula>AND(LH$12&gt;=$F123,LH$12&lt;=$G123)</formula>
    </cfRule>
  </conditionalFormatting>
  <conditionalFormatting sqref="LH124">
    <cfRule type="expression" dxfId="556" priority="556" stopIfTrue="1">
      <formula>AND(LH$12&gt;=$F124,LH$12&lt;=$G124)</formula>
    </cfRule>
  </conditionalFormatting>
  <conditionalFormatting sqref="LA111 LA109 LA107 LA105 LA103 LA101 LA99 LA97 LA95 LA93 LA91 LA89 LA87 LA85 LA83 LA81 LA79 LA77 LA75 LA73 LA71 LA69 LA67 LA65 LA63 LA61 LA59 LA57 LA55 LA53 LA51 LA49 LA47 LA45 LA43 LA41 LA39 LA37 LA35 LA33 LA31 LA29 LA27 LA25 LA23 LA21 LA19 LA17 LA15 LA13">
    <cfRule type="expression" dxfId="555" priority="551" stopIfTrue="1">
      <formula>AND(LA$12&gt;=$F13,LA$12&lt;=$G13)</formula>
    </cfRule>
  </conditionalFormatting>
  <conditionalFormatting sqref="LA112 LA110 LA108 LA106 LA104 LA102 LA100 LA98 LA96 LA94 LA92 LA90 LA88 LA86 LA84 LA82 LA80 LA78 LA76 LA74 LA72 LA70 LA68 LA66 LA64 LA62 LA60 LA58 LA56 LA54 LA52 LA50 LA48 LA46 LA44 LA42 LA40 LA38 LA36 LA34 LA32 LA30 LA28 LA26 LA24 LA22 LA20 LA18 LA16 LA14">
    <cfRule type="expression" dxfId="554" priority="552" stopIfTrue="1">
      <formula>AND(LA$12&gt;=$F14,LA$12&lt;=$G14)</formula>
    </cfRule>
  </conditionalFormatting>
  <conditionalFormatting sqref="LA113">
    <cfRule type="expression" dxfId="551" priority="549" stopIfTrue="1">
      <formula>AND(LA$12&gt;=$F113,LA$12&lt;=$G113)</formula>
    </cfRule>
  </conditionalFormatting>
  <conditionalFormatting sqref="LA114">
    <cfRule type="expression" dxfId="550" priority="550" stopIfTrue="1">
      <formula>AND(LA$12&gt;=$F114,LA$12&lt;=$G114)</formula>
    </cfRule>
  </conditionalFormatting>
  <conditionalFormatting sqref="LA115">
    <cfRule type="expression" dxfId="549" priority="547" stopIfTrue="1">
      <formula>AND(LA$12&gt;=$F115,LA$12&lt;=$G115)</formula>
    </cfRule>
  </conditionalFormatting>
  <conditionalFormatting sqref="LA116">
    <cfRule type="expression" dxfId="548" priority="548" stopIfTrue="1">
      <formula>AND(LA$12&gt;=$F116,LA$12&lt;=$G116)</formula>
    </cfRule>
  </conditionalFormatting>
  <conditionalFormatting sqref="LA117">
    <cfRule type="expression" dxfId="547" priority="545" stopIfTrue="1">
      <formula>AND(LA$12&gt;=$F117,LA$12&lt;=$G117)</formula>
    </cfRule>
  </conditionalFormatting>
  <conditionalFormatting sqref="LA118">
    <cfRule type="expression" dxfId="546" priority="546" stopIfTrue="1">
      <formula>AND(LA$12&gt;=$F118,LA$12&lt;=$G118)</formula>
    </cfRule>
  </conditionalFormatting>
  <conditionalFormatting sqref="LA119">
    <cfRule type="expression" dxfId="545" priority="543" stopIfTrue="1">
      <formula>AND(LA$12&gt;=$F119,LA$12&lt;=$G119)</formula>
    </cfRule>
  </conditionalFormatting>
  <conditionalFormatting sqref="LA120">
    <cfRule type="expression" dxfId="544" priority="544" stopIfTrue="1">
      <formula>AND(LA$12&gt;=$F120,LA$12&lt;=$G120)</formula>
    </cfRule>
  </conditionalFormatting>
  <conditionalFormatting sqref="LA121">
    <cfRule type="expression" dxfId="543" priority="541" stopIfTrue="1">
      <formula>AND(LA$12&gt;=$F121,LA$12&lt;=$G121)</formula>
    </cfRule>
  </conditionalFormatting>
  <conditionalFormatting sqref="LA122">
    <cfRule type="expression" dxfId="542" priority="542" stopIfTrue="1">
      <formula>AND(LA$12&gt;=$F122,LA$12&lt;=$G122)</formula>
    </cfRule>
  </conditionalFormatting>
  <conditionalFormatting sqref="LA123">
    <cfRule type="expression" dxfId="541" priority="539" stopIfTrue="1">
      <formula>AND(LA$12&gt;=$F123,LA$12&lt;=$G123)</formula>
    </cfRule>
  </conditionalFormatting>
  <conditionalFormatting sqref="LA124">
    <cfRule type="expression" dxfId="540" priority="540" stopIfTrue="1">
      <formula>AND(LA$12&gt;=$F124,LA$12&lt;=$G124)</formula>
    </cfRule>
  </conditionalFormatting>
  <conditionalFormatting sqref="KR111:KS111 KR109:KS109 KR107:KS107 KR105:KS105 KR103:KS103 KR101:KS101 KR99:KS99 KR97:KS97 KR95:KS95 KR93:KS93 KR91:KS91 KR89:KS89 KR87:KS87 KR85:KS85 KR83:KS83 KR81:KS81 KR79:KS79 KR77:KS77 KR75:KS75 KR73:KS73 KR71:KS71 KR69:KS69 KR67:KS67 KR65:KS65 KR63:KS63 KR61:KS61 KR59:KS59 KR57:KS57 KR55:KS55 KR53:KS53 KR51:KS51 KR49:KS49 KR47:KS47 KR45:KS45 KR43:KS43 KR41:KS41 KR39:KS39 KR37:KS37 KR35:KS35 KR33:KS33 KR31:KS31 KR29:KS29 KR27:KS27 KR25:KS25 KR23:KS23 KR21:KS21 KR19:KS19 KR17:KS17 KR15:KS15 KR13:KS13 KI111:KN111 KI109:KN109 KI107:KN107 KI105:KN105 KI103:KN103 KI101:KN101 KI99:KN99 KI97:KN97 KI95:KN95 KI93:KN93 KI91:KN91 KI89:KN89 KI87:KN87 KI85:KN85 KI83:KN83 KI81:KN81 KI79:KN79 KI77:KN77 KI75:KN75 KI73:KN73 KI71:KN71 KI69:KN69 KI67:KN67 KI65:KN65 KI63:KN63 KI61:KN61 KI59:KN59 KI57:KN57 KI55:KN55 KI53:KN53 KI51:KN51 KI49:KN49 KI47:KN47 KI45:KN45 KI43:KN43 KI41:KN41 KI39:KN39 KI37:KN37 KI35:KN35 KI33:KN33 KI31:KN31 KI29:KN29 KI27:KN27 KI25:KN25 KI23:KN23 KI21:KN21 KI19:KN19 KI17:KN17 KI15:KN15 KI13:KN13 JZ111:KG111 JZ109:KG109 JZ107:KG107 JZ105:KG105 JZ103:KG103 JZ101:KG101 JZ99:KG99 JZ97:KG97 JZ95:KG95 JZ93:KG93 JZ91:KG91 JZ89:KG89 JZ87:KG87 JZ85:KG85 JZ83:KG83 JZ81:KG81 JZ79:KG79 JZ77:KG77 JZ75:KG75 JZ73:KG73 JZ71:KG71 JZ69:KG69 JZ67:KG67 JZ65:KG65 JZ63:KG63 JZ61:KG61 JZ59:KG59 JZ57:KG57 JZ55:KG55 JZ53:KG53 JZ51:KG51 JZ49:KG49 JZ47:KG47 JZ45:KG45 JZ43:KG43 JZ41:KG41 JZ39:KG39 JZ37:KG37 JZ35:KG35 JZ33:KG33 JZ31:KG31 JZ29:KG29 JZ27:KG27 JZ25:KG25 JZ23:KG23 JZ21:KG21 JZ19:KG19 JZ17:KG17 JZ15:KG15 JZ13:KG13 JM111 JM109 JM107 JM105 JM103 JM101 JM99 JM97 JM95 JM93 JM91 JM89 JM87 JM85 JM83 JM81 JM79 JM77 JM75 JM73 JM71 JM69 JM67 JM65 JM63 JM61 JM59 JM57 JM55 JM53 JM51 JM49 JM47 JM45 JM43 JM41 JM39 JM37 JM35 JM33 JM31 JM29 JM27 JM25 JM23 JM21 JM19 JM17 JM15 JM13">
    <cfRule type="expression" dxfId="539" priority="535" stopIfTrue="1">
      <formula>AND(JM$12&gt;=$F13,JM$12&lt;=$G13)</formula>
    </cfRule>
  </conditionalFormatting>
  <conditionalFormatting sqref="KR112:KS112 KR110:KS110 KR108:KS108 KR106:KS106 KR104:KS104 KR102:KS102 KR100:KS100 KR98:KS98 KR96:KS96 KR94:KS94 KR92:KS92 KR90:KS90 KR88:KS88 KR86:KS86 KR84:KS84 KR82:KS82 KR80:KS80 KR78:KS78 KR76:KS76 KR74:KS74 KR72:KS72 KR70:KS70 KR68:KS68 KR66:KS66 KR64:KS64 KR62:KS62 KR60:KS60 KR58:KS58 KR56:KS56 KR54:KS54 KR52:KS52 KR50:KS50 KR48:KS48 KR46:KS46 KR44:KS44 KR42:KS42 KR40:KS40 KR38:KS38 KR36:KS36 KR34:KS34 KR32:KS32 KR30:KS30 KR28:KS28 KR26:KS26 KR24:KS24 KR22:KS22 KR20:KS20 KR18:KS18 KR16:KS16 KR14:KS14 KI112:KN112 KI110:KN110 KI108:KN108 KI106:KN106 KI104:KN104 KI102:KN102 KI100:KN100 KI98:KN98 KI96:KN96 KI94:KN94 KI92:KN92 KI90:KN90 KI88:KN88 KI86:KN86 KI84:KN84 KI82:KN82 KI80:KN80 KI78:KN78 KI76:KN76 KI74:KN74 KI72:KN72 KI70:KN70 KI68:KN68 KI66:KN66 KI64:KN64 KI62:KN62 KI60:KN60 KI58:KN58 KI56:KN56 KI54:KN54 KI52:KN52 KI50:KN50 KI48:KN48 KI46:KN46 KI44:KN44 KI42:KN42 KI40:KN40 KI38:KN38 KI36:KN36 KI34:KN34 KI32:KN32 KI30:KN30 KI28:KN28 KI26:KN26 KI24:KN24 KI22:KN22 KI20:KN20 KI18:KN18 KI16:KN16 KI14:KN14 JZ112:KG112 JZ110:KG110 JZ108:KG108 JZ106:KG106 JZ104:KG104 JZ102:KG102 JZ100:KG100 JZ98:KG98 JZ96:KG96 JZ94:KG94 JZ92:KG92 JZ90:KG90 JZ88:KG88 JZ86:KG86 JZ84:KG84 JZ82:KG82 JZ80:KG80 JZ78:KG78 JZ76:KG76 JZ74:KG74 JZ72:KG72 JZ70:KG70 JZ68:KG68 JZ66:KG66 JZ64:KG64 JZ62:KG62 JZ60:KG60 JZ58:KG58 JZ56:KG56 JZ54:KG54 JZ52:KG52 JZ50:KG50 JZ48:KG48 JZ46:KG46 JZ44:KG44 JZ42:KG42 JZ40:KG40 JZ38:KG38 JZ36:KG36 JZ34:KG34 JZ32:KG32 JZ30:KG30 JZ28:KG28 JZ26:KG26 JZ24:KG24 JZ22:KG22 JZ20:KG20 JZ18:KG18 JZ16:KG16 JZ14:KG14 JM112 JM110 JM108 JM106 JM104 JM102 JM100 JM98 JM96 JM94 JM92 JM90 JM88 JM86 JM84 JM82 JM80 JM78 JM76 JM74 JM72 JM70 JM68 JM66 JM64 JM62 JM60 JM58 JM56 JM54 JM52 JM50 JM48 JM46 JM44 JM42 JM40 JM38 JM36 JM34 JM32 JM30 JM28 JM26 JM24 JM22 JM20 JM18 JM16 JM14">
    <cfRule type="expression" dxfId="538" priority="536" stopIfTrue="1">
      <formula>AND(JM$12&gt;=$F14,JM$12&lt;=$G14)</formula>
    </cfRule>
  </conditionalFormatting>
  <conditionalFormatting sqref="KO111:KQ111 KO109:KQ109 KO107:KQ107 KO105:KQ105 KO103:KQ103 KO101:KQ101 KO99:KQ99 KO97:KQ97 KO95:KQ95 KO93:KQ93 KO91:KQ91 KO89:KQ89 KO87:KQ87 KO85:KQ85 KO83:KQ83 KO81:KQ81 KO79:KQ79 KO77:KQ77 KO75:KQ75 KO73:KQ73 KO71:KQ71 KO69:KQ69 KO67:KQ67 KO65:KQ65 KO63:KQ63 KO61:KQ61 KO59:KQ59 KO57:KQ57 KO55:KQ55 KO53:KQ53 KO51:KQ51 KO49:KQ49 KO47:KQ47 KO45:KQ45 KO43:KQ43 KO41:KQ41 KO39:KQ39 KO37:KQ37 KO35:KQ35 KO33:KQ33 KO31:KQ31 KO29:KQ29 KO27:KQ27 KO25:KQ25 KO23:KQ23 KO21:KQ21 KO19:KQ19 KO17:KQ17 KO15:KQ15 KO13:KQ13">
    <cfRule type="expression" dxfId="535" priority="533" stopIfTrue="1">
      <formula>AND(KO$12&gt;=$F13,KO$12&lt;=$G13)</formula>
    </cfRule>
  </conditionalFormatting>
  <conditionalFormatting sqref="KO112:KQ112 KO110:KQ110 KO108:KQ108 KO106:KQ106 KO104:KQ104 KO102:KQ102 KO100:KQ100 KO98:KQ98 KO96:KQ96 KO94:KQ94 KO92:KQ92 KO90:KQ90 KO88:KQ88 KO86:KQ86 KO84:KQ84 KO82:KQ82 KO80:KQ80 KO78:KQ78 KO76:KQ76 KO74:KQ74 KO72:KQ72 KO70:KQ70 KO68:KQ68 KO66:KQ66 KO64:KQ64 KO62:KQ62 KO60:KQ60 KO58:KQ58 KO56:KQ56 KO54:KQ54 KO52:KQ52 KO50:KQ50 KO48:KQ48 KO46:KQ46 KO44:KQ44 KO42:KQ42 KO40:KQ40 KO38:KQ38 KO36:KQ36 KO34:KQ34 KO32:KQ32 KO30:KQ30 KO28:KQ28 KO26:KQ26 KO24:KQ24 KO22:KQ22 KO20:KQ20 KO18:KQ18 KO16:KQ16 KO14:KQ14">
    <cfRule type="expression" dxfId="534" priority="534" stopIfTrue="1">
      <formula>AND(KO$12&gt;=$F14,KO$12&lt;=$G14)</formula>
    </cfRule>
  </conditionalFormatting>
  <conditionalFormatting sqref="KR113:KS113 KI113:KN113 JZ113:KG113 JM113">
    <cfRule type="expression" dxfId="527" priority="525" stopIfTrue="1">
      <formula>AND(JM$12&gt;=$F113,JM$12&lt;=$G113)</formula>
    </cfRule>
  </conditionalFormatting>
  <conditionalFormatting sqref="KR114:KS114 KI114:KN114 JZ114:KG114 JM114">
    <cfRule type="expression" dxfId="526" priority="526" stopIfTrue="1">
      <formula>AND(JM$12&gt;=$F114,JM$12&lt;=$G114)</formula>
    </cfRule>
  </conditionalFormatting>
  <conditionalFormatting sqref="KO113:KQ113">
    <cfRule type="expression" dxfId="525" priority="523" stopIfTrue="1">
      <formula>AND(KO$12&gt;=$F113,KO$12&lt;=$G113)</formula>
    </cfRule>
  </conditionalFormatting>
  <conditionalFormatting sqref="KO114:KQ114">
    <cfRule type="expression" dxfId="524" priority="524" stopIfTrue="1">
      <formula>AND(KO$12&gt;=$F114,KO$12&lt;=$G114)</formula>
    </cfRule>
  </conditionalFormatting>
  <conditionalFormatting sqref="KR115:KS115 KI115:KN115 JZ115:KG115 JM115">
    <cfRule type="expression" dxfId="523" priority="521" stopIfTrue="1">
      <formula>AND(JM$12&gt;=$F115,JM$12&lt;=$G115)</formula>
    </cfRule>
  </conditionalFormatting>
  <conditionalFormatting sqref="KR116:KS116 KI116:KN116 JZ116:KG116 JM116">
    <cfRule type="expression" dxfId="522" priority="522" stopIfTrue="1">
      <formula>AND(JM$12&gt;=$F116,JM$12&lt;=$G116)</formula>
    </cfRule>
  </conditionalFormatting>
  <conditionalFormatting sqref="KO115:KQ115">
    <cfRule type="expression" dxfId="521" priority="519" stopIfTrue="1">
      <formula>AND(KO$12&gt;=$F115,KO$12&lt;=$G115)</formula>
    </cfRule>
  </conditionalFormatting>
  <conditionalFormatting sqref="KO116:KQ116">
    <cfRule type="expression" dxfId="520" priority="520" stopIfTrue="1">
      <formula>AND(KO$12&gt;=$F116,KO$12&lt;=$G116)</formula>
    </cfRule>
  </conditionalFormatting>
  <conditionalFormatting sqref="KR117:KS117 KI117:KN117 JZ117:KG117 JM117">
    <cfRule type="expression" dxfId="519" priority="517" stopIfTrue="1">
      <formula>AND(JM$12&gt;=$F117,JM$12&lt;=$G117)</formula>
    </cfRule>
  </conditionalFormatting>
  <conditionalFormatting sqref="KR118:KS118 KI118:KN118 JZ118:KG118 JM118">
    <cfRule type="expression" dxfId="518" priority="518" stopIfTrue="1">
      <formula>AND(JM$12&gt;=$F118,JM$12&lt;=$G118)</formula>
    </cfRule>
  </conditionalFormatting>
  <conditionalFormatting sqref="KO117:KQ117">
    <cfRule type="expression" dxfId="517" priority="515" stopIfTrue="1">
      <formula>AND(KO$12&gt;=$F117,KO$12&lt;=$G117)</formula>
    </cfRule>
  </conditionalFormatting>
  <conditionalFormatting sqref="KO118:KQ118">
    <cfRule type="expression" dxfId="516" priority="516" stopIfTrue="1">
      <formula>AND(KO$12&gt;=$F118,KO$12&lt;=$G118)</formula>
    </cfRule>
  </conditionalFormatting>
  <conditionalFormatting sqref="KR119:KS119 KI119:KN119 JZ119:KG119 JM119">
    <cfRule type="expression" dxfId="515" priority="513" stopIfTrue="1">
      <formula>AND(JM$12&gt;=$F119,JM$12&lt;=$G119)</formula>
    </cfRule>
  </conditionalFormatting>
  <conditionalFormatting sqref="KR120:KS120 KI120:KN120 JZ120:KG120 JM120">
    <cfRule type="expression" dxfId="514" priority="514" stopIfTrue="1">
      <formula>AND(JM$12&gt;=$F120,JM$12&lt;=$G120)</formula>
    </cfRule>
  </conditionalFormatting>
  <conditionalFormatting sqref="KO119:KQ119">
    <cfRule type="expression" dxfId="513" priority="511" stopIfTrue="1">
      <formula>AND(KO$12&gt;=$F119,KO$12&lt;=$G119)</formula>
    </cfRule>
  </conditionalFormatting>
  <conditionalFormatting sqref="KO120:KQ120">
    <cfRule type="expression" dxfId="512" priority="512" stopIfTrue="1">
      <formula>AND(KO$12&gt;=$F120,KO$12&lt;=$G120)</formula>
    </cfRule>
  </conditionalFormatting>
  <conditionalFormatting sqref="KR121:KS121 KI121:KN121 JZ121:KG121 JM121">
    <cfRule type="expression" dxfId="511" priority="509" stopIfTrue="1">
      <formula>AND(JM$12&gt;=$F121,JM$12&lt;=$G121)</formula>
    </cfRule>
  </conditionalFormatting>
  <conditionalFormatting sqref="KR122:KS122 KI122:KN122 JZ122:KG122 JM122">
    <cfRule type="expression" dxfId="510" priority="510" stopIfTrue="1">
      <formula>AND(JM$12&gt;=$F122,JM$12&lt;=$G122)</formula>
    </cfRule>
  </conditionalFormatting>
  <conditionalFormatting sqref="KO121:KQ121">
    <cfRule type="expression" dxfId="509" priority="507" stopIfTrue="1">
      <formula>AND(KO$12&gt;=$F121,KO$12&lt;=$G121)</formula>
    </cfRule>
  </conditionalFormatting>
  <conditionalFormatting sqref="KO122:KQ122">
    <cfRule type="expression" dxfId="508" priority="508" stopIfTrue="1">
      <formula>AND(KO$12&gt;=$F122,KO$12&lt;=$G122)</formula>
    </cfRule>
  </conditionalFormatting>
  <conditionalFormatting sqref="KR123:KS123 KI123:KN123 JZ123:KG123 JM123">
    <cfRule type="expression" dxfId="507" priority="505" stopIfTrue="1">
      <formula>AND(JM$12&gt;=$F123,JM$12&lt;=$G123)</formula>
    </cfRule>
  </conditionalFormatting>
  <conditionalFormatting sqref="KR124:KS124 KI124:KN124 JZ124:KG124 JM124">
    <cfRule type="expression" dxfId="506" priority="506" stopIfTrue="1">
      <formula>AND(JM$12&gt;=$F124,JM$12&lt;=$G124)</formula>
    </cfRule>
  </conditionalFormatting>
  <conditionalFormatting sqref="KO123:KQ123">
    <cfRule type="expression" dxfId="505" priority="503" stopIfTrue="1">
      <formula>AND(KO$12&gt;=$F123,KO$12&lt;=$G123)</formula>
    </cfRule>
  </conditionalFormatting>
  <conditionalFormatting sqref="KO124:KQ124">
    <cfRule type="expression" dxfId="504" priority="504" stopIfTrue="1">
      <formula>AND(KO$12&gt;=$F124,KO$12&lt;=$G124)</formula>
    </cfRule>
  </conditionalFormatting>
  <conditionalFormatting sqref="KH111 KH109 KH107 KH105 KH103 KH101 KH99 KH97 KH95 KH93 KH91 KH89 KH87 KH85 KH83 KH81 KH79 KH77 KH75 KH73 KH71 KH69 KH67 KH65 KH63 KH61 KH59 KH57 KH55 KH53 KH51 KH49 KH47 KH45 KH43 KH41 KH39 KH37 KH35 KH33 KH31 KH29 KH27 KH25 KH23 KH21 KH19 KH17 KH15 KH13">
    <cfRule type="expression" dxfId="503" priority="499" stopIfTrue="1">
      <formula>AND(KH$12&gt;=$F13,KH$12&lt;=$G13)</formula>
    </cfRule>
  </conditionalFormatting>
  <conditionalFormatting sqref="KH112 KH110 KH108 KH106 KH104 KH102 KH100 KH98 KH96 KH94 KH92 KH90 KH88 KH86 KH84 KH82 KH80 KH78 KH76 KH74 KH72 KH70 KH68 KH66 KH64 KH62 KH60 KH58 KH56 KH54 KH52 KH50 KH48 KH46 KH44 KH42 KH40 KH38 KH36 KH34 KH32 KH30 KH28 KH26 KH24 KH22 KH20 KH18 KH16 KH14">
    <cfRule type="expression" dxfId="502" priority="500" stopIfTrue="1">
      <formula>AND(KH$12&gt;=$F14,KH$12&lt;=$G14)</formula>
    </cfRule>
  </conditionalFormatting>
  <conditionalFormatting sqref="KH113">
    <cfRule type="expression" dxfId="499" priority="497" stopIfTrue="1">
      <formula>AND(KH$12&gt;=$F113,KH$12&lt;=$G113)</formula>
    </cfRule>
  </conditionalFormatting>
  <conditionalFormatting sqref="KH114">
    <cfRule type="expression" dxfId="498" priority="498" stopIfTrue="1">
      <formula>AND(KH$12&gt;=$F114,KH$12&lt;=$G114)</formula>
    </cfRule>
  </conditionalFormatting>
  <conditionalFormatting sqref="KH115">
    <cfRule type="expression" dxfId="497" priority="495" stopIfTrue="1">
      <formula>AND(KH$12&gt;=$F115,KH$12&lt;=$G115)</formula>
    </cfRule>
  </conditionalFormatting>
  <conditionalFormatting sqref="KH116">
    <cfRule type="expression" dxfId="496" priority="496" stopIfTrue="1">
      <formula>AND(KH$12&gt;=$F116,KH$12&lt;=$G116)</formula>
    </cfRule>
  </conditionalFormatting>
  <conditionalFormatting sqref="KH117">
    <cfRule type="expression" dxfId="495" priority="493" stopIfTrue="1">
      <formula>AND(KH$12&gt;=$F117,KH$12&lt;=$G117)</formula>
    </cfRule>
  </conditionalFormatting>
  <conditionalFormatting sqref="KH118">
    <cfRule type="expression" dxfId="494" priority="494" stopIfTrue="1">
      <formula>AND(KH$12&gt;=$F118,KH$12&lt;=$G118)</formula>
    </cfRule>
  </conditionalFormatting>
  <conditionalFormatting sqref="KH119">
    <cfRule type="expression" dxfId="493" priority="491" stopIfTrue="1">
      <formula>AND(KH$12&gt;=$F119,KH$12&lt;=$G119)</formula>
    </cfRule>
  </conditionalFormatting>
  <conditionalFormatting sqref="KH120">
    <cfRule type="expression" dxfId="492" priority="492" stopIfTrue="1">
      <formula>AND(KH$12&gt;=$F120,KH$12&lt;=$G120)</formula>
    </cfRule>
  </conditionalFormatting>
  <conditionalFormatting sqref="KH121">
    <cfRule type="expression" dxfId="491" priority="489" stopIfTrue="1">
      <formula>AND(KH$12&gt;=$F121,KH$12&lt;=$G121)</formula>
    </cfRule>
  </conditionalFormatting>
  <conditionalFormatting sqref="KH122">
    <cfRule type="expression" dxfId="490" priority="490" stopIfTrue="1">
      <formula>AND(KH$12&gt;=$F122,KH$12&lt;=$G122)</formula>
    </cfRule>
  </conditionalFormatting>
  <conditionalFormatting sqref="KH123">
    <cfRule type="expression" dxfId="489" priority="487" stopIfTrue="1">
      <formula>AND(KH$12&gt;=$F123,KH$12&lt;=$G123)</formula>
    </cfRule>
  </conditionalFormatting>
  <conditionalFormatting sqref="KH124">
    <cfRule type="expression" dxfId="488" priority="488" stopIfTrue="1">
      <formula>AND(KH$12&gt;=$F124,KH$12&lt;=$G124)</formula>
    </cfRule>
  </conditionalFormatting>
  <conditionalFormatting sqref="JS111:JX111 JS109:JX109 JS107:JX107 JS105:JX105 JS103:JX103 JS101:JX101 JS99:JX99 JS97:JX97 JS95:JX95 JS93:JX93 JS91:JX91 JS89:JX89 JS87:JX87 JS85:JX85 JS83:JX83 JS81:JX81 JS79:JX79 JS77:JX77 JS75:JX75 JS73:JX73 JS71:JX71 JS69:JX69 JS67:JX67 JS65:JX65 JS63:JX63 JS61:JX61 JS59:JX59 JS57:JX57 JS55:JX55 JS53:JX53 JS51:JX51 JS49:JX49 JS47:JX47 JS45:JX45 JS43:JX43 JS41:JX41 JS39:JX39 JS37:JX37 JS35:JX35 JS33:JX33 JS31:JX31 JS29:JX29 JS27:JX27 JS25:JX25 JS23:JX23 JS21:JX21 JS19:JX19 JS17:JX17 JS15:JX15 JS13:JX13 JN111:JQ111 JN109:JQ109 JN107:JQ107 JN105:JQ105 JN103:JQ103 JN101:JQ101 JN99:JQ99 JN97:JQ97 JN95:JQ95 JN93:JQ93 JN91:JQ91 JN89:JQ89 JN87:JQ87 JN85:JQ85 JN83:JQ83 JN81:JQ81 JN79:JQ79 JN77:JQ77 JN75:JQ75 JN73:JQ73 JN71:JQ71 JN69:JQ69 JN67:JQ67 JN65:JQ65 JN63:JQ63 JN61:JQ61 JN59:JQ59 JN57:JQ57 JN55:JQ55 JN53:JQ53 JN51:JQ51 JN49:JQ49 JN47:JQ47 JN45:JQ45 JN43:JQ43 JN41:JQ41 JN39:JQ39 JN37:JQ37 JN35:JQ35 JN33:JQ33 JN31:JQ31 JN29:JQ29 JN27:JQ27 JN25:JQ25 JN23:JQ23 JN21:JQ21 JN19:JQ19 JN17:JQ17 JN15:JQ15 JN13:JQ13">
    <cfRule type="expression" dxfId="487" priority="483" stopIfTrue="1">
      <formula>AND(JN$12&gt;=$F13,JN$12&lt;=$G13)</formula>
    </cfRule>
  </conditionalFormatting>
  <conditionalFormatting sqref="JS112:JX112 JS110:JX110 JS108:JX108 JS106:JX106 JS104:JX104 JS102:JX102 JS100:JX100 JS98:JX98 JS96:JX96 JS94:JX94 JS92:JX92 JS90:JX90 JS88:JX88 JS86:JX86 JS84:JX84 JS82:JX82 JS80:JX80 JS78:JX78 JS76:JX76 JS74:JX74 JS72:JX72 JS70:JX70 JS68:JX68 JS66:JX66 JS64:JX64 JS62:JX62 JS60:JX60 JS58:JX58 JS56:JX56 JS54:JX54 JS52:JX52 JS50:JX50 JS48:JX48 JS46:JX46 JS44:JX44 JS42:JX42 JS40:JX40 JS38:JX38 JS36:JX36 JS34:JX34 JS32:JX32 JS30:JX30 JS28:JX28 JS26:JX26 JS24:JX24 JS22:JX22 JS20:JX20 JS18:JX18 JS16:JX16 JS14:JX14 JN112:JQ112 JN110:JQ110 JN108:JQ108 JN106:JQ106 JN104:JQ104 JN102:JQ102 JN100:JQ100 JN98:JQ98 JN96:JQ96 JN94:JQ94 JN92:JQ92 JN90:JQ90 JN88:JQ88 JN86:JQ86 JN84:JQ84 JN82:JQ82 JN80:JQ80 JN78:JQ78 JN76:JQ76 JN74:JQ74 JN72:JQ72 JN70:JQ70 JN68:JQ68 JN66:JQ66 JN64:JQ64 JN62:JQ62 JN60:JQ60 JN58:JQ58 JN56:JQ56 JN54:JQ54 JN52:JQ52 JN50:JQ50 JN48:JQ48 JN46:JQ46 JN44:JQ44 JN42:JQ42 JN40:JQ40 JN38:JQ38 JN36:JQ36 JN34:JQ34 JN32:JQ32 JN30:JQ30 JN28:JQ28 JN26:JQ26 JN24:JQ24 JN22:JQ22 JN20:JQ20 JN18:JQ18 JN16:JQ16 JN14:JQ14">
    <cfRule type="expression" dxfId="486" priority="484" stopIfTrue="1">
      <formula>AND(JN$12&gt;=$F14,JN$12&lt;=$G14)</formula>
    </cfRule>
  </conditionalFormatting>
  <conditionalFormatting sqref="JY111 JY109 JY107 JY105 JY103 JY101 JY99 JY97 JY95 JY93 JY91 JY89 JY87 JY85 JY83 JY81 JY79 JY77 JY75 JY73 JY71 JY69 JY67 JY65 JY63 JY61 JY59 JY57 JY55 JY53 JY51 JY49 JY47 JY45 JY43 JY41 JY39 JY37 JY35 JY33 JY31 JY29 JY27 JY25 JY23 JY21 JY19 JY17 JY15 JY13">
    <cfRule type="expression" dxfId="483" priority="481" stopIfTrue="1">
      <formula>AND(JY$12&gt;=$F13,JY$12&lt;=$G13)</formula>
    </cfRule>
  </conditionalFormatting>
  <conditionalFormatting sqref="JY112 JY110 JY108 JY106 JY104 JY102 JY100 JY98 JY96 JY94 JY92 JY90 JY88 JY86 JY84 JY82 JY80 JY78 JY76 JY74 JY72 JY70 JY68 JY66 JY64 JY62 JY60 JY58 JY56 JY54 JY52 JY50 JY48 JY46 JY44 JY42 JY40 JY38 JY36 JY34 JY32 JY30 JY28 JY26 JY24 JY22 JY20 JY18 JY16 JY14">
    <cfRule type="expression" dxfId="482" priority="482" stopIfTrue="1">
      <formula>AND(JY$12&gt;=$F14,JY$12&lt;=$G14)</formula>
    </cfRule>
  </conditionalFormatting>
  <conditionalFormatting sqref="JS113:JX113 JN113:JQ113">
    <cfRule type="expression" dxfId="479" priority="477" stopIfTrue="1">
      <formula>AND(JN$12&gt;=$F113,JN$12&lt;=$G113)</formula>
    </cfRule>
  </conditionalFormatting>
  <conditionalFormatting sqref="JS114:JX114 JN114:JQ114">
    <cfRule type="expression" dxfId="478" priority="478" stopIfTrue="1">
      <formula>AND(JN$12&gt;=$F114,JN$12&lt;=$G114)</formula>
    </cfRule>
  </conditionalFormatting>
  <conditionalFormatting sqref="JY113">
    <cfRule type="expression" dxfId="477" priority="475" stopIfTrue="1">
      <formula>AND(JY$12&gt;=$F113,JY$12&lt;=$G113)</formula>
    </cfRule>
  </conditionalFormatting>
  <conditionalFormatting sqref="JY114">
    <cfRule type="expression" dxfId="476" priority="476" stopIfTrue="1">
      <formula>AND(JY$12&gt;=$F114,JY$12&lt;=$G114)</formula>
    </cfRule>
  </conditionalFormatting>
  <conditionalFormatting sqref="JS115:JX115 JN115:JQ115">
    <cfRule type="expression" dxfId="475" priority="473" stopIfTrue="1">
      <formula>AND(JN$12&gt;=$F115,JN$12&lt;=$G115)</formula>
    </cfRule>
  </conditionalFormatting>
  <conditionalFormatting sqref="JS116:JX116 JN116:JQ116">
    <cfRule type="expression" dxfId="474" priority="474" stopIfTrue="1">
      <formula>AND(JN$12&gt;=$F116,JN$12&lt;=$G116)</formula>
    </cfRule>
  </conditionalFormatting>
  <conditionalFormatting sqref="JY115">
    <cfRule type="expression" dxfId="473" priority="471" stopIfTrue="1">
      <formula>AND(JY$12&gt;=$F115,JY$12&lt;=$G115)</formula>
    </cfRule>
  </conditionalFormatting>
  <conditionalFormatting sqref="JY116">
    <cfRule type="expression" dxfId="472" priority="472" stopIfTrue="1">
      <formula>AND(JY$12&gt;=$F116,JY$12&lt;=$G116)</formula>
    </cfRule>
  </conditionalFormatting>
  <conditionalFormatting sqref="JS117:JX117 JN117:JQ117">
    <cfRule type="expression" dxfId="471" priority="469" stopIfTrue="1">
      <formula>AND(JN$12&gt;=$F117,JN$12&lt;=$G117)</formula>
    </cfRule>
  </conditionalFormatting>
  <conditionalFormatting sqref="JS118:JX118 JN118:JQ118">
    <cfRule type="expression" dxfId="470" priority="470" stopIfTrue="1">
      <formula>AND(JN$12&gt;=$F118,JN$12&lt;=$G118)</formula>
    </cfRule>
  </conditionalFormatting>
  <conditionalFormatting sqref="JY117">
    <cfRule type="expression" dxfId="469" priority="467" stopIfTrue="1">
      <formula>AND(JY$12&gt;=$F117,JY$12&lt;=$G117)</formula>
    </cfRule>
  </conditionalFormatting>
  <conditionalFormatting sqref="JY118">
    <cfRule type="expression" dxfId="468" priority="468" stopIfTrue="1">
      <formula>AND(JY$12&gt;=$F118,JY$12&lt;=$G118)</formula>
    </cfRule>
  </conditionalFormatting>
  <conditionalFormatting sqref="JS119:JX119 JN119:JQ119">
    <cfRule type="expression" dxfId="467" priority="465" stopIfTrue="1">
      <formula>AND(JN$12&gt;=$F119,JN$12&lt;=$G119)</formula>
    </cfRule>
  </conditionalFormatting>
  <conditionalFormatting sqref="JS120:JX120 JN120:JQ120">
    <cfRule type="expression" dxfId="466" priority="466" stopIfTrue="1">
      <formula>AND(JN$12&gt;=$F120,JN$12&lt;=$G120)</formula>
    </cfRule>
  </conditionalFormatting>
  <conditionalFormatting sqref="JY119">
    <cfRule type="expression" dxfId="465" priority="463" stopIfTrue="1">
      <formula>AND(JY$12&gt;=$F119,JY$12&lt;=$G119)</formula>
    </cfRule>
  </conditionalFormatting>
  <conditionalFormatting sqref="JY120">
    <cfRule type="expression" dxfId="464" priority="464" stopIfTrue="1">
      <formula>AND(JY$12&gt;=$F120,JY$12&lt;=$G120)</formula>
    </cfRule>
  </conditionalFormatting>
  <conditionalFormatting sqref="JS121:JX121 JN121:JQ121">
    <cfRule type="expression" dxfId="463" priority="461" stopIfTrue="1">
      <formula>AND(JN$12&gt;=$F121,JN$12&lt;=$G121)</formula>
    </cfRule>
  </conditionalFormatting>
  <conditionalFormatting sqref="JS122:JX122 JN122:JQ122">
    <cfRule type="expression" dxfId="462" priority="462" stopIfTrue="1">
      <formula>AND(JN$12&gt;=$F122,JN$12&lt;=$G122)</formula>
    </cfRule>
  </conditionalFormatting>
  <conditionalFormatting sqref="JY121">
    <cfRule type="expression" dxfId="461" priority="459" stopIfTrue="1">
      <formula>AND(JY$12&gt;=$F121,JY$12&lt;=$G121)</formula>
    </cfRule>
  </conditionalFormatting>
  <conditionalFormatting sqref="JY122">
    <cfRule type="expression" dxfId="460" priority="460" stopIfTrue="1">
      <formula>AND(JY$12&gt;=$F122,JY$12&lt;=$G122)</formula>
    </cfRule>
  </conditionalFormatting>
  <conditionalFormatting sqref="JS123:JX123 JN123:JQ123">
    <cfRule type="expression" dxfId="459" priority="457" stopIfTrue="1">
      <formula>AND(JN$12&gt;=$F123,JN$12&lt;=$G123)</formula>
    </cfRule>
  </conditionalFormatting>
  <conditionalFormatting sqref="JS124:JX124 JN124:JQ124">
    <cfRule type="expression" dxfId="458" priority="458" stopIfTrue="1">
      <formula>AND(JN$12&gt;=$F124,JN$12&lt;=$G124)</formula>
    </cfRule>
  </conditionalFormatting>
  <conditionalFormatting sqref="JY123">
    <cfRule type="expression" dxfId="457" priority="455" stopIfTrue="1">
      <formula>AND(JY$12&gt;=$F123,JY$12&lt;=$G123)</formula>
    </cfRule>
  </conditionalFormatting>
  <conditionalFormatting sqref="JY124">
    <cfRule type="expression" dxfId="456" priority="456" stopIfTrue="1">
      <formula>AND(JY$12&gt;=$F124,JY$12&lt;=$G124)</formula>
    </cfRule>
  </conditionalFormatting>
  <conditionalFormatting sqref="JR111 JR109 JR107 JR105 JR103 JR101 JR99 JR97 JR95 JR93 JR91 JR89 JR87 JR85 JR83 JR81 JR79 JR77 JR75 JR73 JR71 JR69 JR67 JR65 JR63 JR61 JR59 JR57 JR55 JR53 JR51 JR49 JR47 JR45 JR43 JR41 JR39 JR37 JR35 JR33 JR31 JR29 JR27 JR25 JR23 JR21 JR19 JR17 JR15 JR13">
    <cfRule type="expression" dxfId="455" priority="451" stopIfTrue="1">
      <formula>AND(JR$12&gt;=$F13,JR$12&lt;=$G13)</formula>
    </cfRule>
  </conditionalFormatting>
  <conditionalFormatting sqref="JR112 JR110 JR108 JR106 JR104 JR102 JR100 JR98 JR96 JR94 JR92 JR90 JR88 JR86 JR84 JR82 JR80 JR78 JR76 JR74 JR72 JR70 JR68 JR66 JR64 JR62 JR60 JR58 JR56 JR54 JR52 JR50 JR48 JR46 JR44 JR42 JR40 JR38 JR36 JR34 JR32 JR30 JR28 JR26 JR24 JR22 JR20 JR18 JR16 JR14">
    <cfRule type="expression" dxfId="454" priority="452" stopIfTrue="1">
      <formula>AND(JR$12&gt;=$F14,JR$12&lt;=$G14)</formula>
    </cfRule>
  </conditionalFormatting>
  <conditionalFormatting sqref="JR113">
    <cfRule type="expression" dxfId="451" priority="449" stopIfTrue="1">
      <formula>AND(JR$12&gt;=$F113,JR$12&lt;=$G113)</formula>
    </cfRule>
  </conditionalFormatting>
  <conditionalFormatting sqref="JR114">
    <cfRule type="expression" dxfId="450" priority="450" stopIfTrue="1">
      <formula>AND(JR$12&gt;=$F114,JR$12&lt;=$G114)</formula>
    </cfRule>
  </conditionalFormatting>
  <conditionalFormatting sqref="JR115">
    <cfRule type="expression" dxfId="449" priority="447" stopIfTrue="1">
      <formula>AND(JR$12&gt;=$F115,JR$12&lt;=$G115)</formula>
    </cfRule>
  </conditionalFormatting>
  <conditionalFormatting sqref="JR116">
    <cfRule type="expression" dxfId="448" priority="448" stopIfTrue="1">
      <formula>AND(JR$12&gt;=$F116,JR$12&lt;=$G116)</formula>
    </cfRule>
  </conditionalFormatting>
  <conditionalFormatting sqref="JR117">
    <cfRule type="expression" dxfId="447" priority="445" stopIfTrue="1">
      <formula>AND(JR$12&gt;=$F117,JR$12&lt;=$G117)</formula>
    </cfRule>
  </conditionalFormatting>
  <conditionalFormatting sqref="JR118">
    <cfRule type="expression" dxfId="446" priority="446" stopIfTrue="1">
      <formula>AND(JR$12&gt;=$F118,JR$12&lt;=$G118)</formula>
    </cfRule>
  </conditionalFormatting>
  <conditionalFormatting sqref="JR119">
    <cfRule type="expression" dxfId="445" priority="443" stopIfTrue="1">
      <formula>AND(JR$12&gt;=$F119,JR$12&lt;=$G119)</formula>
    </cfRule>
  </conditionalFormatting>
  <conditionalFormatting sqref="JR120">
    <cfRule type="expression" dxfId="444" priority="444" stopIfTrue="1">
      <formula>AND(JR$12&gt;=$F120,JR$12&lt;=$G120)</formula>
    </cfRule>
  </conditionalFormatting>
  <conditionalFormatting sqref="JR121">
    <cfRule type="expression" dxfId="443" priority="441" stopIfTrue="1">
      <formula>AND(JR$12&gt;=$F121,JR$12&lt;=$G121)</formula>
    </cfRule>
  </conditionalFormatting>
  <conditionalFormatting sqref="JR122">
    <cfRule type="expression" dxfId="442" priority="442" stopIfTrue="1">
      <formula>AND(JR$12&gt;=$F122,JR$12&lt;=$G122)</formula>
    </cfRule>
  </conditionalFormatting>
  <conditionalFormatting sqref="JR123">
    <cfRule type="expression" dxfId="441" priority="439" stopIfTrue="1">
      <formula>AND(JR$12&gt;=$F123,JR$12&lt;=$G123)</formula>
    </cfRule>
  </conditionalFormatting>
  <conditionalFormatting sqref="JR124">
    <cfRule type="expression" dxfId="440" priority="440" stopIfTrue="1">
      <formula>AND(JR$12&gt;=$F124,JR$12&lt;=$G124)</formula>
    </cfRule>
  </conditionalFormatting>
  <conditionalFormatting sqref="JF111:JK111 JF109:JK109 JF107:JK107 JF105:JK105 JF103:JK103 JF101:JK101 JF99:JK99 JF97:JK97 JF95:JK95 JF93:JK93 JF91:JK91 JF89:JK89 JF87:JK87 JF85:JK85 JF83:JK83 JF81:JK81 JF79:JK79 JF77:JK77 JF75:JK75 JF73:JK73 JF71:JK71 JF69:JK69 JF67:JK67 JF65:JK65 JF63:JK63 JF61:JK61 JF59:JK59 JF57:JK57 JF55:JK55 JF53:JK53 JF51:JK51 JF49:JK49 JF47:JK47 JF45:JK45 JF43:JK43 JF41:JK41 JF39:JK39 JF37:JK37 JF35:JK35 JF33:JK33 JF31:JK31 JF29:JK29 JF27:JK27 JF25:JK25 JF23:JK23 JF21:JK21 JF19:JK19 JF17:JK17 JF15:JK15 JF13:JK13 JA111:JD111 JA109:JD109 JA107:JD107 JA105:JD105 JA103:JD103 JA101:JD101 JA99:JD99 JA97:JD97 JA95:JD95 JA93:JD93 JA91:JD91 JA89:JD89 JA87:JD87 JA85:JD85 JA83:JD83 JA81:JD81 JA79:JD79 JA77:JD77 JA75:JD75 JA73:JD73 JA71:JD71 JA69:JD69 JA67:JD67 JA65:JD65 JA63:JD63 JA61:JD61 JA59:JD59 JA57:JD57 JA55:JD55 JA53:JD53 JA51:JD51 JA49:JD49 JA47:JD47 JA45:JD45 JA43:JD43 JA41:JD41 JA39:JD39 JA37:JD37 JA35:JD35 JA33:JD33 JA31:JD31 JA29:JD29 JA27:JD27 JA25:JD25 JA23:JD23 JA21:JD21 JA19:JD19 JA17:JD17 JA15:JD15 JA13:JD13">
    <cfRule type="expression" dxfId="439" priority="435" stopIfTrue="1">
      <formula>AND(JA$12&gt;=$F13,JA$12&lt;=$G13)</formula>
    </cfRule>
  </conditionalFormatting>
  <conditionalFormatting sqref="JF112:JK112 JF110:JK110 JF108:JK108 JF106:JK106 JF104:JK104 JF102:JK102 JF100:JK100 JF98:JK98 JF96:JK96 JF94:JK94 JF92:JK92 JF90:JK90 JF88:JK88 JF86:JK86 JF84:JK84 JF82:JK82 JF80:JK80 JF78:JK78 JF76:JK76 JF74:JK74 JF72:JK72 JF70:JK70 JF68:JK68 JF66:JK66 JF64:JK64 JF62:JK62 JF60:JK60 JF58:JK58 JF56:JK56 JF54:JK54 JF52:JK52 JF50:JK50 JF48:JK48 JF46:JK46 JF44:JK44 JF42:JK42 JF40:JK40 JF38:JK38 JF36:JK36 JF34:JK34 JF32:JK32 JF30:JK30 JF28:JK28 JF26:JK26 JF24:JK24 JF22:JK22 JF20:JK20 JF18:JK18 JF16:JK16 JF14:JK14 JA112:JD112 JA110:JD110 JA108:JD108 JA106:JD106 JA104:JD104 JA102:JD102 JA100:JD100 JA98:JD98 JA96:JD96 JA94:JD94 JA92:JD92 JA90:JD90 JA88:JD88 JA86:JD86 JA84:JD84 JA82:JD82 JA80:JD80 JA78:JD78 JA76:JD76 JA74:JD74 JA72:JD72 JA70:JD70 JA68:JD68 JA66:JD66 JA64:JD64 JA62:JD62 JA60:JD60 JA58:JD58 JA56:JD56 JA54:JD54 JA52:JD52 JA50:JD50 JA48:JD48 JA46:JD46 JA44:JD44 JA42:JD42 JA40:JD40 JA38:JD38 JA36:JD36 JA34:JD34 JA32:JD32 JA30:JD30 JA28:JD28 JA26:JD26 JA24:JD24 JA22:JD22 JA20:JD20 JA18:JD18 JA16:JD16 JA14:JD14">
    <cfRule type="expression" dxfId="438" priority="436" stopIfTrue="1">
      <formula>AND(JA$12&gt;=$F14,JA$12&lt;=$G14)</formula>
    </cfRule>
  </conditionalFormatting>
  <conditionalFormatting sqref="JL111 JL109 JL107 JL105 JL103 JL101 JL99 JL97 JL95 JL93 JL91 JL89 JL87 JL85 JL83 JL81 JL79 JL77 JL75 JL73 JL71 JL69 JL67 JL65 JL63 JL61 JL59 JL57 JL55 JL53 JL51 JL49 JL47 JL45 JL43 JL41 JL39 JL37 JL35 JL33 JL31 JL29 JL27 JL25 JL23 JL21 JL19 JL17 JL15 JL13">
    <cfRule type="expression" dxfId="435" priority="433" stopIfTrue="1">
      <formula>AND(JL$12&gt;=$F13,JL$12&lt;=$G13)</formula>
    </cfRule>
  </conditionalFormatting>
  <conditionalFormatting sqref="JL112 JL110 JL108 JL106 JL104 JL102 JL100 JL98 JL96 JL94 JL92 JL90 JL88 JL86 JL84 JL82 JL80 JL78 JL76 JL74 JL72 JL70 JL68 JL66 JL64 JL62 JL60 JL58 JL56 JL54 JL52 JL50 JL48 JL46 JL44 JL42 JL40 JL38 JL36 JL34 JL32 JL30 JL28 JL26 JL24 JL22 JL20 JL18 JL16 JL14">
    <cfRule type="expression" dxfId="434" priority="434" stopIfTrue="1">
      <formula>AND(JL$12&gt;=$F14,JL$12&lt;=$G14)</formula>
    </cfRule>
  </conditionalFormatting>
  <conditionalFormatting sqref="JF113:JK113 JA113:JD113">
    <cfRule type="expression" dxfId="431" priority="429" stopIfTrue="1">
      <formula>AND(JA$12&gt;=$F113,JA$12&lt;=$G113)</formula>
    </cfRule>
  </conditionalFormatting>
  <conditionalFormatting sqref="JF114:JK114 JA114:JD114">
    <cfRule type="expression" dxfId="430" priority="430" stopIfTrue="1">
      <formula>AND(JA$12&gt;=$F114,JA$12&lt;=$G114)</formula>
    </cfRule>
  </conditionalFormatting>
  <conditionalFormatting sqref="JL113">
    <cfRule type="expression" dxfId="429" priority="427" stopIfTrue="1">
      <formula>AND(JL$12&gt;=$F113,JL$12&lt;=$G113)</formula>
    </cfRule>
  </conditionalFormatting>
  <conditionalFormatting sqref="JL114">
    <cfRule type="expression" dxfId="428" priority="428" stopIfTrue="1">
      <formula>AND(JL$12&gt;=$F114,JL$12&lt;=$G114)</formula>
    </cfRule>
  </conditionalFormatting>
  <conditionalFormatting sqref="JF115:JK115 JA115:JD115">
    <cfRule type="expression" dxfId="427" priority="425" stopIfTrue="1">
      <formula>AND(JA$12&gt;=$F115,JA$12&lt;=$G115)</formula>
    </cfRule>
  </conditionalFormatting>
  <conditionalFormatting sqref="JF116:JK116 JA116:JD116">
    <cfRule type="expression" dxfId="426" priority="426" stopIfTrue="1">
      <formula>AND(JA$12&gt;=$F116,JA$12&lt;=$G116)</formula>
    </cfRule>
  </conditionalFormatting>
  <conditionalFormatting sqref="JL115">
    <cfRule type="expression" dxfId="425" priority="423" stopIfTrue="1">
      <formula>AND(JL$12&gt;=$F115,JL$12&lt;=$G115)</formula>
    </cfRule>
  </conditionalFormatting>
  <conditionalFormatting sqref="JL116">
    <cfRule type="expression" dxfId="424" priority="424" stopIfTrue="1">
      <formula>AND(JL$12&gt;=$F116,JL$12&lt;=$G116)</formula>
    </cfRule>
  </conditionalFormatting>
  <conditionalFormatting sqref="JF117:JK117 JA117:JD117">
    <cfRule type="expression" dxfId="423" priority="421" stopIfTrue="1">
      <formula>AND(JA$12&gt;=$F117,JA$12&lt;=$G117)</formula>
    </cfRule>
  </conditionalFormatting>
  <conditionalFormatting sqref="JF118:JK118 JA118:JD118">
    <cfRule type="expression" dxfId="422" priority="422" stopIfTrue="1">
      <formula>AND(JA$12&gt;=$F118,JA$12&lt;=$G118)</formula>
    </cfRule>
  </conditionalFormatting>
  <conditionalFormatting sqref="JL117">
    <cfRule type="expression" dxfId="421" priority="419" stopIfTrue="1">
      <formula>AND(JL$12&gt;=$F117,JL$12&lt;=$G117)</formula>
    </cfRule>
  </conditionalFormatting>
  <conditionalFormatting sqref="JL118">
    <cfRule type="expression" dxfId="420" priority="420" stopIfTrue="1">
      <formula>AND(JL$12&gt;=$F118,JL$12&lt;=$G118)</formula>
    </cfRule>
  </conditionalFormatting>
  <conditionalFormatting sqref="JF119:JK119 JA119:JD119">
    <cfRule type="expression" dxfId="419" priority="417" stopIfTrue="1">
      <formula>AND(JA$12&gt;=$F119,JA$12&lt;=$G119)</formula>
    </cfRule>
  </conditionalFormatting>
  <conditionalFormatting sqref="JF120:JK120 JA120:JD120">
    <cfRule type="expression" dxfId="418" priority="418" stopIfTrue="1">
      <formula>AND(JA$12&gt;=$F120,JA$12&lt;=$G120)</formula>
    </cfRule>
  </conditionalFormatting>
  <conditionalFormatting sqref="JL119">
    <cfRule type="expression" dxfId="417" priority="415" stopIfTrue="1">
      <formula>AND(JL$12&gt;=$F119,JL$12&lt;=$G119)</formula>
    </cfRule>
  </conditionalFormatting>
  <conditionalFormatting sqref="JL120">
    <cfRule type="expression" dxfId="416" priority="416" stopIfTrue="1">
      <formula>AND(JL$12&gt;=$F120,JL$12&lt;=$G120)</formula>
    </cfRule>
  </conditionalFormatting>
  <conditionalFormatting sqref="JF121:JK121 JA121:JD121">
    <cfRule type="expression" dxfId="415" priority="413" stopIfTrue="1">
      <formula>AND(JA$12&gt;=$F121,JA$12&lt;=$G121)</formula>
    </cfRule>
  </conditionalFormatting>
  <conditionalFormatting sqref="JF122:JK122 JA122:JD122">
    <cfRule type="expression" dxfId="414" priority="414" stopIfTrue="1">
      <formula>AND(JA$12&gt;=$F122,JA$12&lt;=$G122)</formula>
    </cfRule>
  </conditionalFormatting>
  <conditionalFormatting sqref="JL121">
    <cfRule type="expression" dxfId="413" priority="411" stopIfTrue="1">
      <formula>AND(JL$12&gt;=$F121,JL$12&lt;=$G121)</formula>
    </cfRule>
  </conditionalFormatting>
  <conditionalFormatting sqref="JL122">
    <cfRule type="expression" dxfId="412" priority="412" stopIfTrue="1">
      <formula>AND(JL$12&gt;=$F122,JL$12&lt;=$G122)</formula>
    </cfRule>
  </conditionalFormatting>
  <conditionalFormatting sqref="JF123:JK123 JA123:JD123">
    <cfRule type="expression" dxfId="411" priority="409" stopIfTrue="1">
      <formula>AND(JA$12&gt;=$F123,JA$12&lt;=$G123)</formula>
    </cfRule>
  </conditionalFormatting>
  <conditionalFormatting sqref="JF124:JK124 JA124:JD124">
    <cfRule type="expression" dxfId="410" priority="410" stopIfTrue="1">
      <formula>AND(JA$12&gt;=$F124,JA$12&lt;=$G124)</formula>
    </cfRule>
  </conditionalFormatting>
  <conditionalFormatting sqref="JL123">
    <cfRule type="expression" dxfId="409" priority="407" stopIfTrue="1">
      <formula>AND(JL$12&gt;=$F123,JL$12&lt;=$G123)</formula>
    </cfRule>
  </conditionalFormatting>
  <conditionalFormatting sqref="JL124">
    <cfRule type="expression" dxfId="408" priority="408" stopIfTrue="1">
      <formula>AND(JL$12&gt;=$F124,JL$12&lt;=$G124)</formula>
    </cfRule>
  </conditionalFormatting>
  <conditionalFormatting sqref="JE111 JE109 JE107 JE105 JE103 JE101 JE99 JE97 JE95 JE93 JE91 JE89 JE87 JE85 JE83 JE81 JE79 JE77 JE75 JE73 JE71 JE69 JE67 JE65 JE63 JE61 JE59 JE57 JE55 JE53 JE51 JE49 JE47 JE45 JE43 JE41 JE39 JE37 JE35 JE33 JE31 JE29 JE27 JE25 JE23 JE21 JE19 JE17 JE15 JE13">
    <cfRule type="expression" dxfId="407" priority="403" stopIfTrue="1">
      <formula>AND(JE$12&gt;=$F13,JE$12&lt;=$G13)</formula>
    </cfRule>
  </conditionalFormatting>
  <conditionalFormatting sqref="JE112 JE110 JE108 JE106 JE104 JE102 JE100 JE98 JE96 JE94 JE92 JE90 JE88 JE86 JE84 JE82 JE80 JE78 JE76 JE74 JE72 JE70 JE68 JE66 JE64 JE62 JE60 JE58 JE56 JE54 JE52 JE50 JE48 JE46 JE44 JE42 JE40 JE38 JE36 JE34 JE32 JE30 JE28 JE26 JE24 JE22 JE20 JE18 JE16 JE14">
    <cfRule type="expression" dxfId="406" priority="404" stopIfTrue="1">
      <formula>AND(JE$12&gt;=$F14,JE$12&lt;=$G14)</formula>
    </cfRule>
  </conditionalFormatting>
  <conditionalFormatting sqref="JE113">
    <cfRule type="expression" dxfId="403" priority="401" stopIfTrue="1">
      <formula>AND(JE$12&gt;=$F113,JE$12&lt;=$G113)</formula>
    </cfRule>
  </conditionalFormatting>
  <conditionalFormatting sqref="JE114">
    <cfRule type="expression" dxfId="402" priority="402" stopIfTrue="1">
      <formula>AND(JE$12&gt;=$F114,JE$12&lt;=$G114)</formula>
    </cfRule>
  </conditionalFormatting>
  <conditionalFormatting sqref="JE115">
    <cfRule type="expression" dxfId="401" priority="399" stopIfTrue="1">
      <formula>AND(JE$12&gt;=$F115,JE$12&lt;=$G115)</formula>
    </cfRule>
  </conditionalFormatting>
  <conditionalFormatting sqref="JE116">
    <cfRule type="expression" dxfId="400" priority="400" stopIfTrue="1">
      <formula>AND(JE$12&gt;=$F116,JE$12&lt;=$G116)</formula>
    </cfRule>
  </conditionalFormatting>
  <conditionalFormatting sqref="JE117">
    <cfRule type="expression" dxfId="399" priority="397" stopIfTrue="1">
      <formula>AND(JE$12&gt;=$F117,JE$12&lt;=$G117)</formula>
    </cfRule>
  </conditionalFormatting>
  <conditionalFormatting sqref="JE118">
    <cfRule type="expression" dxfId="398" priority="398" stopIfTrue="1">
      <formula>AND(JE$12&gt;=$F118,JE$12&lt;=$G118)</formula>
    </cfRule>
  </conditionalFormatting>
  <conditionalFormatting sqref="JE119">
    <cfRule type="expression" dxfId="397" priority="395" stopIfTrue="1">
      <formula>AND(JE$12&gt;=$F119,JE$12&lt;=$G119)</formula>
    </cfRule>
  </conditionalFormatting>
  <conditionalFormatting sqref="JE120">
    <cfRule type="expression" dxfId="396" priority="396" stopIfTrue="1">
      <formula>AND(JE$12&gt;=$F120,JE$12&lt;=$G120)</formula>
    </cfRule>
  </conditionalFormatting>
  <conditionalFormatting sqref="JE121">
    <cfRule type="expression" dxfId="395" priority="393" stopIfTrue="1">
      <formula>AND(JE$12&gt;=$F121,JE$12&lt;=$G121)</formula>
    </cfRule>
  </conditionalFormatting>
  <conditionalFormatting sqref="JE122">
    <cfRule type="expression" dxfId="394" priority="394" stopIfTrue="1">
      <formula>AND(JE$12&gt;=$F122,JE$12&lt;=$G122)</formula>
    </cfRule>
  </conditionalFormatting>
  <conditionalFormatting sqref="JE123">
    <cfRule type="expression" dxfId="393" priority="391" stopIfTrue="1">
      <formula>AND(JE$12&gt;=$F123,JE$12&lt;=$G123)</formula>
    </cfRule>
  </conditionalFormatting>
  <conditionalFormatting sqref="JE124">
    <cfRule type="expression" dxfId="392" priority="392" stopIfTrue="1">
      <formula>AND(JE$12&gt;=$F124,JE$12&lt;=$G124)</formula>
    </cfRule>
  </conditionalFormatting>
  <conditionalFormatting sqref="IX111:IY111 IX109:IY109 IX107:IY107 IX105:IY105 IX103:IY103 IX101:IY101 IX99:IY99 IX97:IY97 IX95:IY95 IX93:IY93 IX91:IY91 IX89:IY89 IX87:IY87 IX85:IY85 IX83:IY83 IX81:IY81 IX79:IY79 IX77:IY77 IX75:IY75 IX73:IY73 IX71:IY71 IX69:IY69 IX67:IY67 IX65:IY65 IX63:IY63 IX61:IY61 IX59:IY59 IX57:IY57 IX55:IY55 IX53:IY53 IX51:IY51 IX49:IY49 IX47:IY47 IX45:IY45 IX43:IY43 IX41:IY41 IX39:IY39 IX37:IY37 IX35:IY35 IX33:IY33 IX31:IY31 IX29:IY29 IX27:IY27 IX25:IY25 IX23:IY23 IX21:IY21 IX19:IY19 IX17:IY17 IX15:IY15 IX13:IY13 IO111:IT111 IO109:IT109 IO107:IT107 IO105:IT105 IO103:IT103 IO101:IT101 IO99:IT99 IO97:IT97 IO95:IT95 IO93:IT93 IO91:IT91 IO89:IT89 IO87:IT87 IO85:IT85 IO83:IT83 IO81:IT81 IO79:IT79 IO77:IT77 IO75:IT75 IO73:IT73 IO71:IT71 IO69:IT69 IO67:IT67 IO65:IT65 IO63:IT63 IO61:IT61 IO59:IT59 IO57:IT57 IO55:IT55 IO53:IT53 IO51:IT51 IO49:IT49 IO47:IT47 IO45:IT45 IO43:IT43 IO41:IT41 IO39:IT39 IO37:IT37 IO35:IT35 IO33:IT33 IO31:IT31 IO29:IT29 IO27:IT27 IO25:IT25 IO23:IT23 IO21:IT21 IO19:IT19 IO17:IT17 IO15:IT15 IO13:IT13 IF111:IM111 IF109:IM109 IF107:IM107 IF105:IM105 IF103:IM103 IF101:IM101 IF99:IM99 IF97:IM97 IF95:IM95 IF93:IM93 IF91:IM91 IF89:IM89 IF87:IM87 IF85:IM85 IF83:IM83 IF81:IM81 IF79:IM79 IF77:IM77 IF75:IM75 IF73:IM73 IF71:IM71 IF69:IM69 IF67:IM67 IF65:IM65 IF63:IM63 IF61:IM61 IF59:IM59 IF57:IM57 IF55:IM55 IF53:IM53 IF51:IM51 IF49:IM49 IF47:IM47 IF45:IM45 IF43:IM43 IF41:IM41 IF39:IM39 IF37:IM37 IF35:IM35 IF33:IM33 IF31:IM31 IF29:IM29 IF27:IM27 IF25:IM25 IF23:IM23 IF21:IM21 IF19:IM19 IF17:IM17 IF15:IM15 IF13:IM13 FV111 FV109 FV107 FV105 FV103 FV101 FV99 FV97 FV95 FV93 FV91 FV89 FV87 FV85 FV83 FV81 FV79 FV77 FV75 FV73 FV71 FV69 FV67 FV65 FV63 FV61 FV59 FV57 FV55 FV53 FV51 FV49 FV47 FV45 FV43 FV41 FV39 FV37 FV35 FV33 FV31 FV29 FV27 FV25 FV23 FV21 FV19 FV17 FV15 FV13">
    <cfRule type="expression" dxfId="391" priority="387" stopIfTrue="1">
      <formula>AND(FV$12&gt;=$F13,FV$12&lt;=$G13)</formula>
    </cfRule>
  </conditionalFormatting>
  <conditionalFormatting sqref="IX112:IY112 IX110:IY110 IX108:IY108 IX106:IY106 IX104:IY104 IX102:IY102 IX100:IY100 IX98:IY98 IX96:IY96 IX94:IY94 IX92:IY92 IX90:IY90 IX88:IY88 IX86:IY86 IX84:IY84 IX82:IY82 IX80:IY80 IX78:IY78 IX76:IY76 IX74:IY74 IX72:IY72 IX70:IY70 IX68:IY68 IX66:IY66 IX64:IY64 IX62:IY62 IX60:IY60 IX58:IY58 IX56:IY56 IX54:IY54 IX52:IY52 IX50:IY50 IX48:IY48 IX46:IY46 IX44:IY44 IX42:IY42 IX40:IY40 IX38:IY38 IX36:IY36 IX34:IY34 IX32:IY32 IX30:IY30 IX28:IY28 IX26:IY26 IX24:IY24 IX22:IY22 IX20:IY20 IX18:IY18 IX16:IY16 IX14:IY14 IO112:IT112 IO110:IT110 IO108:IT108 IO106:IT106 IO104:IT104 IO102:IT102 IO100:IT100 IO98:IT98 IO96:IT96 IO94:IT94 IO92:IT92 IO90:IT90 IO88:IT88 IO86:IT86 IO84:IT84 IO82:IT82 IO80:IT80 IO78:IT78 IO76:IT76 IO74:IT74 IO72:IT72 IO70:IT70 IO68:IT68 IO66:IT66 IO64:IT64 IO62:IT62 IO60:IT60 IO58:IT58 IO56:IT56 IO54:IT54 IO52:IT52 IO50:IT50 IO48:IT48 IO46:IT46 IO44:IT44 IO42:IT42 IO40:IT40 IO38:IT38 IO36:IT36 IO34:IT34 IO32:IT32 IO30:IT30 IO28:IT28 IO26:IT26 IO24:IT24 IO22:IT22 IO20:IT20 IO18:IT18 IO16:IT16 IO14:IT14 IF112:IM112 IF110:IM110 IF108:IM108 IF106:IM106 IF104:IM104 IF102:IM102 IF100:IM100 IF98:IM98 IF96:IM96 IF94:IM94 IF92:IM92 IF90:IM90 IF88:IM88 IF86:IM86 IF84:IM84 IF82:IM82 IF80:IM80 IF78:IM78 IF76:IM76 IF74:IM74 IF72:IM72 IF70:IM70 IF68:IM68 IF66:IM66 IF64:IM64 IF62:IM62 IF60:IM60 IF58:IM58 IF56:IM56 IF54:IM54 IF52:IM52 IF50:IM50 IF48:IM48 IF46:IM46 IF44:IM44 IF42:IM42 IF40:IM40 IF38:IM38 IF36:IM36 IF34:IM34 IF32:IM32 IF30:IM30 IF28:IM28 IF26:IM26 IF24:IM24 IF22:IM22 IF20:IM20 IF18:IM18 IF16:IM16 IF14:IM14 FV112 FV110 FV108 FV106 FV104 FV102 FV100 FV98 FV96 FV94 FV92 FV90 FV88 FV86 FV84 FV82 FV80 FV78 FV76 FV74 FV72 FV70 FV68 FV66 FV64 FV62 FV60 FV58 FV56 FV54 FV52 FV50 FV48 FV46 FV44 FV42 FV40 FV38 FV36 FV34 FV32 FV30 FV28 FV26 FV24 FV22 FV20 FV18 FV16 FV14">
    <cfRule type="expression" dxfId="390" priority="388" stopIfTrue="1">
      <formula>AND(FV$12&gt;=$F14,FV$12&lt;=$G14)</formula>
    </cfRule>
  </conditionalFormatting>
  <conditionalFormatting sqref="IU111:IW111 IU109:IW109 IU107:IW107 IU105:IW105 IU103:IW103 IU101:IW101 IU99:IW99 IU97:IW97 IU95:IW95 IU93:IW93 IU91:IW91 IU89:IW89 IU87:IW87 IU85:IW85 IU83:IW83 IU81:IW81 IU79:IW79 IU77:IW77 IU75:IW75 IU73:IW73 IU71:IW71 IU69:IW69 IU67:IW67 IU65:IW65 IU63:IW63 IU61:IW61 IU59:IW59 IU57:IW57 IU55:IW55 IU53:IW53 IU51:IW51 IU49:IW49 IU47:IW47 IU45:IW45 IU43:IW43 IU41:IW41 IU39:IW39 IU37:IW37 IU35:IW35 IU33:IW33 IU31:IW31 IU29:IW29 IU27:IW27 IU25:IW25 IU23:IW23 IU21:IW21 IU19:IW19 IU17:IW17 IU15:IW15 IU13:IW13">
    <cfRule type="expression" dxfId="387" priority="385" stopIfTrue="1">
      <formula>AND(IU$12&gt;=$F13,IU$12&lt;=$G13)</formula>
    </cfRule>
  </conditionalFormatting>
  <conditionalFormatting sqref="IU112:IW112 IU110:IW110 IU108:IW108 IU106:IW106 IU104:IW104 IU102:IW102 IU100:IW100 IU98:IW98 IU96:IW96 IU94:IW94 IU92:IW92 IU90:IW90 IU88:IW88 IU86:IW86 IU84:IW84 IU82:IW82 IU80:IW80 IU78:IW78 IU76:IW76 IU74:IW74 IU72:IW72 IU70:IW70 IU68:IW68 IU66:IW66 IU64:IW64 IU62:IW62 IU60:IW60 IU58:IW58 IU56:IW56 IU54:IW54 IU52:IW52 IU50:IW50 IU48:IW48 IU46:IW46 IU44:IW44 IU42:IW42 IU40:IW40 IU38:IW38 IU36:IW36 IU34:IW34 IU32:IW32 IU30:IW30 IU28:IW28 IU26:IW26 IU24:IW24 IU22:IW22 IU20:IW20 IU18:IW18 IU16:IW16 IU14:IW14">
    <cfRule type="expression" dxfId="386" priority="386" stopIfTrue="1">
      <formula>AND(IU$12&gt;=$F14,IU$12&lt;=$G14)</formula>
    </cfRule>
  </conditionalFormatting>
  <conditionalFormatting sqref="IX113:IY113 IO113:IT113 IF113:IM113 FV113">
    <cfRule type="expression" dxfId="379" priority="377" stopIfTrue="1">
      <formula>AND(FV$12&gt;=$F113,FV$12&lt;=$G113)</formula>
    </cfRule>
  </conditionalFormatting>
  <conditionalFormatting sqref="IX114:IY114 IO114:IT114 IF114:IM114 FV114">
    <cfRule type="expression" dxfId="378" priority="378" stopIfTrue="1">
      <formula>AND(FV$12&gt;=$F114,FV$12&lt;=$G114)</formula>
    </cfRule>
  </conditionalFormatting>
  <conditionalFormatting sqref="IU113:IW113">
    <cfRule type="expression" dxfId="377" priority="375" stopIfTrue="1">
      <formula>AND(IU$12&gt;=$F113,IU$12&lt;=$G113)</formula>
    </cfRule>
  </conditionalFormatting>
  <conditionalFormatting sqref="IU114:IW114">
    <cfRule type="expression" dxfId="376" priority="376" stopIfTrue="1">
      <formula>AND(IU$12&gt;=$F114,IU$12&lt;=$G114)</formula>
    </cfRule>
  </conditionalFormatting>
  <conditionalFormatting sqref="IX115:IY115 IO115:IT115 IF115:IM115 FV115">
    <cfRule type="expression" dxfId="375" priority="373" stopIfTrue="1">
      <formula>AND(FV$12&gt;=$F115,FV$12&lt;=$G115)</formula>
    </cfRule>
  </conditionalFormatting>
  <conditionalFormatting sqref="IX116:IY116 IO116:IT116 IF116:IM116 FV116">
    <cfRule type="expression" dxfId="374" priority="374" stopIfTrue="1">
      <formula>AND(FV$12&gt;=$F116,FV$12&lt;=$G116)</formula>
    </cfRule>
  </conditionalFormatting>
  <conditionalFormatting sqref="IU115:IW115">
    <cfRule type="expression" dxfId="373" priority="371" stopIfTrue="1">
      <formula>AND(IU$12&gt;=$F115,IU$12&lt;=$G115)</formula>
    </cfRule>
  </conditionalFormatting>
  <conditionalFormatting sqref="IU116:IW116">
    <cfRule type="expression" dxfId="372" priority="372" stopIfTrue="1">
      <formula>AND(IU$12&gt;=$F116,IU$12&lt;=$G116)</formula>
    </cfRule>
  </conditionalFormatting>
  <conditionalFormatting sqref="IX117:IY117 IO117:IT117 IF117:IM117 FV117">
    <cfRule type="expression" dxfId="371" priority="369" stopIfTrue="1">
      <formula>AND(FV$12&gt;=$F117,FV$12&lt;=$G117)</formula>
    </cfRule>
  </conditionalFormatting>
  <conditionalFormatting sqref="IX118:IY118 IO118:IT118 IF118:IM118 FV118">
    <cfRule type="expression" dxfId="370" priority="370" stopIfTrue="1">
      <formula>AND(FV$12&gt;=$F118,FV$12&lt;=$G118)</formula>
    </cfRule>
  </conditionalFormatting>
  <conditionalFormatting sqref="IU117:IW117">
    <cfRule type="expression" dxfId="369" priority="367" stopIfTrue="1">
      <formula>AND(IU$12&gt;=$F117,IU$12&lt;=$G117)</formula>
    </cfRule>
  </conditionalFormatting>
  <conditionalFormatting sqref="IU118:IW118">
    <cfRule type="expression" dxfId="368" priority="368" stopIfTrue="1">
      <formula>AND(IU$12&gt;=$F118,IU$12&lt;=$G118)</formula>
    </cfRule>
  </conditionalFormatting>
  <conditionalFormatting sqref="IX119:IY119 IO119:IT119 IF119:IM119 FV119">
    <cfRule type="expression" dxfId="367" priority="365" stopIfTrue="1">
      <formula>AND(FV$12&gt;=$F119,FV$12&lt;=$G119)</formula>
    </cfRule>
  </conditionalFormatting>
  <conditionalFormatting sqref="IX120:IY120 IO120:IT120 IF120:IM120 FV120">
    <cfRule type="expression" dxfId="366" priority="366" stopIfTrue="1">
      <formula>AND(FV$12&gt;=$F120,FV$12&lt;=$G120)</formula>
    </cfRule>
  </conditionalFormatting>
  <conditionalFormatting sqref="IU119:IW119">
    <cfRule type="expression" dxfId="365" priority="363" stopIfTrue="1">
      <formula>AND(IU$12&gt;=$F119,IU$12&lt;=$G119)</formula>
    </cfRule>
  </conditionalFormatting>
  <conditionalFormatting sqref="IU120:IW120">
    <cfRule type="expression" dxfId="364" priority="364" stopIfTrue="1">
      <formula>AND(IU$12&gt;=$F120,IU$12&lt;=$G120)</formula>
    </cfRule>
  </conditionalFormatting>
  <conditionalFormatting sqref="IX121:IY121 IO121:IT121 IF121:IM121 FV121">
    <cfRule type="expression" dxfId="363" priority="361" stopIfTrue="1">
      <formula>AND(FV$12&gt;=$F121,FV$12&lt;=$G121)</formula>
    </cfRule>
  </conditionalFormatting>
  <conditionalFormatting sqref="IX122:IY122 IO122:IT122 IF122:IM122 FV122">
    <cfRule type="expression" dxfId="362" priority="362" stopIfTrue="1">
      <formula>AND(FV$12&gt;=$F122,FV$12&lt;=$G122)</formula>
    </cfRule>
  </conditionalFormatting>
  <conditionalFormatting sqref="IU121:IW121">
    <cfRule type="expression" dxfId="361" priority="359" stopIfTrue="1">
      <formula>AND(IU$12&gt;=$F121,IU$12&lt;=$G121)</formula>
    </cfRule>
  </conditionalFormatting>
  <conditionalFormatting sqref="IU122:IW122">
    <cfRule type="expression" dxfId="360" priority="360" stopIfTrue="1">
      <formula>AND(IU$12&gt;=$F122,IU$12&lt;=$G122)</formula>
    </cfRule>
  </conditionalFormatting>
  <conditionalFormatting sqref="IX123:IY123 IO123:IT123 IF123:IM123 FV123">
    <cfRule type="expression" dxfId="359" priority="357" stopIfTrue="1">
      <formula>AND(FV$12&gt;=$F123,FV$12&lt;=$G123)</formula>
    </cfRule>
  </conditionalFormatting>
  <conditionalFormatting sqref="IX124:IY124 IO124:IT124 IF124:IM124 FV124">
    <cfRule type="expression" dxfId="358" priority="358" stopIfTrue="1">
      <formula>AND(FV$12&gt;=$F124,FV$12&lt;=$G124)</formula>
    </cfRule>
  </conditionalFormatting>
  <conditionalFormatting sqref="IU123:IW123">
    <cfRule type="expression" dxfId="357" priority="355" stopIfTrue="1">
      <formula>AND(IU$12&gt;=$F123,IU$12&lt;=$G123)</formula>
    </cfRule>
  </conditionalFormatting>
  <conditionalFormatting sqref="IU124:IW124">
    <cfRule type="expression" dxfId="356" priority="356" stopIfTrue="1">
      <formula>AND(IU$12&gt;=$F124,IU$12&lt;=$G124)</formula>
    </cfRule>
  </conditionalFormatting>
  <conditionalFormatting sqref="IN111 IN109 IN107 IN105 IN103 IN101 IN99 IN97 IN95 IN93 IN91 IN89 IN87 IN85 IN83 IN81 IN79 IN77 IN75 IN73 IN71 IN69 IN67 IN65 IN63 IN61 IN59 IN57 IN55 IN53 IN51 IN49 IN47 IN45 IN43 IN41 IN39 IN37 IN35 IN33 IN31 IN29 IN27 IN25 IN23 IN21 IN19 IN17 IN15 IN13">
    <cfRule type="expression" dxfId="355" priority="351" stopIfTrue="1">
      <formula>AND(IN$12&gt;=$F13,IN$12&lt;=$G13)</formula>
    </cfRule>
  </conditionalFormatting>
  <conditionalFormatting sqref="IN112 IN110 IN108 IN106 IN104 IN102 IN100 IN98 IN96 IN94 IN92 IN90 IN88 IN86 IN84 IN82 IN80 IN78 IN76 IN74 IN72 IN70 IN68 IN66 IN64 IN62 IN60 IN58 IN56 IN54 IN52 IN50 IN48 IN46 IN44 IN42 IN40 IN38 IN36 IN34 IN32 IN30 IN28 IN26 IN24 IN22 IN20 IN18 IN16 IN14">
    <cfRule type="expression" dxfId="354" priority="352" stopIfTrue="1">
      <formula>AND(IN$12&gt;=$F14,IN$12&lt;=$G14)</formula>
    </cfRule>
  </conditionalFormatting>
  <conditionalFormatting sqref="IN113">
    <cfRule type="expression" dxfId="351" priority="349" stopIfTrue="1">
      <formula>AND(IN$12&gt;=$F113,IN$12&lt;=$G113)</formula>
    </cfRule>
  </conditionalFormatting>
  <conditionalFormatting sqref="IN114">
    <cfRule type="expression" dxfId="350" priority="350" stopIfTrue="1">
      <formula>AND(IN$12&gt;=$F114,IN$12&lt;=$G114)</formula>
    </cfRule>
  </conditionalFormatting>
  <conditionalFormatting sqref="IN115">
    <cfRule type="expression" dxfId="349" priority="347" stopIfTrue="1">
      <formula>AND(IN$12&gt;=$F115,IN$12&lt;=$G115)</formula>
    </cfRule>
  </conditionalFormatting>
  <conditionalFormatting sqref="IN116">
    <cfRule type="expression" dxfId="348" priority="348" stopIfTrue="1">
      <formula>AND(IN$12&gt;=$F116,IN$12&lt;=$G116)</formula>
    </cfRule>
  </conditionalFormatting>
  <conditionalFormatting sqref="IN117">
    <cfRule type="expression" dxfId="347" priority="345" stopIfTrue="1">
      <formula>AND(IN$12&gt;=$F117,IN$12&lt;=$G117)</formula>
    </cfRule>
  </conditionalFormatting>
  <conditionalFormatting sqref="IN118">
    <cfRule type="expression" dxfId="346" priority="346" stopIfTrue="1">
      <formula>AND(IN$12&gt;=$F118,IN$12&lt;=$G118)</formula>
    </cfRule>
  </conditionalFormatting>
  <conditionalFormatting sqref="IN119">
    <cfRule type="expression" dxfId="345" priority="343" stopIfTrue="1">
      <formula>AND(IN$12&gt;=$F119,IN$12&lt;=$G119)</formula>
    </cfRule>
  </conditionalFormatting>
  <conditionalFormatting sqref="IN120">
    <cfRule type="expression" dxfId="344" priority="344" stopIfTrue="1">
      <formula>AND(IN$12&gt;=$F120,IN$12&lt;=$G120)</formula>
    </cfRule>
  </conditionalFormatting>
  <conditionalFormatting sqref="IN121">
    <cfRule type="expression" dxfId="343" priority="341" stopIfTrue="1">
      <formula>AND(IN$12&gt;=$F121,IN$12&lt;=$G121)</formula>
    </cfRule>
  </conditionalFormatting>
  <conditionalFormatting sqref="IN122">
    <cfRule type="expression" dxfId="342" priority="342" stopIfTrue="1">
      <formula>AND(IN$12&gt;=$F122,IN$12&lt;=$G122)</formula>
    </cfRule>
  </conditionalFormatting>
  <conditionalFormatting sqref="IN123">
    <cfRule type="expression" dxfId="341" priority="339" stopIfTrue="1">
      <formula>AND(IN$12&gt;=$F123,IN$12&lt;=$G123)</formula>
    </cfRule>
  </conditionalFormatting>
  <conditionalFormatting sqref="IN124">
    <cfRule type="expression" dxfId="340" priority="340" stopIfTrue="1">
      <formula>AND(IN$12&gt;=$F124,IN$12&lt;=$G124)</formula>
    </cfRule>
  </conditionalFormatting>
  <conditionalFormatting sqref="GB111:GC111 GB109:GC109 GB107:GC107 GB105:GC105 GB103:GC103 GB101:GC101 GB99:GC99 GB97:GC97 GB95:GC95 GB93:GC93 GB91:GC91 GB89:GC89 GB87:GC87 GB85:GC85 GB83:GC83 GB81:GC81 GB79:GC79 GB77:GC77 GB75:GC75 GB73:GC73 GB71:GC71 GB69:GC69 GB67:GC67 GB65:GC65 GB63:GC63 GB61:GC61 GB59:GC59 GB57:GC57 GB55:GC55 GB53:GC53 GB51:GC51 GB49:GC49 GB47:GC47 GB45:GC45 GB43:GC43 GB41:GC41 GB39:GC39 GB37:GC37 GB35:GC35 GB33:GC33 GB31:GC31 GB29:GC29 GB27:GC27 GB25:GC25 GB23:GC23 GB21:GC21 GB19:GC19 GB17:GC17 GB15:GC15 GB13:GC13 FW111:FZ111 FW109:FZ109 FW107:FZ107 FW105:FZ105 FW103:FZ103 FW101:FZ101 FW99:FZ99 FW97:FZ97 FW95:FZ95 FW93:FZ93 FW91:FZ91 FW89:FZ89 FW87:FZ87 FW85:FZ85 FW83:FZ83 FW81:FZ81 FW79:FZ79 FW77:FZ77 FW75:FZ75 FW73:FZ73 FW71:FZ71 FW69:FZ69 FW67:FZ67 FW65:FZ65 FW63:FZ63 FW61:FZ61 FW59:FZ59 FW57:FZ57 FW55:FZ55 FW53:FZ53 FW51:FZ51 FW49:FZ49 FW47:FZ47 FW45:FZ45 FW43:FZ43 FW41:FZ41 FW39:FZ39 FW37:FZ37 FW35:FZ35 FW33:FZ33 FW31:FZ31 FW29:FZ29 FW27:FZ27 FW25:FZ25 FW23:FZ23 FW21:FZ21 FW19:FZ19 FW17:FZ17 FW15:FZ15 FW13:FZ13 IA13:ID13 IA15:ID15 IA17:ID17 IA19:ID19 IA21:ID21 IA23:ID23 IA25:ID25 IA27:ID27 IA29:ID29 IA31:ID31 IA33:ID33 IA35:ID35 IA37:ID37 IA39:ID39 IA41:ID41 IA43:ID43 IA45:ID45 IA47:ID47 IA49:ID49 IA51:ID51 IA53:ID53 IA55:ID55 IA57:ID57 IA59:ID59 IA61:ID61 IA63:ID63 IA65:ID65 IA67:ID67 IA69:ID69 IA71:ID71 IA73:ID73 IA75:ID75 IA77:ID77 IA79:ID79 IA81:ID81 IA83:ID83 IA85:ID85 IA87:ID87 IA89:ID89 IA91:ID91 IA93:ID93 IA95:ID95 IA97:ID97 IA99:ID99 IA101:ID101 IA103:ID103 IA105:ID105 IA107:ID107 IA109:ID109 IA111:ID111">
    <cfRule type="expression" dxfId="339" priority="335" stopIfTrue="1">
      <formula>AND(FW$12&gt;=$F13,FW$12&lt;=$G13)</formula>
    </cfRule>
  </conditionalFormatting>
  <conditionalFormatting sqref="GB112:GC112 GB110:GC110 GB108:GC108 GB106:GC106 GB104:GC104 GB102:GC102 GB100:GC100 GB98:GC98 GB96:GC96 GB94:GC94 GB92:GC92 GB90:GC90 GB88:GC88 GB86:GC86 GB84:GC84 GB82:GC82 GB80:GC80 GB78:GC78 GB76:GC76 GB74:GC74 GB72:GC72 GB70:GC70 GB68:GC68 GB66:GC66 GB64:GC64 GB62:GC62 GB60:GC60 GB58:GC58 GB56:GC56 GB54:GC54 GB52:GC52 GB50:GC50 GB48:GC48 GB46:GC46 GB44:GC44 GB42:GC42 GB40:GC40 GB38:GC38 GB36:GC36 GB34:GC34 GB32:GC32 GB30:GC30 GB28:GC28 GB26:GC26 GB24:GC24 GB22:GC22 GB20:GC20 GB18:GC18 GB16:GC16 GB14:GC14 FW112:FZ112 FW110:FZ110 FW108:FZ108 FW106:FZ106 FW104:FZ104 FW102:FZ102 FW100:FZ100 FW98:FZ98 FW96:FZ96 FW94:FZ94 FW92:FZ92 FW90:FZ90 FW88:FZ88 FW86:FZ86 FW84:FZ84 FW82:FZ82 FW80:FZ80 FW78:FZ78 FW76:FZ76 FW74:FZ74 FW72:FZ72 FW70:FZ70 FW68:FZ68 FW66:FZ66 FW64:FZ64 FW62:FZ62 FW60:FZ60 FW58:FZ58 FW56:FZ56 FW54:FZ54 FW52:FZ52 FW50:FZ50 FW48:FZ48 FW46:FZ46 FW44:FZ44 FW42:FZ42 FW40:FZ40 FW38:FZ38 FW36:FZ36 FW34:FZ34 FW32:FZ32 FW30:FZ30 FW28:FZ28 FW26:FZ26 FW24:FZ24 FW22:FZ22 FW20:FZ20 FW18:FZ18 FW16:FZ16 FW14:FZ14 IA14:ID14 IA16:ID16 IA18:ID18 IA20:ID20 IA22:ID22 IA24:ID24 IA26:ID26 IA28:ID28 IA30:ID30 IA32:ID32 IA34:ID34 IA36:ID36 IA38:ID38 IA40:ID40 IA42:ID42 IA44:ID44 IA46:ID46 IA48:ID48 IA50:ID50 IA52:ID52 IA54:ID54 IA56:ID56 IA58:ID58 IA60:ID60 IA62:ID62 IA64:ID64 IA66:ID66 IA68:ID68 IA70:ID70 IA72:ID72 IA74:ID74 IA76:ID76 IA78:ID78 IA80:ID80 IA82:ID82 IA84:ID84 IA86:ID86 IA88:ID88 IA90:ID90 IA92:ID92 IA94:ID94 IA96:ID96 IA98:ID98 IA100:ID100 IA102:ID102 IA104:ID104 IA106:ID106 IA108:ID108 IA110:ID110 IA112:ID112">
    <cfRule type="expression" dxfId="338" priority="336" stopIfTrue="1">
      <formula>AND(FW$12&gt;=$F14,FW$12&lt;=$G14)</formula>
    </cfRule>
  </conditionalFormatting>
  <conditionalFormatting sqref="IE111 IE109 IE107 IE105 IE103 IE101 IE99 IE97 IE95 IE93 IE91 IE89 IE87 IE85 IE83 IE81 IE79 IE77 IE75 IE73 IE71 IE69 IE67 IE65 IE63 IE61 IE59 IE57 IE55 IE53 IE51 IE49 IE47 IE45 IE43 IE41 IE39 IE37 IE35 IE33 IE31 IE29 IE27 IE25 IE23 IE21 IE19 IE17 IE15 IE13">
    <cfRule type="expression" dxfId="335" priority="333" stopIfTrue="1">
      <formula>AND(IE$12&gt;=$F13,IE$12&lt;=$G13)</formula>
    </cfRule>
  </conditionalFormatting>
  <conditionalFormatting sqref="IE112 IE110 IE108 IE106 IE104 IE102 IE100 IE98 IE96 IE94 IE92 IE90 IE88 IE86 IE84 IE82 IE80 IE78 IE76 IE74 IE72 IE70 IE68 IE66 IE64 IE62 IE60 IE58 IE56 IE54 IE52 IE50 IE48 IE46 IE44 IE42 IE40 IE38 IE36 IE34 IE32 IE30 IE28 IE26 IE24 IE22 IE20 IE18 IE16 IE14">
    <cfRule type="expression" dxfId="334" priority="334" stopIfTrue="1">
      <formula>AND(IE$12&gt;=$F14,IE$12&lt;=$G14)</formula>
    </cfRule>
  </conditionalFormatting>
  <conditionalFormatting sqref="GB113:GC113 FW113:FZ113 IA113:ID113">
    <cfRule type="expression" dxfId="331" priority="329" stopIfTrue="1">
      <formula>AND(FW$12&gt;=$F113,FW$12&lt;=$G113)</formula>
    </cfRule>
  </conditionalFormatting>
  <conditionalFormatting sqref="GB114:GC114 FW114:FZ114 IA114:ID114">
    <cfRule type="expression" dxfId="330" priority="330" stopIfTrue="1">
      <formula>AND(FW$12&gt;=$F114,FW$12&lt;=$G114)</formula>
    </cfRule>
  </conditionalFormatting>
  <conditionalFormatting sqref="IE113">
    <cfRule type="expression" dxfId="329" priority="327" stopIfTrue="1">
      <formula>AND(IE$12&gt;=$F113,IE$12&lt;=$G113)</formula>
    </cfRule>
  </conditionalFormatting>
  <conditionalFormatting sqref="IE114">
    <cfRule type="expression" dxfId="328" priority="328" stopIfTrue="1">
      <formula>AND(IE$12&gt;=$F114,IE$12&lt;=$G114)</formula>
    </cfRule>
  </conditionalFormatting>
  <conditionalFormatting sqref="GB115:GC115 FW115:FZ115 IA115:ID115">
    <cfRule type="expression" dxfId="327" priority="325" stopIfTrue="1">
      <formula>AND(FW$12&gt;=$F115,FW$12&lt;=$G115)</formula>
    </cfRule>
  </conditionalFormatting>
  <conditionalFormatting sqref="GB116:GC116 FW116:FZ116 IA116:ID116">
    <cfRule type="expression" dxfId="326" priority="326" stopIfTrue="1">
      <formula>AND(FW$12&gt;=$F116,FW$12&lt;=$G116)</formula>
    </cfRule>
  </conditionalFormatting>
  <conditionalFormatting sqref="IE115">
    <cfRule type="expression" dxfId="325" priority="323" stopIfTrue="1">
      <formula>AND(IE$12&gt;=$F115,IE$12&lt;=$G115)</formula>
    </cfRule>
  </conditionalFormatting>
  <conditionalFormatting sqref="IE116">
    <cfRule type="expression" dxfId="324" priority="324" stopIfTrue="1">
      <formula>AND(IE$12&gt;=$F116,IE$12&lt;=$G116)</formula>
    </cfRule>
  </conditionalFormatting>
  <conditionalFormatting sqref="GB117:GC117 FW117:FZ117 IA117:ID117">
    <cfRule type="expression" dxfId="323" priority="321" stopIfTrue="1">
      <formula>AND(FW$12&gt;=$F117,FW$12&lt;=$G117)</formula>
    </cfRule>
  </conditionalFormatting>
  <conditionalFormatting sqref="GB118:GC118 FW118:FZ118 IA118:ID118">
    <cfRule type="expression" dxfId="322" priority="322" stopIfTrue="1">
      <formula>AND(FW$12&gt;=$F118,FW$12&lt;=$G118)</formula>
    </cfRule>
  </conditionalFormatting>
  <conditionalFormatting sqref="IE117">
    <cfRule type="expression" dxfId="321" priority="319" stopIfTrue="1">
      <formula>AND(IE$12&gt;=$F117,IE$12&lt;=$G117)</formula>
    </cfRule>
  </conditionalFormatting>
  <conditionalFormatting sqref="IE118">
    <cfRule type="expression" dxfId="320" priority="320" stopIfTrue="1">
      <formula>AND(IE$12&gt;=$F118,IE$12&lt;=$G118)</formula>
    </cfRule>
  </conditionalFormatting>
  <conditionalFormatting sqref="GB119:GC119 FW119:FZ119 IA119:ID119">
    <cfRule type="expression" dxfId="319" priority="317" stopIfTrue="1">
      <formula>AND(FW$12&gt;=$F119,FW$12&lt;=$G119)</formula>
    </cfRule>
  </conditionalFormatting>
  <conditionalFormatting sqref="GB120:GC120 FW120:FZ120 IA120:ID120">
    <cfRule type="expression" dxfId="318" priority="318" stopIfTrue="1">
      <formula>AND(FW$12&gt;=$F120,FW$12&lt;=$G120)</formula>
    </cfRule>
  </conditionalFormatting>
  <conditionalFormatting sqref="IE119">
    <cfRule type="expression" dxfId="317" priority="315" stopIfTrue="1">
      <formula>AND(IE$12&gt;=$F119,IE$12&lt;=$G119)</formula>
    </cfRule>
  </conditionalFormatting>
  <conditionalFormatting sqref="IE120">
    <cfRule type="expression" dxfId="316" priority="316" stopIfTrue="1">
      <formula>AND(IE$12&gt;=$F120,IE$12&lt;=$G120)</formula>
    </cfRule>
  </conditionalFormatting>
  <conditionalFormatting sqref="GB121:GC121 FW121:FZ121 IA121:ID121">
    <cfRule type="expression" dxfId="315" priority="313" stopIfTrue="1">
      <formula>AND(FW$12&gt;=$F121,FW$12&lt;=$G121)</formula>
    </cfRule>
  </conditionalFormatting>
  <conditionalFormatting sqref="GB122:GC122 FW122:FZ122 IA122:ID122">
    <cfRule type="expression" dxfId="314" priority="314" stopIfTrue="1">
      <formula>AND(FW$12&gt;=$F122,FW$12&lt;=$G122)</formula>
    </cfRule>
  </conditionalFormatting>
  <conditionalFormatting sqref="IE121">
    <cfRule type="expression" dxfId="313" priority="311" stopIfTrue="1">
      <formula>AND(IE$12&gt;=$F121,IE$12&lt;=$G121)</formula>
    </cfRule>
  </conditionalFormatting>
  <conditionalFormatting sqref="IE122">
    <cfRule type="expression" dxfId="312" priority="312" stopIfTrue="1">
      <formula>AND(IE$12&gt;=$F122,IE$12&lt;=$G122)</formula>
    </cfRule>
  </conditionalFormatting>
  <conditionalFormatting sqref="GB123:GC123 FW123:FZ123 IA123:ID123">
    <cfRule type="expression" dxfId="311" priority="309" stopIfTrue="1">
      <formula>AND(FW$12&gt;=$F123,FW$12&lt;=$G123)</formula>
    </cfRule>
  </conditionalFormatting>
  <conditionalFormatting sqref="GB124:GC124 FW124:FZ124 IA124:ID124">
    <cfRule type="expression" dxfId="310" priority="310" stopIfTrue="1">
      <formula>AND(FW$12&gt;=$F124,FW$12&lt;=$G124)</formula>
    </cfRule>
  </conditionalFormatting>
  <conditionalFormatting sqref="IE123">
    <cfRule type="expression" dxfId="309" priority="307" stopIfTrue="1">
      <formula>AND(IE$12&gt;=$F123,IE$12&lt;=$G123)</formula>
    </cfRule>
  </conditionalFormatting>
  <conditionalFormatting sqref="IE124">
    <cfRule type="expression" dxfId="308" priority="308" stopIfTrue="1">
      <formula>AND(IE$12&gt;=$F124,IE$12&lt;=$G124)</formula>
    </cfRule>
  </conditionalFormatting>
  <conditionalFormatting sqref="GA111 GA109 GA107 GA105 GA103 GA101 GA99 GA97 GA95 GA93 GA91 GA89 GA87 GA85 GA83 GA81 GA79 GA77 GA75 GA73 GA71 GA69 GA67 GA65 GA63 GA61 GA59 GA57 GA55 GA53 GA51 GA49 GA47 GA45 GA43 GA41 GA39 GA37 GA35 GA33 GA31 GA29 GA27 GA25 GA23 GA21 GA19 GA17 GA15 GA13">
    <cfRule type="expression" dxfId="307" priority="303" stopIfTrue="1">
      <formula>AND(GA$12&gt;=$F13,GA$12&lt;=$G13)</formula>
    </cfRule>
  </conditionalFormatting>
  <conditionalFormatting sqref="GA112 GA110 GA108 GA106 GA104 GA102 GA100 GA98 GA96 GA94 GA92 GA90 GA88 GA86 GA84 GA82 GA80 GA78 GA76 GA74 GA72 GA70 GA68 GA66 GA64 GA62 GA60 GA58 GA56 GA54 GA52 GA50 GA48 GA46 GA44 GA42 GA40 GA38 GA36 GA34 GA32 GA30 GA28 GA26 GA24 GA22 GA20 GA18 GA16 GA14">
    <cfRule type="expression" dxfId="306" priority="304" stopIfTrue="1">
      <formula>AND(GA$12&gt;=$F14,GA$12&lt;=$G14)</formula>
    </cfRule>
  </conditionalFormatting>
  <conditionalFormatting sqref="GA113">
    <cfRule type="expression" dxfId="303" priority="301" stopIfTrue="1">
      <formula>AND(GA$12&gt;=$F113,GA$12&lt;=$G113)</formula>
    </cfRule>
  </conditionalFormatting>
  <conditionalFormatting sqref="GA114">
    <cfRule type="expression" dxfId="302" priority="302" stopIfTrue="1">
      <formula>AND(GA$12&gt;=$F114,GA$12&lt;=$G114)</formula>
    </cfRule>
  </conditionalFormatting>
  <conditionalFormatting sqref="GA115">
    <cfRule type="expression" dxfId="301" priority="299" stopIfTrue="1">
      <formula>AND(GA$12&gt;=$F115,GA$12&lt;=$G115)</formula>
    </cfRule>
  </conditionalFormatting>
  <conditionalFormatting sqref="GA116">
    <cfRule type="expression" dxfId="300" priority="300" stopIfTrue="1">
      <formula>AND(GA$12&gt;=$F116,GA$12&lt;=$G116)</formula>
    </cfRule>
  </conditionalFormatting>
  <conditionalFormatting sqref="GA117">
    <cfRule type="expression" dxfId="299" priority="297" stopIfTrue="1">
      <formula>AND(GA$12&gt;=$F117,GA$12&lt;=$G117)</formula>
    </cfRule>
  </conditionalFormatting>
  <conditionalFormatting sqref="GA118">
    <cfRule type="expression" dxfId="298" priority="298" stopIfTrue="1">
      <formula>AND(GA$12&gt;=$F118,GA$12&lt;=$G118)</formula>
    </cfRule>
  </conditionalFormatting>
  <conditionalFormatting sqref="GA119">
    <cfRule type="expression" dxfId="297" priority="295" stopIfTrue="1">
      <formula>AND(GA$12&gt;=$F119,GA$12&lt;=$G119)</formula>
    </cfRule>
  </conditionalFormatting>
  <conditionalFormatting sqref="GA120">
    <cfRule type="expression" dxfId="296" priority="296" stopIfTrue="1">
      <formula>AND(GA$12&gt;=$F120,GA$12&lt;=$G120)</formula>
    </cfRule>
  </conditionalFormatting>
  <conditionalFormatting sqref="GA121">
    <cfRule type="expression" dxfId="295" priority="293" stopIfTrue="1">
      <formula>AND(GA$12&gt;=$F121,GA$12&lt;=$G121)</formula>
    </cfRule>
  </conditionalFormatting>
  <conditionalFormatting sqref="GA122">
    <cfRule type="expression" dxfId="294" priority="294" stopIfTrue="1">
      <formula>AND(GA$12&gt;=$F122,GA$12&lt;=$G122)</formula>
    </cfRule>
  </conditionalFormatting>
  <conditionalFormatting sqref="GA123">
    <cfRule type="expression" dxfId="293" priority="291" stopIfTrue="1">
      <formula>AND(GA$12&gt;=$F123,GA$12&lt;=$G123)</formula>
    </cfRule>
  </conditionalFormatting>
  <conditionalFormatting sqref="GA124">
    <cfRule type="expression" dxfId="292" priority="292" stopIfTrue="1">
      <formula>AND(GA$12&gt;=$F124,GA$12&lt;=$G124)</formula>
    </cfRule>
  </conditionalFormatting>
  <conditionalFormatting sqref="FO111:FT111 FO109:FT109 FO107:FT107 FO105:FT105 FO103:FT103 FO101:FT101 FO99:FT99 FO97:FT97 FO95:FT95 FO93:FT93 FO91:FT91 FO89:FT89 FO87:FT87 FO85:FT85 FO83:FT83 FO81:FT81 FO79:FT79 FO77:FT77 FO75:FT75 FO73:FT73 FO71:FT71 FO69:FT69 FO67:FT67 FO65:FT65 FO63:FT63 FO61:FT61 FO59:FT59 FO57:FT57 FO55:FT55 FO53:FT53 FO51:FT51 FO49:FT49 FO47:FT47 FO45:FT45 FO43:FT43 FO41:FT41 FO39:FT39 FO37:FT37 FO35:FT35 FO33:FT33 FO31:FT31 FO29:FT29 FO27:FT27 FO25:FT25 FO23:FT23 FO21:FT21 FO19:FT19 FO17:FT17 FO15:FT15 FO13:FT13 FJ111:FM111 FJ109:FM109 FJ107:FM107 FJ105:FM105 FJ103:FM103 FJ101:FM101 FJ99:FM99 FJ97:FM97 FJ95:FM95 FJ93:FM93 FJ91:FM91 FJ89:FM89 FJ87:FM87 FJ85:FM85 FJ83:FM83 FJ81:FM81 FJ79:FM79 FJ77:FM77 FJ75:FM75 FJ73:FM73 FJ71:FM71 FJ69:FM69 FJ67:FM67 FJ65:FM65 FJ63:FM63 FJ61:FM61 FJ59:FM59 FJ57:FM57 FJ55:FM55 FJ53:FM53 FJ51:FM51 FJ49:FM49 FJ47:FM47 FJ45:FM45 FJ43:FM43 FJ41:FM41 FJ39:FM39 FJ37:FM37 FJ35:FM35 FJ33:FM33 FJ31:FM31 FJ29:FM29 FJ27:FM27 FJ25:FM25 FJ23:FM23 FJ21:FM21 FJ19:FM19 FJ17:FM17 FJ15:FM15 FJ13:FM13">
    <cfRule type="expression" dxfId="291" priority="287" stopIfTrue="1">
      <formula>AND(FJ$12&gt;=$F13,FJ$12&lt;=$G13)</formula>
    </cfRule>
  </conditionalFormatting>
  <conditionalFormatting sqref="FO112:FT112 FO110:FT110 FO108:FT108 FO106:FT106 FO104:FT104 FO102:FT102 FO100:FT100 FO98:FT98 FO96:FT96 FO94:FT94 FO92:FT92 FO90:FT90 FO88:FT88 FO86:FT86 FO84:FT84 FO82:FT82 FO80:FT80 FO78:FT78 FO76:FT76 FO74:FT74 FO72:FT72 FO70:FT70 FO68:FT68 FO66:FT66 FO64:FT64 FO62:FT62 FO60:FT60 FO58:FT58 FO56:FT56 FO54:FT54 FO52:FT52 FO50:FT50 FO48:FT48 FO46:FT46 FO44:FT44 FO42:FT42 FO40:FT40 FO38:FT38 FO36:FT36 FO34:FT34 FO32:FT32 FO30:FT30 FO28:FT28 FO26:FT26 FO24:FT24 FO22:FT22 FO20:FT20 FO18:FT18 FO16:FT16 FO14:FT14 FJ112:FM112 FJ110:FM110 FJ108:FM108 FJ106:FM106 FJ104:FM104 FJ102:FM102 FJ100:FM100 FJ98:FM98 FJ96:FM96 FJ94:FM94 FJ92:FM92 FJ90:FM90 FJ88:FM88 FJ86:FM86 FJ84:FM84 FJ82:FM82 FJ80:FM80 FJ78:FM78 FJ76:FM76 FJ74:FM74 FJ72:FM72 FJ70:FM70 FJ68:FM68 FJ66:FM66 FJ64:FM64 FJ62:FM62 FJ60:FM60 FJ58:FM58 FJ56:FM56 FJ54:FM54 FJ52:FM52 FJ50:FM50 FJ48:FM48 FJ46:FM46 FJ44:FM44 FJ42:FM42 FJ40:FM40 FJ38:FM38 FJ36:FM36 FJ34:FM34 FJ32:FM32 FJ30:FM30 FJ28:FM28 FJ26:FM26 FJ24:FM24 FJ22:FM22 FJ20:FM20 FJ18:FM18 FJ16:FM16 FJ14:FM14">
    <cfRule type="expression" dxfId="290" priority="288" stopIfTrue="1">
      <formula>AND(FJ$12&gt;=$F14,FJ$12&lt;=$G14)</formula>
    </cfRule>
  </conditionalFormatting>
  <conditionalFormatting sqref="FU111 FU109 FU107 FU105 FU103 FU101 FU99 FU97 FU95 FU93 FU91 FU89 FU87 FU85 FU83 FU81 FU79 FU77 FU75 FU73 FU71 FU69 FU67 FU65 FU63 FU61 FU59 FU57 FU55 FU53 FU51 FU49 FU47 FU45 FU43 FU41 FU39 FU37 FU35 FU33 FU31 FU29 FU27 FU25 FU23 FU21 FU19 FU17 FU15 FU13">
    <cfRule type="expression" dxfId="287" priority="285" stopIfTrue="1">
      <formula>AND(FU$12&gt;=$F13,FU$12&lt;=$G13)</formula>
    </cfRule>
  </conditionalFormatting>
  <conditionalFormatting sqref="FU112 FU110 FU108 FU106 FU104 FU102 FU100 FU98 FU96 FU94 FU92 FU90 FU88 FU86 FU84 FU82 FU80 FU78 FU76 FU74 FU72 FU70 FU68 FU66 FU64 FU62 FU60 FU58 FU56 FU54 FU52 FU50 FU48 FU46 FU44 FU42 FU40 FU38 FU36 FU34 FU32 FU30 FU28 FU26 FU24 FU22 FU20 FU18 FU16 FU14">
    <cfRule type="expression" dxfId="286" priority="286" stopIfTrue="1">
      <formula>AND(FU$12&gt;=$F14,FU$12&lt;=$G14)</formula>
    </cfRule>
  </conditionalFormatting>
  <conditionalFormatting sqref="FO113:FT113 FJ113:FM113">
    <cfRule type="expression" dxfId="283" priority="281" stopIfTrue="1">
      <formula>AND(FJ$12&gt;=$F113,FJ$12&lt;=$G113)</formula>
    </cfRule>
  </conditionalFormatting>
  <conditionalFormatting sqref="FO114:FT114 FJ114:FM114">
    <cfRule type="expression" dxfId="282" priority="282" stopIfTrue="1">
      <formula>AND(FJ$12&gt;=$F114,FJ$12&lt;=$G114)</formula>
    </cfRule>
  </conditionalFormatting>
  <conditionalFormatting sqref="FU113">
    <cfRule type="expression" dxfId="281" priority="279" stopIfTrue="1">
      <formula>AND(FU$12&gt;=$F113,FU$12&lt;=$G113)</formula>
    </cfRule>
  </conditionalFormatting>
  <conditionalFormatting sqref="FU114">
    <cfRule type="expression" dxfId="280" priority="280" stopIfTrue="1">
      <formula>AND(FU$12&gt;=$F114,FU$12&lt;=$G114)</formula>
    </cfRule>
  </conditionalFormatting>
  <conditionalFormatting sqref="FO115:FT115 FJ115:FM115">
    <cfRule type="expression" dxfId="279" priority="277" stopIfTrue="1">
      <formula>AND(FJ$12&gt;=$F115,FJ$12&lt;=$G115)</formula>
    </cfRule>
  </conditionalFormatting>
  <conditionalFormatting sqref="FO116:FT116 FJ116:FM116">
    <cfRule type="expression" dxfId="278" priority="278" stopIfTrue="1">
      <formula>AND(FJ$12&gt;=$F116,FJ$12&lt;=$G116)</formula>
    </cfRule>
  </conditionalFormatting>
  <conditionalFormatting sqref="FU115">
    <cfRule type="expression" dxfId="277" priority="275" stopIfTrue="1">
      <formula>AND(FU$12&gt;=$F115,FU$12&lt;=$G115)</formula>
    </cfRule>
  </conditionalFormatting>
  <conditionalFormatting sqref="FU116">
    <cfRule type="expression" dxfId="276" priority="276" stopIfTrue="1">
      <formula>AND(FU$12&gt;=$F116,FU$12&lt;=$G116)</formula>
    </cfRule>
  </conditionalFormatting>
  <conditionalFormatting sqref="FO117:FT117 FJ117:FM117">
    <cfRule type="expression" dxfId="275" priority="273" stopIfTrue="1">
      <formula>AND(FJ$12&gt;=$F117,FJ$12&lt;=$G117)</formula>
    </cfRule>
  </conditionalFormatting>
  <conditionalFormatting sqref="FO118:FT118 FJ118:FM118">
    <cfRule type="expression" dxfId="274" priority="274" stopIfTrue="1">
      <formula>AND(FJ$12&gt;=$F118,FJ$12&lt;=$G118)</formula>
    </cfRule>
  </conditionalFormatting>
  <conditionalFormatting sqref="FU117">
    <cfRule type="expression" dxfId="273" priority="271" stopIfTrue="1">
      <formula>AND(FU$12&gt;=$F117,FU$12&lt;=$G117)</formula>
    </cfRule>
  </conditionalFormatting>
  <conditionalFormatting sqref="FU118">
    <cfRule type="expression" dxfId="272" priority="272" stopIfTrue="1">
      <formula>AND(FU$12&gt;=$F118,FU$12&lt;=$G118)</formula>
    </cfRule>
  </conditionalFormatting>
  <conditionalFormatting sqref="FO119:FT119 FJ119:FM119">
    <cfRule type="expression" dxfId="271" priority="269" stopIfTrue="1">
      <formula>AND(FJ$12&gt;=$F119,FJ$12&lt;=$G119)</formula>
    </cfRule>
  </conditionalFormatting>
  <conditionalFormatting sqref="FO120:FT120 FJ120:FM120">
    <cfRule type="expression" dxfId="270" priority="270" stopIfTrue="1">
      <formula>AND(FJ$12&gt;=$F120,FJ$12&lt;=$G120)</formula>
    </cfRule>
  </conditionalFormatting>
  <conditionalFormatting sqref="FU119">
    <cfRule type="expression" dxfId="269" priority="267" stopIfTrue="1">
      <formula>AND(FU$12&gt;=$F119,FU$12&lt;=$G119)</formula>
    </cfRule>
  </conditionalFormatting>
  <conditionalFormatting sqref="FU120">
    <cfRule type="expression" dxfId="268" priority="268" stopIfTrue="1">
      <formula>AND(FU$12&gt;=$F120,FU$12&lt;=$G120)</formula>
    </cfRule>
  </conditionalFormatting>
  <conditionalFormatting sqref="FO121:FT121 FJ121:FM121">
    <cfRule type="expression" dxfId="267" priority="265" stopIfTrue="1">
      <formula>AND(FJ$12&gt;=$F121,FJ$12&lt;=$G121)</formula>
    </cfRule>
  </conditionalFormatting>
  <conditionalFormatting sqref="FO122:FT122 FJ122:FM122">
    <cfRule type="expression" dxfId="266" priority="266" stopIfTrue="1">
      <formula>AND(FJ$12&gt;=$F122,FJ$12&lt;=$G122)</formula>
    </cfRule>
  </conditionalFormatting>
  <conditionalFormatting sqref="FU121">
    <cfRule type="expression" dxfId="265" priority="263" stopIfTrue="1">
      <formula>AND(FU$12&gt;=$F121,FU$12&lt;=$G121)</formula>
    </cfRule>
  </conditionalFormatting>
  <conditionalFormatting sqref="FU122">
    <cfRule type="expression" dxfId="264" priority="264" stopIfTrue="1">
      <formula>AND(FU$12&gt;=$F122,FU$12&lt;=$G122)</formula>
    </cfRule>
  </conditionalFormatting>
  <conditionalFormatting sqref="FO123:FT123 FJ123:FM123">
    <cfRule type="expression" dxfId="263" priority="261" stopIfTrue="1">
      <formula>AND(FJ$12&gt;=$F123,FJ$12&lt;=$G123)</formula>
    </cfRule>
  </conditionalFormatting>
  <conditionalFormatting sqref="FO124:FT124 FJ124:FM124">
    <cfRule type="expression" dxfId="262" priority="262" stopIfTrue="1">
      <formula>AND(FJ$12&gt;=$F124,FJ$12&lt;=$G124)</formula>
    </cfRule>
  </conditionalFormatting>
  <conditionalFormatting sqref="FU123">
    <cfRule type="expression" dxfId="261" priority="259" stopIfTrue="1">
      <formula>AND(FU$12&gt;=$F123,FU$12&lt;=$G123)</formula>
    </cfRule>
  </conditionalFormatting>
  <conditionalFormatting sqref="FU124">
    <cfRule type="expression" dxfId="260" priority="260" stopIfTrue="1">
      <formula>AND(FU$12&gt;=$F124,FU$12&lt;=$G124)</formula>
    </cfRule>
  </conditionalFormatting>
  <conditionalFormatting sqref="FN111 FN109 FN107 FN105 FN103 FN101 FN99 FN97 FN95 FN93 FN91 FN89 FN87 FN85 FN83 FN81 FN79 FN77 FN75 FN73 FN71 FN69 FN67 FN65 FN63 FN61 FN59 FN57 FN55 FN53 FN51 FN49 FN47 FN45 FN43 FN41 FN39 FN37 FN35 FN33 FN31 FN29 FN27 FN25 FN23 FN21 FN19 FN17 FN15 FN13">
    <cfRule type="expression" dxfId="259" priority="255" stopIfTrue="1">
      <formula>AND(FN$12&gt;=$F13,FN$12&lt;=$G13)</formula>
    </cfRule>
  </conditionalFormatting>
  <conditionalFormatting sqref="FN112 FN110 FN108 FN106 FN104 FN102 FN100 FN98 FN96 FN94 FN92 FN90 FN88 FN86 FN84 FN82 FN80 FN78 FN76 FN74 FN72 FN70 FN68 FN66 FN64 FN62 FN60 FN58 FN56 FN54 FN52 FN50 FN48 FN46 FN44 FN42 FN40 FN38 FN36 FN34 FN32 FN30 FN28 FN26 FN24 FN22 FN20 FN18 FN16 FN14">
    <cfRule type="expression" dxfId="258" priority="256" stopIfTrue="1">
      <formula>AND(FN$12&gt;=$F14,FN$12&lt;=$G14)</formula>
    </cfRule>
  </conditionalFormatting>
  <conditionalFormatting sqref="FN113">
    <cfRule type="expression" dxfId="255" priority="253" stopIfTrue="1">
      <formula>AND(FN$12&gt;=$F113,FN$12&lt;=$G113)</formula>
    </cfRule>
  </conditionalFormatting>
  <conditionalFormatting sqref="FN114">
    <cfRule type="expression" dxfId="254" priority="254" stopIfTrue="1">
      <formula>AND(FN$12&gt;=$F114,FN$12&lt;=$G114)</formula>
    </cfRule>
  </conditionalFormatting>
  <conditionalFormatting sqref="FN115">
    <cfRule type="expression" dxfId="253" priority="251" stopIfTrue="1">
      <formula>AND(FN$12&gt;=$F115,FN$12&lt;=$G115)</formula>
    </cfRule>
  </conditionalFormatting>
  <conditionalFormatting sqref="FN116">
    <cfRule type="expression" dxfId="252" priority="252" stopIfTrue="1">
      <formula>AND(FN$12&gt;=$F116,FN$12&lt;=$G116)</formula>
    </cfRule>
  </conditionalFormatting>
  <conditionalFormatting sqref="FN117">
    <cfRule type="expression" dxfId="251" priority="249" stopIfTrue="1">
      <formula>AND(FN$12&gt;=$F117,FN$12&lt;=$G117)</formula>
    </cfRule>
  </conditionalFormatting>
  <conditionalFormatting sqref="FN118">
    <cfRule type="expression" dxfId="250" priority="250" stopIfTrue="1">
      <formula>AND(FN$12&gt;=$F118,FN$12&lt;=$G118)</formula>
    </cfRule>
  </conditionalFormatting>
  <conditionalFormatting sqref="FN119">
    <cfRule type="expression" dxfId="249" priority="247" stopIfTrue="1">
      <formula>AND(FN$12&gt;=$F119,FN$12&lt;=$G119)</formula>
    </cfRule>
  </conditionalFormatting>
  <conditionalFormatting sqref="FN120">
    <cfRule type="expression" dxfId="248" priority="248" stopIfTrue="1">
      <formula>AND(FN$12&gt;=$F120,FN$12&lt;=$G120)</formula>
    </cfRule>
  </conditionalFormatting>
  <conditionalFormatting sqref="FN121">
    <cfRule type="expression" dxfId="247" priority="245" stopIfTrue="1">
      <formula>AND(FN$12&gt;=$F121,FN$12&lt;=$G121)</formula>
    </cfRule>
  </conditionalFormatting>
  <conditionalFormatting sqref="FN122">
    <cfRule type="expression" dxfId="246" priority="246" stopIfTrue="1">
      <formula>AND(FN$12&gt;=$F122,FN$12&lt;=$G122)</formula>
    </cfRule>
  </conditionalFormatting>
  <conditionalFormatting sqref="FN123">
    <cfRule type="expression" dxfId="245" priority="243" stopIfTrue="1">
      <formula>AND(FN$12&gt;=$F123,FN$12&lt;=$G123)</formula>
    </cfRule>
  </conditionalFormatting>
  <conditionalFormatting sqref="FN124">
    <cfRule type="expression" dxfId="244" priority="244" stopIfTrue="1">
      <formula>AND(FN$12&gt;=$F124,FN$12&lt;=$G124)</formula>
    </cfRule>
  </conditionalFormatting>
  <conditionalFormatting sqref="GP111 GP109 GP107 GP105 GP103 GP101 GP99 GP97 GP95 GP93 GP91 GP89 GP87 GP85 GP83 GP81 GP79 GP77 GP75 GP73 GP71 GP69 GP67 GP65 GP63 GP61 GP59 GP57 GP55 GP53 GP51 GP49 GP47 GP45 GP43 GP41 GP39 GP37 GP35 GP33 GP31 GP29 GP27 GP25 GP23 GP21 GP19 GP17 GP15 GP13">
    <cfRule type="expression" dxfId="241" priority="239" stopIfTrue="1">
      <formula>AND(GP$12&gt;=$F13,GP$12&lt;=$G13)</formula>
    </cfRule>
  </conditionalFormatting>
  <conditionalFormatting sqref="GP112 GP110 GP108 GP106 GP104 GP102 GP100 GP98 GP96 GP94 GP92 GP90 GP88 GP86 GP84 GP82 GP80 GP78 GP76 GP74 GP72 GP70 GP68 GP66 GP64 GP62 GP60 GP58 GP56 GP54 GP52 GP50 GP48 GP46 GP44 GP42 GP40 GP38 GP36 GP34 GP32 GP30 GP28 GP26 GP24 GP22 GP20 GP18 GP16 GP14">
    <cfRule type="expression" dxfId="240" priority="240" stopIfTrue="1">
      <formula>AND(GP$12&gt;=$F14,GP$12&lt;=$G14)</formula>
    </cfRule>
  </conditionalFormatting>
  <conditionalFormatting sqref="GP113">
    <cfRule type="expression" dxfId="239" priority="237" stopIfTrue="1">
      <formula>AND(GP$12&gt;=$F113,GP$12&lt;=$G113)</formula>
    </cfRule>
  </conditionalFormatting>
  <conditionalFormatting sqref="GP114">
    <cfRule type="expression" dxfId="238" priority="238" stopIfTrue="1">
      <formula>AND(GP$12&gt;=$F114,GP$12&lt;=$G114)</formula>
    </cfRule>
  </conditionalFormatting>
  <conditionalFormatting sqref="GP115">
    <cfRule type="expression" dxfId="237" priority="235" stopIfTrue="1">
      <formula>AND(GP$12&gt;=$F115,GP$12&lt;=$G115)</formula>
    </cfRule>
  </conditionalFormatting>
  <conditionalFormatting sqref="GP116">
    <cfRule type="expression" dxfId="236" priority="236" stopIfTrue="1">
      <formula>AND(GP$12&gt;=$F116,GP$12&lt;=$G116)</formula>
    </cfRule>
  </conditionalFormatting>
  <conditionalFormatting sqref="GP117">
    <cfRule type="expression" dxfId="235" priority="233" stopIfTrue="1">
      <formula>AND(GP$12&gt;=$F117,GP$12&lt;=$G117)</formula>
    </cfRule>
  </conditionalFormatting>
  <conditionalFormatting sqref="GP118">
    <cfRule type="expression" dxfId="234" priority="234" stopIfTrue="1">
      <formula>AND(GP$12&gt;=$F118,GP$12&lt;=$G118)</formula>
    </cfRule>
  </conditionalFormatting>
  <conditionalFormatting sqref="GP119">
    <cfRule type="expression" dxfId="233" priority="231" stopIfTrue="1">
      <formula>AND(GP$12&gt;=$F119,GP$12&lt;=$G119)</formula>
    </cfRule>
  </conditionalFormatting>
  <conditionalFormatting sqref="GP120">
    <cfRule type="expression" dxfId="232" priority="232" stopIfTrue="1">
      <formula>AND(GP$12&gt;=$F120,GP$12&lt;=$G120)</formula>
    </cfRule>
  </conditionalFormatting>
  <conditionalFormatting sqref="GP121">
    <cfRule type="expression" dxfId="231" priority="229" stopIfTrue="1">
      <formula>AND(GP$12&gt;=$F121,GP$12&lt;=$G121)</formula>
    </cfRule>
  </conditionalFormatting>
  <conditionalFormatting sqref="GP122">
    <cfRule type="expression" dxfId="230" priority="230" stopIfTrue="1">
      <formula>AND(GP$12&gt;=$F122,GP$12&lt;=$G122)</formula>
    </cfRule>
  </conditionalFormatting>
  <conditionalFormatting sqref="GP123">
    <cfRule type="expression" dxfId="229" priority="227" stopIfTrue="1">
      <formula>AND(GP$12&gt;=$F123,GP$12&lt;=$G123)</formula>
    </cfRule>
  </conditionalFormatting>
  <conditionalFormatting sqref="GP124">
    <cfRule type="expression" dxfId="228" priority="228" stopIfTrue="1">
      <formula>AND(GP$12&gt;=$F124,GP$12&lt;=$G124)</formula>
    </cfRule>
  </conditionalFormatting>
  <conditionalFormatting sqref="HY111:HZ111 HY109:HZ109 HY107:HZ107 HY105:HZ105 HY103:HZ103 HY101:HZ101 HY99:HZ99 HY97:HZ97 HY95:HZ95 HY93:HZ93 HY91:HZ91 HY89:HZ89 HY87:HZ87 HY85:HZ85 HY83:HZ83 HY81:HZ81 HY79:HZ79 HY77:HZ77 HY75:HZ75 HY73:HZ73 HY71:HZ71 HY69:HZ69 HY67:HZ67 HY65:HZ65 HY63:HZ63 HY61:HZ61 HY59:HZ59 HY57:HZ57 HY55:HZ55 HY53:HZ53 HY51:HZ51 HY49:HZ49 HY47:HZ47 HY45:HZ45 HY43:HZ43 HY41:HZ41 HY39:HZ39 HY37:HZ37 HY35:HZ35 HY33:HZ33 HY31:HZ31 HY29:HZ29 HY27:HZ27 HY25:HZ25 HY23:HZ23 HY21:HZ21 HY19:HZ19 HY17:HZ17 HY15:HZ15 HY13:HZ13 HP111:HW111 HP109:HW109 HP107:HW107 HP105:HW105 HP103:HW103 HP101:HW101 HP99:HW99 HP97:HW97 HP95:HW95 HP93:HW93 HP91:HW91 HP89:HW89 HP87:HW87 HP85:HW85 HP83:HW83 HP81:HW81 HP79:HW79 HP77:HW77 HP75:HW75 HP73:HW73 HP71:HW71 HP69:HW69 HP67:HW67 HP65:HW65 HP63:HW63 HP61:HW61 HP59:HW59 HP57:HW57 HP55:HW55 HP53:HW53 HP51:HW51 HP49:HW49 HP47:HW47 HP45:HW45 HP43:HW43 HP41:HW41 HP39:HW39 HP37:HW37 HP35:HW35 HP33:HW33 HP31:HW31 HP29:HW29 HP27:HW27 HP25:HW25 HP23:HW23 HP21:HW21 HP19:HW19 HP17:HW17 HP15:HW15 HP13:HW13 HC111 HC109 HC107 HC105 HC103 HC101 HC99 HC97 HC95 HC93 HC91 HC89 HC87 HC85 HC83 HC81 HC79 HC77 HC75 HC73 HC71 HC69 HC67 HC65 HC63 HC61 HC59 HC57 HC55 HC53 HC51 HC49 HC47 HC45 HC43 HC41 HC39 HC37 HC35 HC33 HC31 HC29 HC27 HC25 HC23 HC21 HC19 HC17 HC15 HC13">
    <cfRule type="expression" dxfId="227" priority="225" stopIfTrue="1">
      <formula>AND(HC$12&gt;=$F13,HC$12&lt;=$G13)</formula>
    </cfRule>
  </conditionalFormatting>
  <conditionalFormatting sqref="HY112:HZ112 HY110:HZ110 HY108:HZ108 HY106:HZ106 HY104:HZ104 HY102:HZ102 HY100:HZ100 HY98:HZ98 HY96:HZ96 HY94:HZ94 HY92:HZ92 HY90:HZ90 HY88:HZ88 HY86:HZ86 HY84:HZ84 HY82:HZ82 HY80:HZ80 HY78:HZ78 HY76:HZ76 HY74:HZ74 HY72:HZ72 HY70:HZ70 HY68:HZ68 HY66:HZ66 HY64:HZ64 HY62:HZ62 HY60:HZ60 HY58:HZ58 HY56:HZ56 HY54:HZ54 HY52:HZ52 HY50:HZ50 HY48:HZ48 HY46:HZ46 HY44:HZ44 HY42:HZ42 HY40:HZ40 HY38:HZ38 HY36:HZ36 HY34:HZ34 HY32:HZ32 HY30:HZ30 HY28:HZ28 HY26:HZ26 HY24:HZ24 HY22:HZ22 HY20:HZ20 HY18:HZ18 HY16:HZ16 HY14:HZ14 HP112:HW112 HP110:HW110 HP108:HW108 HP106:HW106 HP104:HW104 HP102:HW102 HP100:HW100 HP98:HW98 HP96:HW96 HP94:HW94 HP92:HW92 HP90:HW90 HP88:HW88 HP86:HW86 HP84:HW84 HP82:HW82 HP80:HW80 HP78:HW78 HP76:HW76 HP74:HW74 HP72:HW72 HP70:HW70 HP68:HW68 HP66:HW66 HP64:HW64 HP62:HW62 HP60:HW60 HP58:HW58 HP56:HW56 HP54:HW54 HP52:HW52 HP50:HW50 HP48:HW48 HP46:HW46 HP44:HW44 HP42:HW42 HP40:HW40 HP38:HW38 HP36:HW36 HP34:HW34 HP32:HW32 HP30:HW30 HP28:HW28 HP26:HW26 HP24:HW24 HP22:HW22 HP20:HW20 HP18:HW18 HP16:HW16 HP14:HW14 HC112 HC110 HC108 HC106 HC104 HC102 HC100 HC98 HC96 HC94 HC92 HC90 HC88 HC86 HC84 HC82 HC80 HC78 HC76 HC74 HC72 HC70 HC68 HC66 HC64 HC62 HC60 HC58 HC56 HC54 HC52 HC50 HC48 HC46 HC44 HC42 HC40 HC38 HC36 HC34 HC32 HC30 HC28 HC26 HC24 HC22 HC20 HC18 HC16 HC14">
    <cfRule type="expression" dxfId="226" priority="226" stopIfTrue="1">
      <formula>AND(HC$12&gt;=$F14,HC$12&lt;=$G14)</formula>
    </cfRule>
  </conditionalFormatting>
  <conditionalFormatting sqref="HY113:HZ113 HP113:HW113 HC113">
    <cfRule type="expression" dxfId="225" priority="223" stopIfTrue="1">
      <formula>AND(HC$12&gt;=$F113,HC$12&lt;=$G113)</formula>
    </cfRule>
  </conditionalFormatting>
  <conditionalFormatting sqref="HY114:HZ114 HP114:HW114 HC114">
    <cfRule type="expression" dxfId="224" priority="224" stopIfTrue="1">
      <formula>AND(HC$12&gt;=$F114,HC$12&lt;=$G114)</formula>
    </cfRule>
  </conditionalFormatting>
  <conditionalFormatting sqref="HY115:HZ115 HP115:HW115 HC115">
    <cfRule type="expression" dxfId="223" priority="221" stopIfTrue="1">
      <formula>AND(HC$12&gt;=$F115,HC$12&lt;=$G115)</formula>
    </cfRule>
  </conditionalFormatting>
  <conditionalFormatting sqref="HY116:HZ116 HP116:HW116 HC116">
    <cfRule type="expression" dxfId="222" priority="222" stopIfTrue="1">
      <formula>AND(HC$12&gt;=$F116,HC$12&lt;=$G116)</formula>
    </cfRule>
  </conditionalFormatting>
  <conditionalFormatting sqref="HY117:HZ117 HP117:HW117 HC117">
    <cfRule type="expression" dxfId="221" priority="219" stopIfTrue="1">
      <formula>AND(HC$12&gt;=$F117,HC$12&lt;=$G117)</formula>
    </cfRule>
  </conditionalFormatting>
  <conditionalFormatting sqref="HY118:HZ118 HP118:HW118 HC118">
    <cfRule type="expression" dxfId="220" priority="220" stopIfTrue="1">
      <formula>AND(HC$12&gt;=$F118,HC$12&lt;=$G118)</formula>
    </cfRule>
  </conditionalFormatting>
  <conditionalFormatting sqref="HY119:HZ119 HP119:HW119 HC119">
    <cfRule type="expression" dxfId="219" priority="217" stopIfTrue="1">
      <formula>AND(HC$12&gt;=$F119,HC$12&lt;=$G119)</formula>
    </cfRule>
  </conditionalFormatting>
  <conditionalFormatting sqref="HY120:HZ120 HP120:HW120 HC120">
    <cfRule type="expression" dxfId="218" priority="218" stopIfTrue="1">
      <formula>AND(HC$12&gt;=$F120,HC$12&lt;=$G120)</formula>
    </cfRule>
  </conditionalFormatting>
  <conditionalFormatting sqref="HY121:HZ121 HP121:HW121 HC121">
    <cfRule type="expression" dxfId="217" priority="215" stopIfTrue="1">
      <formula>AND(HC$12&gt;=$F121,HC$12&lt;=$G121)</formula>
    </cfRule>
  </conditionalFormatting>
  <conditionalFormatting sqref="HY122:HZ122 HP122:HW122 HC122">
    <cfRule type="expression" dxfId="216" priority="216" stopIfTrue="1">
      <formula>AND(HC$12&gt;=$F122,HC$12&lt;=$G122)</formula>
    </cfRule>
  </conditionalFormatting>
  <conditionalFormatting sqref="HY123:HZ123 HP123:HW123 HC123">
    <cfRule type="expression" dxfId="215" priority="213" stopIfTrue="1">
      <formula>AND(HC$12&gt;=$F123,HC$12&lt;=$G123)</formula>
    </cfRule>
  </conditionalFormatting>
  <conditionalFormatting sqref="HY124:HZ124 HP124:HW124 HC124">
    <cfRule type="expression" dxfId="214" priority="214" stopIfTrue="1">
      <formula>AND(HC$12&gt;=$F124,HC$12&lt;=$G124)</formula>
    </cfRule>
  </conditionalFormatting>
  <conditionalFormatting sqref="HX111 HX109 HX107 HX105 HX103 HX101 HX99 HX97 HX95 HX93 HX91 HX89 HX87 HX85 HX83 HX81 HX79 HX77 HX75 HX73 HX71 HX69 HX67 HX65 HX63 HX61 HX59 HX57 HX55 HX53 HX51 HX49 HX47 HX45 HX43 HX41 HX39 HX37 HX35 HX33 HX31 HX29 HX27 HX25 HX23 HX21 HX19 HX17 HX15 HX13">
    <cfRule type="expression" dxfId="213" priority="211" stopIfTrue="1">
      <formula>AND(HX$12&gt;=$F13,HX$12&lt;=$G13)</formula>
    </cfRule>
  </conditionalFormatting>
  <conditionalFormatting sqref="HX112 HX110 HX108 HX106 HX104 HX102 HX100 HX98 HX96 HX94 HX92 HX90 HX88 HX86 HX84 HX82 HX80 HX78 HX76 HX74 HX72 HX70 HX68 HX66 HX64 HX62 HX60 HX58 HX56 HX54 HX52 HX50 HX48 HX46 HX44 HX42 HX40 HX38 HX36 HX34 HX32 HX30 HX28 HX26 HX24 HX22 HX20 HX18 HX16 HX14">
    <cfRule type="expression" dxfId="212" priority="212" stopIfTrue="1">
      <formula>AND(HX$12&gt;=$F14,HX$12&lt;=$G14)</formula>
    </cfRule>
  </conditionalFormatting>
  <conditionalFormatting sqref="HX113">
    <cfRule type="expression" dxfId="211" priority="209" stopIfTrue="1">
      <formula>AND(HX$12&gt;=$F113,HX$12&lt;=$G113)</formula>
    </cfRule>
  </conditionalFormatting>
  <conditionalFormatting sqref="HX114">
    <cfRule type="expression" dxfId="210" priority="210" stopIfTrue="1">
      <formula>AND(HX$12&gt;=$F114,HX$12&lt;=$G114)</formula>
    </cfRule>
  </conditionalFormatting>
  <conditionalFormatting sqref="HX115">
    <cfRule type="expression" dxfId="209" priority="207" stopIfTrue="1">
      <formula>AND(HX$12&gt;=$F115,HX$12&lt;=$G115)</formula>
    </cfRule>
  </conditionalFormatting>
  <conditionalFormatting sqref="HX116">
    <cfRule type="expression" dxfId="208" priority="208" stopIfTrue="1">
      <formula>AND(HX$12&gt;=$F116,HX$12&lt;=$G116)</formula>
    </cfRule>
  </conditionalFormatting>
  <conditionalFormatting sqref="HX117">
    <cfRule type="expression" dxfId="207" priority="205" stopIfTrue="1">
      <formula>AND(HX$12&gt;=$F117,HX$12&lt;=$G117)</formula>
    </cfRule>
  </conditionalFormatting>
  <conditionalFormatting sqref="HX118">
    <cfRule type="expression" dxfId="206" priority="206" stopIfTrue="1">
      <formula>AND(HX$12&gt;=$F118,HX$12&lt;=$G118)</formula>
    </cfRule>
  </conditionalFormatting>
  <conditionalFormatting sqref="HX119">
    <cfRule type="expression" dxfId="205" priority="203" stopIfTrue="1">
      <formula>AND(HX$12&gt;=$F119,HX$12&lt;=$G119)</formula>
    </cfRule>
  </conditionalFormatting>
  <conditionalFormatting sqref="HX120">
    <cfRule type="expression" dxfId="204" priority="204" stopIfTrue="1">
      <formula>AND(HX$12&gt;=$F120,HX$12&lt;=$G120)</formula>
    </cfRule>
  </conditionalFormatting>
  <conditionalFormatting sqref="HX121">
    <cfRule type="expression" dxfId="203" priority="201" stopIfTrue="1">
      <formula>AND(HX$12&gt;=$F121,HX$12&lt;=$G121)</formula>
    </cfRule>
  </conditionalFormatting>
  <conditionalFormatting sqref="HX122">
    <cfRule type="expression" dxfId="202" priority="202" stopIfTrue="1">
      <formula>AND(HX$12&gt;=$F122,HX$12&lt;=$G122)</formula>
    </cfRule>
  </conditionalFormatting>
  <conditionalFormatting sqref="HX123">
    <cfRule type="expression" dxfId="201" priority="199" stopIfTrue="1">
      <formula>AND(HX$12&gt;=$F123,HX$12&lt;=$G123)</formula>
    </cfRule>
  </conditionalFormatting>
  <conditionalFormatting sqref="HX124">
    <cfRule type="expression" dxfId="200" priority="200" stopIfTrue="1">
      <formula>AND(HX$12&gt;=$F124,HX$12&lt;=$G124)</formula>
    </cfRule>
  </conditionalFormatting>
  <conditionalFormatting sqref="HI111:HN111 HI109:HN109 HI107:HN107 HI105:HN105 HI103:HN103 HI101:HN101 HI99:HN99 HI97:HN97 HI95:HN95 HI93:HN93 HI91:HN91 HI89:HN89 HI87:HN87 HI85:HN85 HI83:HN83 HI81:HN81 HI79:HN79 HI77:HN77 HI75:HN75 HI73:HN73 HI71:HN71 HI69:HN69 HI67:HN67 HI65:HN65 HI63:HN63 HI61:HN61 HI59:HN59 HI57:HN57 HI55:HN55 HI53:HN53 HI51:HN51 HI49:HN49 HI47:HN47 HI45:HN45 HI43:HN43 HI41:HN41 HI39:HN39 HI37:HN37 HI35:HN35 HI33:HN33 HI31:HN31 HI29:HN29 HI27:HN27 HI25:HN25 HI23:HN23 HI21:HN21 HI19:HN19 HI17:HN17 HI15:HN15 HI13:HN13 HD111:HG111 HD109:HG109 HD107:HG107 HD105:HG105 HD103:HG103 HD101:HG101 HD99:HG99 HD97:HG97 HD95:HG95 HD93:HG93 HD91:HG91 HD89:HG89 HD87:HG87 HD85:HG85 HD83:HG83 HD81:HG81 HD79:HG79 HD77:HG77 HD75:HG75 HD73:HG73 HD71:HG71 HD69:HG69 HD67:HG67 HD65:HG65 HD63:HG63 HD61:HG61 HD59:HG59 HD57:HG57 HD55:HG55 HD53:HG53 HD51:HG51 HD49:HG49 HD47:HG47 HD45:HG45 HD43:HG43 HD41:HG41 HD39:HG39 HD37:HG37 HD35:HG35 HD33:HG33 HD31:HG31 HD29:HG29 HD27:HG27 HD25:HG25 HD23:HG23 HD21:HG21 HD19:HG19 HD17:HG17 HD15:HG15 HD13:HG13">
    <cfRule type="expression" dxfId="199" priority="197" stopIfTrue="1">
      <formula>AND(HD$12&gt;=$F13,HD$12&lt;=$G13)</formula>
    </cfRule>
  </conditionalFormatting>
  <conditionalFormatting sqref="HI112:HN112 HI110:HN110 HI108:HN108 HI106:HN106 HI104:HN104 HI102:HN102 HI100:HN100 HI98:HN98 HI96:HN96 HI94:HN94 HI92:HN92 HI90:HN90 HI88:HN88 HI86:HN86 HI84:HN84 HI82:HN82 HI80:HN80 HI78:HN78 HI76:HN76 HI74:HN74 HI72:HN72 HI70:HN70 HI68:HN68 HI66:HN66 HI64:HN64 HI62:HN62 HI60:HN60 HI58:HN58 HI56:HN56 HI54:HN54 HI52:HN52 HI50:HN50 HI48:HN48 HI46:HN46 HI44:HN44 HI42:HN42 HI40:HN40 HI38:HN38 HI36:HN36 HI34:HN34 HI32:HN32 HI30:HN30 HI28:HN28 HI26:HN26 HI24:HN24 HI22:HN22 HI20:HN20 HI18:HN18 HI16:HN16 HI14:HN14 HD112:HG112 HD110:HG110 HD108:HG108 HD106:HG106 HD104:HG104 HD102:HG102 HD100:HG100 HD98:HG98 HD96:HG96 HD94:HG94 HD92:HG92 HD90:HG90 HD88:HG88 HD86:HG86 HD84:HG84 HD82:HG82 HD80:HG80 HD78:HG78 HD76:HG76 HD74:HG74 HD72:HG72 HD70:HG70 HD68:HG68 HD66:HG66 HD64:HG64 HD62:HG62 HD60:HG60 HD58:HG58 HD56:HG56 HD54:HG54 HD52:HG52 HD50:HG50 HD48:HG48 HD46:HG46 HD44:HG44 HD42:HG42 HD40:HG40 HD38:HG38 HD36:HG36 HD34:HG34 HD32:HG32 HD30:HG30 HD28:HG28 HD26:HG26 HD24:HG24 HD22:HG22 HD20:HG20 HD18:HG18 HD16:HG16 HD14:HG14">
    <cfRule type="expression" dxfId="198" priority="198" stopIfTrue="1">
      <formula>AND(HD$12&gt;=$F14,HD$12&lt;=$G14)</formula>
    </cfRule>
  </conditionalFormatting>
  <conditionalFormatting sqref="HO111 HO109 HO107 HO105 HO103 HO101 HO99 HO97 HO95 HO93 HO91 HO89 HO87 HO85 HO83 HO81 HO79 HO77 HO75 HO73 HO71 HO69 HO67 HO65 HO63 HO61 HO59 HO57 HO55 HO53 HO51 HO49 HO47 HO45 HO43 HO41 HO39 HO37 HO35 HO33 HO31 HO29 HO27 HO25 HO23 HO21 HO19 HO17 HO15 HO13">
    <cfRule type="expression" dxfId="197" priority="195" stopIfTrue="1">
      <formula>AND(HO$12&gt;=$F13,HO$12&lt;=$G13)</formula>
    </cfRule>
  </conditionalFormatting>
  <conditionalFormatting sqref="HO112 HO110 HO108 HO106 HO104 HO102 HO100 HO98 HO96 HO94 HO92 HO90 HO88 HO86 HO84 HO82 HO80 HO78 HO76 HO74 HO72 HO70 HO68 HO66 HO64 HO62 HO60 HO58 HO56 HO54 HO52 HO50 HO48 HO46 HO44 HO42 HO40 HO38 HO36 HO34 HO32 HO30 HO28 HO26 HO24 HO22 HO20 HO18 HO16 HO14">
    <cfRule type="expression" dxfId="196" priority="196" stopIfTrue="1">
      <formula>AND(HO$12&gt;=$F14,HO$12&lt;=$G14)</formula>
    </cfRule>
  </conditionalFormatting>
  <conditionalFormatting sqref="HI113:HN113 HD113:HG113">
    <cfRule type="expression" dxfId="195" priority="193" stopIfTrue="1">
      <formula>AND(HD$12&gt;=$F113,HD$12&lt;=$G113)</formula>
    </cfRule>
  </conditionalFormatting>
  <conditionalFormatting sqref="HI114:HN114 HD114:HG114">
    <cfRule type="expression" dxfId="194" priority="194" stopIfTrue="1">
      <formula>AND(HD$12&gt;=$F114,HD$12&lt;=$G114)</formula>
    </cfRule>
  </conditionalFormatting>
  <conditionalFormatting sqref="HO113">
    <cfRule type="expression" dxfId="193" priority="191" stopIfTrue="1">
      <formula>AND(HO$12&gt;=$F113,HO$12&lt;=$G113)</formula>
    </cfRule>
  </conditionalFormatting>
  <conditionalFormatting sqref="HO114">
    <cfRule type="expression" dxfId="192" priority="192" stopIfTrue="1">
      <formula>AND(HO$12&gt;=$F114,HO$12&lt;=$G114)</formula>
    </cfRule>
  </conditionalFormatting>
  <conditionalFormatting sqref="HI115:HN115 HD115:HG115">
    <cfRule type="expression" dxfId="191" priority="189" stopIfTrue="1">
      <formula>AND(HD$12&gt;=$F115,HD$12&lt;=$G115)</formula>
    </cfRule>
  </conditionalFormatting>
  <conditionalFormatting sqref="HI116:HN116 HD116:HG116">
    <cfRule type="expression" dxfId="190" priority="190" stopIfTrue="1">
      <formula>AND(HD$12&gt;=$F116,HD$12&lt;=$G116)</formula>
    </cfRule>
  </conditionalFormatting>
  <conditionalFormatting sqref="HO115">
    <cfRule type="expression" dxfId="189" priority="187" stopIfTrue="1">
      <formula>AND(HO$12&gt;=$F115,HO$12&lt;=$G115)</formula>
    </cfRule>
  </conditionalFormatting>
  <conditionalFormatting sqref="HO116">
    <cfRule type="expression" dxfId="188" priority="188" stopIfTrue="1">
      <formula>AND(HO$12&gt;=$F116,HO$12&lt;=$G116)</formula>
    </cfRule>
  </conditionalFormatting>
  <conditionalFormatting sqref="HI117:HN117 HD117:HG117">
    <cfRule type="expression" dxfId="187" priority="185" stopIfTrue="1">
      <formula>AND(HD$12&gt;=$F117,HD$12&lt;=$G117)</formula>
    </cfRule>
  </conditionalFormatting>
  <conditionalFormatting sqref="HI118:HN118 HD118:HG118">
    <cfRule type="expression" dxfId="186" priority="186" stopIfTrue="1">
      <formula>AND(HD$12&gt;=$F118,HD$12&lt;=$G118)</formula>
    </cfRule>
  </conditionalFormatting>
  <conditionalFormatting sqref="HO117">
    <cfRule type="expression" dxfId="185" priority="183" stopIfTrue="1">
      <formula>AND(HO$12&gt;=$F117,HO$12&lt;=$G117)</formula>
    </cfRule>
  </conditionalFormatting>
  <conditionalFormatting sqref="HO118">
    <cfRule type="expression" dxfId="184" priority="184" stopIfTrue="1">
      <formula>AND(HO$12&gt;=$F118,HO$12&lt;=$G118)</formula>
    </cfRule>
  </conditionalFormatting>
  <conditionalFormatting sqref="HI119:HN119 HD119:HG119">
    <cfRule type="expression" dxfId="183" priority="181" stopIfTrue="1">
      <formula>AND(HD$12&gt;=$F119,HD$12&lt;=$G119)</formula>
    </cfRule>
  </conditionalFormatting>
  <conditionalFormatting sqref="HI120:HN120 HD120:HG120">
    <cfRule type="expression" dxfId="182" priority="182" stopIfTrue="1">
      <formula>AND(HD$12&gt;=$F120,HD$12&lt;=$G120)</formula>
    </cfRule>
  </conditionalFormatting>
  <conditionalFormatting sqref="HO119">
    <cfRule type="expression" dxfId="181" priority="179" stopIfTrue="1">
      <formula>AND(HO$12&gt;=$F119,HO$12&lt;=$G119)</formula>
    </cfRule>
  </conditionalFormatting>
  <conditionalFormatting sqref="HO120">
    <cfRule type="expression" dxfId="180" priority="180" stopIfTrue="1">
      <formula>AND(HO$12&gt;=$F120,HO$12&lt;=$G120)</formula>
    </cfRule>
  </conditionalFormatting>
  <conditionalFormatting sqref="HI121:HN121 HD121:HG121">
    <cfRule type="expression" dxfId="179" priority="177" stopIfTrue="1">
      <formula>AND(HD$12&gt;=$F121,HD$12&lt;=$G121)</formula>
    </cfRule>
  </conditionalFormatting>
  <conditionalFormatting sqref="HI122:HN122 HD122:HG122">
    <cfRule type="expression" dxfId="178" priority="178" stopIfTrue="1">
      <formula>AND(HD$12&gt;=$F122,HD$12&lt;=$G122)</formula>
    </cfRule>
  </conditionalFormatting>
  <conditionalFormatting sqref="HO121">
    <cfRule type="expression" dxfId="177" priority="175" stopIfTrue="1">
      <formula>AND(HO$12&gt;=$F121,HO$12&lt;=$G121)</formula>
    </cfRule>
  </conditionalFormatting>
  <conditionalFormatting sqref="HO122">
    <cfRule type="expression" dxfId="176" priority="176" stopIfTrue="1">
      <formula>AND(HO$12&gt;=$F122,HO$12&lt;=$G122)</formula>
    </cfRule>
  </conditionalFormatting>
  <conditionalFormatting sqref="HI123:HN123 HD123:HG123">
    <cfRule type="expression" dxfId="175" priority="173" stopIfTrue="1">
      <formula>AND(HD$12&gt;=$F123,HD$12&lt;=$G123)</formula>
    </cfRule>
  </conditionalFormatting>
  <conditionalFormatting sqref="HI124:HN124 HD124:HG124">
    <cfRule type="expression" dxfId="174" priority="174" stopIfTrue="1">
      <formula>AND(HD$12&gt;=$F124,HD$12&lt;=$G124)</formula>
    </cfRule>
  </conditionalFormatting>
  <conditionalFormatting sqref="HO123">
    <cfRule type="expression" dxfId="173" priority="171" stopIfTrue="1">
      <formula>AND(HO$12&gt;=$F123,HO$12&lt;=$G123)</formula>
    </cfRule>
  </conditionalFormatting>
  <conditionalFormatting sqref="HO124">
    <cfRule type="expression" dxfId="172" priority="172" stopIfTrue="1">
      <formula>AND(HO$12&gt;=$F124,HO$12&lt;=$G124)</formula>
    </cfRule>
  </conditionalFormatting>
  <conditionalFormatting sqref="HH111 HH109 HH107 HH105 HH103 HH101 HH99 HH97 HH95 HH93 HH91 HH89 HH87 HH85 HH83 HH81 HH79 HH77 HH75 HH73 HH71 HH69 HH67 HH65 HH63 HH61 HH59 HH57 HH55 HH53 HH51 HH49 HH47 HH45 HH43 HH41 HH39 HH37 HH35 HH33 HH31 HH29 HH27 HH25 HH23 HH21 HH19 HH17 HH15 HH13">
    <cfRule type="expression" dxfId="171" priority="169" stopIfTrue="1">
      <formula>AND(HH$12&gt;=$F13,HH$12&lt;=$G13)</formula>
    </cfRule>
  </conditionalFormatting>
  <conditionalFormatting sqref="HH112 HH110 HH108 HH106 HH104 HH102 HH100 HH98 HH96 HH94 HH92 HH90 HH88 HH86 HH84 HH82 HH80 HH78 HH76 HH74 HH72 HH70 HH68 HH66 HH64 HH62 HH60 HH58 HH56 HH54 HH52 HH50 HH48 HH46 HH44 HH42 HH40 HH38 HH36 HH34 HH32 HH30 HH28 HH26 HH24 HH22 HH20 HH18 HH16 HH14">
    <cfRule type="expression" dxfId="170" priority="170" stopIfTrue="1">
      <formula>AND(HH$12&gt;=$F14,HH$12&lt;=$G14)</formula>
    </cfRule>
  </conditionalFormatting>
  <conditionalFormatting sqref="HH113">
    <cfRule type="expression" dxfId="169" priority="167" stopIfTrue="1">
      <formula>AND(HH$12&gt;=$F113,HH$12&lt;=$G113)</formula>
    </cfRule>
  </conditionalFormatting>
  <conditionalFormatting sqref="HH114">
    <cfRule type="expression" dxfId="168" priority="168" stopIfTrue="1">
      <formula>AND(HH$12&gt;=$F114,HH$12&lt;=$G114)</formula>
    </cfRule>
  </conditionalFormatting>
  <conditionalFormatting sqref="HH115">
    <cfRule type="expression" dxfId="167" priority="165" stopIfTrue="1">
      <formula>AND(HH$12&gt;=$F115,HH$12&lt;=$G115)</formula>
    </cfRule>
  </conditionalFormatting>
  <conditionalFormatting sqref="HH116">
    <cfRule type="expression" dxfId="166" priority="166" stopIfTrue="1">
      <formula>AND(HH$12&gt;=$F116,HH$12&lt;=$G116)</formula>
    </cfRule>
  </conditionalFormatting>
  <conditionalFormatting sqref="HH117">
    <cfRule type="expression" dxfId="165" priority="163" stopIfTrue="1">
      <formula>AND(HH$12&gt;=$F117,HH$12&lt;=$G117)</formula>
    </cfRule>
  </conditionalFormatting>
  <conditionalFormatting sqref="HH118">
    <cfRule type="expression" dxfId="164" priority="164" stopIfTrue="1">
      <formula>AND(HH$12&gt;=$F118,HH$12&lt;=$G118)</formula>
    </cfRule>
  </conditionalFormatting>
  <conditionalFormatting sqref="HH119">
    <cfRule type="expression" dxfId="163" priority="161" stopIfTrue="1">
      <formula>AND(HH$12&gt;=$F119,HH$12&lt;=$G119)</formula>
    </cfRule>
  </conditionalFormatting>
  <conditionalFormatting sqref="HH120">
    <cfRule type="expression" dxfId="162" priority="162" stopIfTrue="1">
      <formula>AND(HH$12&gt;=$F120,HH$12&lt;=$G120)</formula>
    </cfRule>
  </conditionalFormatting>
  <conditionalFormatting sqref="HH121">
    <cfRule type="expression" dxfId="161" priority="159" stopIfTrue="1">
      <formula>AND(HH$12&gt;=$F121,HH$12&lt;=$G121)</formula>
    </cfRule>
  </conditionalFormatting>
  <conditionalFormatting sqref="HH122">
    <cfRule type="expression" dxfId="160" priority="160" stopIfTrue="1">
      <formula>AND(HH$12&gt;=$F122,HH$12&lt;=$G122)</formula>
    </cfRule>
  </conditionalFormatting>
  <conditionalFormatting sqref="HH123">
    <cfRule type="expression" dxfId="159" priority="157" stopIfTrue="1">
      <formula>AND(HH$12&gt;=$F123,HH$12&lt;=$G123)</formula>
    </cfRule>
  </conditionalFormatting>
  <conditionalFormatting sqref="HH124">
    <cfRule type="expression" dxfId="158" priority="158" stopIfTrue="1">
      <formula>AND(HH$12&gt;=$F124,HH$12&lt;=$G124)</formula>
    </cfRule>
  </conditionalFormatting>
  <conditionalFormatting sqref="GV111:HA111 GV109:HA109 GV107:HA107 GV105:HA105 GV103:HA103 GV101:HA101 GV99:HA99 GV97:HA97 GV95:HA95 GV93:HA93 GV91:HA91 GV89:HA89 GV87:HA87 GV85:HA85 GV83:HA83 GV81:HA81 GV79:HA79 GV77:HA77 GV75:HA75 GV73:HA73 GV71:HA71 GV69:HA69 GV67:HA67 GV65:HA65 GV63:HA63 GV61:HA61 GV59:HA59 GV57:HA57 GV55:HA55 GV53:HA53 GV51:HA51 GV49:HA49 GV47:HA47 GV45:HA45 GV43:HA43 GV41:HA41 GV39:HA39 GV37:HA37 GV35:HA35 GV33:HA33 GV31:HA31 GV29:HA29 GV27:HA27 GV25:HA25 GV23:HA23 GV21:HA21 GV19:HA19 GV17:HA17 GV15:HA15 GV13:HA13 GQ111:GT111 GQ109:GT109 GQ107:GT107 GQ105:GT105 GQ103:GT103 GQ101:GT101 GQ99:GT99 GQ97:GT97 GQ95:GT95 GQ93:GT93 GQ91:GT91 GQ89:GT89 GQ87:GT87 GQ85:GT85 GQ83:GT83 GQ81:GT81 GQ79:GT79 GQ77:GT77 GQ75:GT75 GQ73:GT73 GQ71:GT71 GQ69:GT69 GQ67:GT67 GQ65:GT65 GQ63:GT63 GQ61:GT61 GQ59:GT59 GQ57:GT57 GQ55:GT55 GQ53:GT53 GQ51:GT51 GQ49:GT49 GQ47:GT47 GQ45:GT45 GQ43:GT43 GQ41:GT41 GQ39:GT39 GQ37:GT37 GQ35:GT35 GQ33:GT33 GQ31:GT31 GQ29:GT29 GQ27:GT27 GQ25:GT25 GQ23:GT23 GQ21:GT21 GQ19:GT19 GQ17:GT17 GQ15:GT15 GQ13:GT13">
    <cfRule type="expression" dxfId="157" priority="155" stopIfTrue="1">
      <formula>AND(GQ$12&gt;=$F13,GQ$12&lt;=$G13)</formula>
    </cfRule>
  </conditionalFormatting>
  <conditionalFormatting sqref="GV112:HA112 GV110:HA110 GV108:HA108 GV106:HA106 GV104:HA104 GV102:HA102 GV100:HA100 GV98:HA98 GV96:HA96 GV94:HA94 GV92:HA92 GV90:HA90 GV88:HA88 GV86:HA86 GV84:HA84 GV82:HA82 GV80:HA80 GV78:HA78 GV76:HA76 GV74:HA74 GV72:HA72 GV70:HA70 GV68:HA68 GV66:HA66 GV64:HA64 GV62:HA62 GV60:HA60 GV58:HA58 GV56:HA56 GV54:HA54 GV52:HA52 GV50:HA50 GV48:HA48 GV46:HA46 GV44:HA44 GV42:HA42 GV40:HA40 GV38:HA38 GV36:HA36 GV34:HA34 GV32:HA32 GV30:HA30 GV28:HA28 GV26:HA26 GV24:HA24 GV22:HA22 GV20:HA20 GV18:HA18 GV16:HA16 GV14:HA14 GQ112:GT112 GQ110:GT110 GQ108:GT108 GQ106:GT106 GQ104:GT104 GQ102:GT102 GQ100:GT100 GQ98:GT98 GQ96:GT96 GQ94:GT94 GQ92:GT92 GQ90:GT90 GQ88:GT88 GQ86:GT86 GQ84:GT84 GQ82:GT82 GQ80:GT80 GQ78:GT78 GQ76:GT76 GQ74:GT74 GQ72:GT72 GQ70:GT70 GQ68:GT68 GQ66:GT66 GQ64:GT64 GQ62:GT62 GQ60:GT60 GQ58:GT58 GQ56:GT56 GQ54:GT54 GQ52:GT52 GQ50:GT50 GQ48:GT48 GQ46:GT46 GQ44:GT44 GQ42:GT42 GQ40:GT40 GQ38:GT38 GQ36:GT36 GQ34:GT34 GQ32:GT32 GQ30:GT30 GQ28:GT28 GQ26:GT26 GQ24:GT24 GQ22:GT22 GQ20:GT20 GQ18:GT18 GQ16:GT16 GQ14:GT14">
    <cfRule type="expression" dxfId="156" priority="156" stopIfTrue="1">
      <formula>AND(GQ$12&gt;=$F14,GQ$12&lt;=$G14)</formula>
    </cfRule>
  </conditionalFormatting>
  <conditionalFormatting sqref="HB111 HB109 HB107 HB105 HB103 HB101 HB99 HB97 HB95 HB93 HB91 HB89 HB87 HB85 HB83 HB81 HB79 HB77 HB75 HB73 HB71 HB69 HB67 HB65 HB63 HB61 HB59 HB57 HB55 HB53 HB51 HB49 HB47 HB45 HB43 HB41 HB39 HB37 HB35 HB33 HB31 HB29 HB27 HB25 HB23 HB21 HB19 HB17 HB15 HB13">
    <cfRule type="expression" dxfId="155" priority="153" stopIfTrue="1">
      <formula>AND(HB$12&gt;=$F13,HB$12&lt;=$G13)</formula>
    </cfRule>
  </conditionalFormatting>
  <conditionalFormatting sqref="HB112 HB110 HB108 HB106 HB104 HB102 HB100 HB98 HB96 HB94 HB92 HB90 HB88 HB86 HB84 HB82 HB80 HB78 HB76 HB74 HB72 HB70 HB68 HB66 HB64 HB62 HB60 HB58 HB56 HB54 HB52 HB50 HB48 HB46 HB44 HB42 HB40 HB38 HB36 HB34 HB32 HB30 HB28 HB26 HB24 HB22 HB20 HB18 HB16 HB14">
    <cfRule type="expression" dxfId="154" priority="154" stopIfTrue="1">
      <formula>AND(HB$12&gt;=$F14,HB$12&lt;=$G14)</formula>
    </cfRule>
  </conditionalFormatting>
  <conditionalFormatting sqref="GV113:HA113 GQ113:GT113">
    <cfRule type="expression" dxfId="153" priority="151" stopIfTrue="1">
      <formula>AND(GQ$12&gt;=$F113,GQ$12&lt;=$G113)</formula>
    </cfRule>
  </conditionalFormatting>
  <conditionalFormatting sqref="GV114:HA114 GQ114:GT114">
    <cfRule type="expression" dxfId="152" priority="152" stopIfTrue="1">
      <formula>AND(GQ$12&gt;=$F114,GQ$12&lt;=$G114)</formula>
    </cfRule>
  </conditionalFormatting>
  <conditionalFormatting sqref="HB113">
    <cfRule type="expression" dxfId="151" priority="149" stopIfTrue="1">
      <formula>AND(HB$12&gt;=$F113,HB$12&lt;=$G113)</formula>
    </cfRule>
  </conditionalFormatting>
  <conditionalFormatting sqref="HB114">
    <cfRule type="expression" dxfId="150" priority="150" stopIfTrue="1">
      <formula>AND(HB$12&gt;=$F114,HB$12&lt;=$G114)</formula>
    </cfRule>
  </conditionalFormatting>
  <conditionalFormatting sqref="GV115:HA115 GQ115:GT115">
    <cfRule type="expression" dxfId="149" priority="147" stopIfTrue="1">
      <formula>AND(GQ$12&gt;=$F115,GQ$12&lt;=$G115)</formula>
    </cfRule>
  </conditionalFormatting>
  <conditionalFormatting sqref="GV116:HA116 GQ116:GT116">
    <cfRule type="expression" dxfId="148" priority="148" stopIfTrue="1">
      <formula>AND(GQ$12&gt;=$F116,GQ$12&lt;=$G116)</formula>
    </cfRule>
  </conditionalFormatting>
  <conditionalFormatting sqref="HB115">
    <cfRule type="expression" dxfId="147" priority="145" stopIfTrue="1">
      <formula>AND(HB$12&gt;=$F115,HB$12&lt;=$G115)</formula>
    </cfRule>
  </conditionalFormatting>
  <conditionalFormatting sqref="HB116">
    <cfRule type="expression" dxfId="146" priority="146" stopIfTrue="1">
      <formula>AND(HB$12&gt;=$F116,HB$12&lt;=$G116)</formula>
    </cfRule>
  </conditionalFormatting>
  <conditionalFormatting sqref="GV117:HA117 GQ117:GT117">
    <cfRule type="expression" dxfId="145" priority="143" stopIfTrue="1">
      <formula>AND(GQ$12&gt;=$F117,GQ$12&lt;=$G117)</formula>
    </cfRule>
  </conditionalFormatting>
  <conditionalFormatting sqref="GV118:HA118 GQ118:GT118">
    <cfRule type="expression" dxfId="144" priority="144" stopIfTrue="1">
      <formula>AND(GQ$12&gt;=$F118,GQ$12&lt;=$G118)</formula>
    </cfRule>
  </conditionalFormatting>
  <conditionalFormatting sqref="HB117">
    <cfRule type="expression" dxfId="143" priority="141" stopIfTrue="1">
      <formula>AND(HB$12&gt;=$F117,HB$12&lt;=$G117)</formula>
    </cfRule>
  </conditionalFormatting>
  <conditionalFormatting sqref="HB118">
    <cfRule type="expression" dxfId="142" priority="142" stopIfTrue="1">
      <formula>AND(HB$12&gt;=$F118,HB$12&lt;=$G118)</formula>
    </cfRule>
  </conditionalFormatting>
  <conditionalFormatting sqref="GV119:HA119 GQ119:GT119">
    <cfRule type="expression" dxfId="141" priority="139" stopIfTrue="1">
      <formula>AND(GQ$12&gt;=$F119,GQ$12&lt;=$G119)</formula>
    </cfRule>
  </conditionalFormatting>
  <conditionalFormatting sqref="GV120:HA120 GQ120:GT120">
    <cfRule type="expression" dxfId="140" priority="140" stopIfTrue="1">
      <formula>AND(GQ$12&gt;=$F120,GQ$12&lt;=$G120)</formula>
    </cfRule>
  </conditionalFormatting>
  <conditionalFormatting sqref="HB119">
    <cfRule type="expression" dxfId="139" priority="137" stopIfTrue="1">
      <formula>AND(HB$12&gt;=$F119,HB$12&lt;=$G119)</formula>
    </cfRule>
  </conditionalFormatting>
  <conditionalFormatting sqref="HB120">
    <cfRule type="expression" dxfId="138" priority="138" stopIfTrue="1">
      <formula>AND(HB$12&gt;=$F120,HB$12&lt;=$G120)</formula>
    </cfRule>
  </conditionalFormatting>
  <conditionalFormatting sqref="GV121:HA121 GQ121:GT121">
    <cfRule type="expression" dxfId="137" priority="135" stopIfTrue="1">
      <formula>AND(GQ$12&gt;=$F121,GQ$12&lt;=$G121)</formula>
    </cfRule>
  </conditionalFormatting>
  <conditionalFormatting sqref="GV122:HA122 GQ122:GT122">
    <cfRule type="expression" dxfId="136" priority="136" stopIfTrue="1">
      <formula>AND(GQ$12&gt;=$F122,GQ$12&lt;=$G122)</formula>
    </cfRule>
  </conditionalFormatting>
  <conditionalFormatting sqref="HB121">
    <cfRule type="expression" dxfId="135" priority="133" stopIfTrue="1">
      <formula>AND(HB$12&gt;=$F121,HB$12&lt;=$G121)</formula>
    </cfRule>
  </conditionalFormatting>
  <conditionalFormatting sqref="HB122">
    <cfRule type="expression" dxfId="134" priority="134" stopIfTrue="1">
      <formula>AND(HB$12&gt;=$F122,HB$12&lt;=$G122)</formula>
    </cfRule>
  </conditionalFormatting>
  <conditionalFormatting sqref="GV123:HA123 GQ123:GT123">
    <cfRule type="expression" dxfId="133" priority="131" stopIfTrue="1">
      <formula>AND(GQ$12&gt;=$F123,GQ$12&lt;=$G123)</formula>
    </cfRule>
  </conditionalFormatting>
  <conditionalFormatting sqref="GV124:HA124 GQ124:GT124">
    <cfRule type="expression" dxfId="132" priority="132" stopIfTrue="1">
      <formula>AND(GQ$12&gt;=$F124,GQ$12&lt;=$G124)</formula>
    </cfRule>
  </conditionalFormatting>
  <conditionalFormatting sqref="HB123">
    <cfRule type="expression" dxfId="131" priority="129" stopIfTrue="1">
      <formula>AND(HB$12&gt;=$F123,HB$12&lt;=$G123)</formula>
    </cfRule>
  </conditionalFormatting>
  <conditionalFormatting sqref="HB124">
    <cfRule type="expression" dxfId="130" priority="130" stopIfTrue="1">
      <formula>AND(HB$12&gt;=$F124,HB$12&lt;=$G124)</formula>
    </cfRule>
  </conditionalFormatting>
  <conditionalFormatting sqref="GU111 GU109 GU107 GU105 GU103 GU101 GU99 GU97 GU95 GU93 GU91 GU89 GU87 GU85 GU83 GU81 GU79 GU77 GU75 GU73 GU71 GU69 GU67 GU65 GU63 GU61 GU59 GU57 GU55 GU53 GU51 GU49 GU47 GU45 GU43 GU41 GU39 GU37 GU35 GU33 GU31 GU29 GU27 GU25 GU23 GU21 GU19 GU17 GU15 GU13">
    <cfRule type="expression" dxfId="129" priority="127" stopIfTrue="1">
      <formula>AND(GU$12&gt;=$F13,GU$12&lt;=$G13)</formula>
    </cfRule>
  </conditionalFormatting>
  <conditionalFormatting sqref="GU112 GU110 GU108 GU106 GU104 GU102 GU100 GU98 GU96 GU94 GU92 GU90 GU88 GU86 GU84 GU82 GU80 GU78 GU76 GU74 GU72 GU70 GU68 GU66 GU64 GU62 GU60 GU58 GU56 GU54 GU52 GU50 GU48 GU46 GU44 GU42 GU40 GU38 GU36 GU34 GU32 GU30 GU28 GU26 GU24 GU22 GU20 GU18 GU16 GU14">
    <cfRule type="expression" dxfId="128" priority="128" stopIfTrue="1">
      <formula>AND(GU$12&gt;=$F14,GU$12&lt;=$G14)</formula>
    </cfRule>
  </conditionalFormatting>
  <conditionalFormatting sqref="GU113">
    <cfRule type="expression" dxfId="127" priority="125" stopIfTrue="1">
      <formula>AND(GU$12&gt;=$F113,GU$12&lt;=$G113)</formula>
    </cfRule>
  </conditionalFormatting>
  <conditionalFormatting sqref="GU114">
    <cfRule type="expression" dxfId="126" priority="126" stopIfTrue="1">
      <formula>AND(GU$12&gt;=$F114,GU$12&lt;=$G114)</formula>
    </cfRule>
  </conditionalFormatting>
  <conditionalFormatting sqref="GU115">
    <cfRule type="expression" dxfId="125" priority="123" stopIfTrue="1">
      <formula>AND(GU$12&gt;=$F115,GU$12&lt;=$G115)</formula>
    </cfRule>
  </conditionalFormatting>
  <conditionalFormatting sqref="GU116">
    <cfRule type="expression" dxfId="124" priority="124" stopIfTrue="1">
      <formula>AND(GU$12&gt;=$F116,GU$12&lt;=$G116)</formula>
    </cfRule>
  </conditionalFormatting>
  <conditionalFormatting sqref="GU117">
    <cfRule type="expression" dxfId="123" priority="121" stopIfTrue="1">
      <formula>AND(GU$12&gt;=$F117,GU$12&lt;=$G117)</formula>
    </cfRule>
  </conditionalFormatting>
  <conditionalFormatting sqref="GU118">
    <cfRule type="expression" dxfId="122" priority="122" stopIfTrue="1">
      <formula>AND(GU$12&gt;=$F118,GU$12&lt;=$G118)</formula>
    </cfRule>
  </conditionalFormatting>
  <conditionalFormatting sqref="GU119">
    <cfRule type="expression" dxfId="121" priority="119" stopIfTrue="1">
      <formula>AND(GU$12&gt;=$F119,GU$12&lt;=$G119)</formula>
    </cfRule>
  </conditionalFormatting>
  <conditionalFormatting sqref="GU120">
    <cfRule type="expression" dxfId="120" priority="120" stopIfTrue="1">
      <formula>AND(GU$12&gt;=$F120,GU$12&lt;=$G120)</formula>
    </cfRule>
  </conditionalFormatting>
  <conditionalFormatting sqref="GU121">
    <cfRule type="expression" dxfId="119" priority="117" stopIfTrue="1">
      <formula>AND(GU$12&gt;=$F121,GU$12&lt;=$G121)</formula>
    </cfRule>
  </conditionalFormatting>
  <conditionalFormatting sqref="GU122">
    <cfRule type="expression" dxfId="118" priority="118" stopIfTrue="1">
      <formula>AND(GU$12&gt;=$F122,GU$12&lt;=$G122)</formula>
    </cfRule>
  </conditionalFormatting>
  <conditionalFormatting sqref="GU123">
    <cfRule type="expression" dxfId="117" priority="115" stopIfTrue="1">
      <formula>AND(GU$12&gt;=$F123,GU$12&lt;=$G123)</formula>
    </cfRule>
  </conditionalFormatting>
  <conditionalFormatting sqref="GU124">
    <cfRule type="expression" dxfId="116" priority="116" stopIfTrue="1">
      <formula>AND(GU$12&gt;=$F124,GU$12&lt;=$G124)</formula>
    </cfRule>
  </conditionalFormatting>
  <conditionalFormatting sqref="GN111:GO111 GN109:GO109 GN107:GO107 GN105:GO105 GN103:GO103 GN101:GO101 GN99:GO99 GN97:GO97 GN95:GO95 GN93:GO93 GN91:GO91 GN89:GO89 GN87:GO87 GN85:GO85 GN83:GO83 GN81:GO81 GN79:GO79 GN77:GO77 GN75:GO75 GN73:GO73 GN71:GO71 GN69:GO69 GN67:GO67 GN65:GO65 GN63:GO63 GN61:GO61 GN59:GO59 GN57:GO57 GN55:GO55 GN53:GO53 GN51:GO51 GN49:GO49 GN47:GO47 GN45:GO45 GN43:GO43 GN41:GO41 GN39:GO39 GN37:GO37 GN35:GO35 GN33:GO33 GN31:GO31 GN29:GO29 GN27:GO27 GN25:GO25 GN23:GO23 GN21:GO21 GN19:GO19 GN17:GO17 GN15:GO15 GN13:GO13 GE111:GJ111 GE109:GJ109 GE107:GJ107 GE105:GJ105 GE103:GJ103 GE101:GJ101 GE99:GJ99 GE97:GJ97 GE95:GJ95 GE93:GJ93 GE91:GJ91 GE89:GJ89 GE87:GJ87 GE85:GJ85 GE83:GJ83 GE81:GJ81 GE79:GJ79 GE77:GJ77 GE75:GJ75 GE73:GJ73 GE71:GJ71 GE69:GJ69 GE67:GJ67 GE65:GJ65 GE63:GJ63 GE61:GJ61 GE59:GJ59 GE57:GJ57 GE55:GJ55 GE53:GJ53 GE51:GJ51 GE49:GJ49 GE47:GJ47 GE45:GJ45 GE43:GJ43 GE41:GJ41 GE39:GJ39 GE37:GJ37 GE35:GJ35 GE33:GJ33 GE31:GJ31 GE29:GJ29 GE27:GJ27 GE25:GJ25 GE23:GJ23 GE21:GJ21 GE19:GJ19 GE17:GJ17 GE15:GJ15 GE13:GJ13">
    <cfRule type="expression" dxfId="115" priority="113" stopIfTrue="1">
      <formula>AND(GE$12&gt;=$F13,GE$12&lt;=$G13)</formula>
    </cfRule>
  </conditionalFormatting>
  <conditionalFormatting sqref="GN112:GO112 GN110:GO110 GN108:GO108 GN106:GO106 GN104:GO104 GN102:GO102 GN100:GO100 GN98:GO98 GN96:GO96 GN94:GO94 GN92:GO92 GN90:GO90 GN88:GO88 GN86:GO86 GN84:GO84 GN82:GO82 GN80:GO80 GN78:GO78 GN76:GO76 GN74:GO74 GN72:GO72 GN70:GO70 GN68:GO68 GN66:GO66 GN64:GO64 GN62:GO62 GN60:GO60 GN58:GO58 GN56:GO56 GN54:GO54 GN52:GO52 GN50:GO50 GN48:GO48 GN46:GO46 GN44:GO44 GN42:GO42 GN40:GO40 GN38:GO38 GN36:GO36 GN34:GO34 GN32:GO32 GN30:GO30 GN28:GO28 GN26:GO26 GN24:GO24 GN22:GO22 GN20:GO20 GN18:GO18 GN16:GO16 GN14:GO14 GE112:GJ112 GE110:GJ110 GE108:GJ108 GE106:GJ106 GE104:GJ104 GE102:GJ102 GE100:GJ100 GE98:GJ98 GE96:GJ96 GE94:GJ94 GE92:GJ92 GE90:GJ90 GE88:GJ88 GE86:GJ86 GE84:GJ84 GE82:GJ82 GE80:GJ80 GE78:GJ78 GE76:GJ76 GE74:GJ74 GE72:GJ72 GE70:GJ70 GE68:GJ68 GE66:GJ66 GE64:GJ64 GE62:GJ62 GE60:GJ60 GE58:GJ58 GE56:GJ56 GE54:GJ54 GE52:GJ52 GE50:GJ50 GE48:GJ48 GE46:GJ46 GE44:GJ44 GE42:GJ42 GE40:GJ40 GE38:GJ38 GE36:GJ36 GE34:GJ34 GE32:GJ32 GE30:GJ30 GE28:GJ28 GE26:GJ26 GE24:GJ24 GE22:GJ22 GE20:GJ20 GE18:GJ18 GE16:GJ16 GE14:GJ14">
    <cfRule type="expression" dxfId="114" priority="114" stopIfTrue="1">
      <formula>AND(GE$12&gt;=$F14,GE$12&lt;=$G14)</formula>
    </cfRule>
  </conditionalFormatting>
  <conditionalFormatting sqref="GK111:GM111 GK109:GM109 GK107:GM107 GK105:GM105 GK103:GM103 GK101:GM101 GK99:GM99 GK97:GM97 GK95:GM95 GK93:GM93 GK91:GM91 GK89:GM89 GK87:GM87 GK85:GM85 GK83:GM83 GK81:GM81 GK79:GM79 GK77:GM77 GK75:GM75 GK73:GM73 GK71:GM71 GK69:GM69 GK67:GM67 GK65:GM65 GK63:GM63 GK61:GM61 GK59:GM59 GK57:GM57 GK55:GM55 GK53:GM53 GK51:GM51 GK49:GM49 GK47:GM47 GK45:GM45 GK43:GM43 GK41:GM41 GK39:GM39 GK37:GM37 GK35:GM35 GK33:GM33 GK31:GM31 GK29:GM29 GK27:GM27 GK25:GM25 GK23:GM23 GK21:GM21 GK19:GM19 GK17:GM17 GK15:GM15 GK13:GM13">
    <cfRule type="expression" dxfId="113" priority="111" stopIfTrue="1">
      <formula>AND(GK$12&gt;=$F13,GK$12&lt;=$G13)</formula>
    </cfRule>
  </conditionalFormatting>
  <conditionalFormatting sqref="GK112:GM112 GK110:GM110 GK108:GM108 GK106:GM106 GK104:GM104 GK102:GM102 GK100:GM100 GK98:GM98 GK96:GM96 GK94:GM94 GK92:GM92 GK90:GM90 GK88:GM88 GK86:GM86 GK84:GM84 GK82:GM82 GK80:GM80 GK78:GM78 GK76:GM76 GK74:GM74 GK72:GM72 GK70:GM70 GK68:GM68 GK66:GM66 GK64:GM64 GK62:GM62 GK60:GM60 GK58:GM58 GK56:GM56 GK54:GM54 GK52:GM52 GK50:GM50 GK48:GM48 GK46:GM46 GK44:GM44 GK42:GM42 GK40:GM40 GK38:GM38 GK36:GM36 GK34:GM34 GK32:GM32 GK30:GM30 GK28:GM28 GK26:GM26 GK24:GM24 GK22:GM22 GK20:GM20 GK18:GM18 GK16:GM16 GK14:GM14">
    <cfRule type="expression" dxfId="112" priority="112" stopIfTrue="1">
      <formula>AND(GK$12&gt;=$F14,GK$12&lt;=$G14)</formula>
    </cfRule>
  </conditionalFormatting>
  <conditionalFormatting sqref="GN113:GO113 GE113:GJ113">
    <cfRule type="expression" dxfId="111" priority="109" stopIfTrue="1">
      <formula>AND(GE$12&gt;=$F113,GE$12&lt;=$G113)</formula>
    </cfRule>
  </conditionalFormatting>
  <conditionalFormatting sqref="GN114:GO114 GE114:GJ114">
    <cfRule type="expression" dxfId="110" priority="110" stopIfTrue="1">
      <formula>AND(GE$12&gt;=$F114,GE$12&lt;=$G114)</formula>
    </cfRule>
  </conditionalFormatting>
  <conditionalFormatting sqref="GK113:GM113">
    <cfRule type="expression" dxfId="109" priority="107" stopIfTrue="1">
      <formula>AND(GK$12&gt;=$F113,GK$12&lt;=$G113)</formula>
    </cfRule>
  </conditionalFormatting>
  <conditionalFormatting sqref="GK114:GM114">
    <cfRule type="expression" dxfId="108" priority="108" stopIfTrue="1">
      <formula>AND(GK$12&gt;=$F114,GK$12&lt;=$G114)</formula>
    </cfRule>
  </conditionalFormatting>
  <conditionalFormatting sqref="GN115:GO115 GE115:GJ115">
    <cfRule type="expression" dxfId="107" priority="105" stopIfTrue="1">
      <formula>AND(GE$12&gt;=$F115,GE$12&lt;=$G115)</formula>
    </cfRule>
  </conditionalFormatting>
  <conditionalFormatting sqref="GN116:GO116 GE116:GJ116">
    <cfRule type="expression" dxfId="106" priority="106" stopIfTrue="1">
      <formula>AND(GE$12&gt;=$F116,GE$12&lt;=$G116)</formula>
    </cfRule>
  </conditionalFormatting>
  <conditionalFormatting sqref="GK115:GM115">
    <cfRule type="expression" dxfId="105" priority="103" stopIfTrue="1">
      <formula>AND(GK$12&gt;=$F115,GK$12&lt;=$G115)</formula>
    </cfRule>
  </conditionalFormatting>
  <conditionalFormatting sqref="GK116:GM116">
    <cfRule type="expression" dxfId="104" priority="104" stopIfTrue="1">
      <formula>AND(GK$12&gt;=$F116,GK$12&lt;=$G116)</formula>
    </cfRule>
  </conditionalFormatting>
  <conditionalFormatting sqref="GN117:GO117 GE117:GJ117">
    <cfRule type="expression" dxfId="103" priority="101" stopIfTrue="1">
      <formula>AND(GE$12&gt;=$F117,GE$12&lt;=$G117)</formula>
    </cfRule>
  </conditionalFormatting>
  <conditionalFormatting sqref="GN118:GO118 GE118:GJ118">
    <cfRule type="expression" dxfId="102" priority="102" stopIfTrue="1">
      <formula>AND(GE$12&gt;=$F118,GE$12&lt;=$G118)</formula>
    </cfRule>
  </conditionalFormatting>
  <conditionalFormatting sqref="GK117:GM117">
    <cfRule type="expression" dxfId="101" priority="99" stopIfTrue="1">
      <formula>AND(GK$12&gt;=$F117,GK$12&lt;=$G117)</formula>
    </cfRule>
  </conditionalFormatting>
  <conditionalFormatting sqref="GK118:GM118">
    <cfRule type="expression" dxfId="100" priority="100" stopIfTrue="1">
      <formula>AND(GK$12&gt;=$F118,GK$12&lt;=$G118)</formula>
    </cfRule>
  </conditionalFormatting>
  <conditionalFormatting sqref="GN119:GO119 GE119:GJ119">
    <cfRule type="expression" dxfId="99" priority="97" stopIfTrue="1">
      <formula>AND(GE$12&gt;=$F119,GE$12&lt;=$G119)</formula>
    </cfRule>
  </conditionalFormatting>
  <conditionalFormatting sqref="GN120:GO120 GE120:GJ120">
    <cfRule type="expression" dxfId="98" priority="98" stopIfTrue="1">
      <formula>AND(GE$12&gt;=$F120,GE$12&lt;=$G120)</formula>
    </cfRule>
  </conditionalFormatting>
  <conditionalFormatting sqref="GK119:GM119">
    <cfRule type="expression" dxfId="97" priority="95" stopIfTrue="1">
      <formula>AND(GK$12&gt;=$F119,GK$12&lt;=$G119)</formula>
    </cfRule>
  </conditionalFormatting>
  <conditionalFormatting sqref="GK120:GM120">
    <cfRule type="expression" dxfId="96" priority="96" stopIfTrue="1">
      <formula>AND(GK$12&gt;=$F120,GK$12&lt;=$G120)</formula>
    </cfRule>
  </conditionalFormatting>
  <conditionalFormatting sqref="GN121:GO121 GE121:GJ121">
    <cfRule type="expression" dxfId="95" priority="93" stopIfTrue="1">
      <formula>AND(GE$12&gt;=$F121,GE$12&lt;=$G121)</formula>
    </cfRule>
  </conditionalFormatting>
  <conditionalFormatting sqref="GN122:GO122 GE122:GJ122">
    <cfRule type="expression" dxfId="94" priority="94" stopIfTrue="1">
      <formula>AND(GE$12&gt;=$F122,GE$12&lt;=$G122)</formula>
    </cfRule>
  </conditionalFormatting>
  <conditionalFormatting sqref="GK121:GM121">
    <cfRule type="expression" dxfId="93" priority="91" stopIfTrue="1">
      <formula>AND(GK$12&gt;=$F121,GK$12&lt;=$G121)</formula>
    </cfRule>
  </conditionalFormatting>
  <conditionalFormatting sqref="GK122:GM122">
    <cfRule type="expression" dxfId="92" priority="92" stopIfTrue="1">
      <formula>AND(GK$12&gt;=$F122,GK$12&lt;=$G122)</formula>
    </cfRule>
  </conditionalFormatting>
  <conditionalFormatting sqref="GN123:GO123 GE123:GJ123">
    <cfRule type="expression" dxfId="91" priority="89" stopIfTrue="1">
      <formula>AND(GE$12&gt;=$F123,GE$12&lt;=$G123)</formula>
    </cfRule>
  </conditionalFormatting>
  <conditionalFormatting sqref="GN124:GO124 GE124:GJ124">
    <cfRule type="expression" dxfId="90" priority="90" stopIfTrue="1">
      <formula>AND(GE$12&gt;=$F124,GE$12&lt;=$G124)</formula>
    </cfRule>
  </conditionalFormatting>
  <conditionalFormatting sqref="GK123:GM123">
    <cfRule type="expression" dxfId="89" priority="87" stopIfTrue="1">
      <formula>AND(GK$12&gt;=$F123,GK$12&lt;=$G123)</formula>
    </cfRule>
  </conditionalFormatting>
  <conditionalFormatting sqref="GK124:GM124">
    <cfRule type="expression" dxfId="88" priority="88" stopIfTrue="1">
      <formula>AND(GK$12&gt;=$F124,GK$12&lt;=$G124)</formula>
    </cfRule>
  </conditionalFormatting>
  <conditionalFormatting sqref="GD111 GD109 GD107 GD105 GD103 GD101 GD99 GD97 GD95 GD93 GD91 GD89 GD87 GD85 GD83 GD81 GD79 GD77 GD75 GD73 GD71 GD69 GD67 GD65 GD63 GD61 GD59 GD57 GD55 GD53 GD51 GD49 GD47 GD45 GD43 GD41 GD39 GD37 GD35 GD33 GD31 GD29 GD27 GD25 GD23 GD21 GD19 GD17 GD15 GD13">
    <cfRule type="expression" dxfId="87" priority="85" stopIfTrue="1">
      <formula>AND(GD$12&gt;=$F13,GD$12&lt;=$G13)</formula>
    </cfRule>
  </conditionalFormatting>
  <conditionalFormatting sqref="GD112 GD110 GD108 GD106 GD104 GD102 GD100 GD98 GD96 GD94 GD92 GD90 GD88 GD86 GD84 GD82 GD80 GD78 GD76 GD74 GD72 GD70 GD68 GD66 GD64 GD62 GD60 GD58 GD56 GD54 GD52 GD50 GD48 GD46 GD44 GD42 GD40 GD38 GD36 GD34 GD32 GD30 GD28 GD26 GD24 GD22 GD20 GD18 GD16 GD14">
    <cfRule type="expression" dxfId="86" priority="86" stopIfTrue="1">
      <formula>AND(GD$12&gt;=$F14,GD$12&lt;=$G14)</formula>
    </cfRule>
  </conditionalFormatting>
  <conditionalFormatting sqref="GD113">
    <cfRule type="expression" dxfId="85" priority="83" stopIfTrue="1">
      <formula>AND(GD$12&gt;=$F113,GD$12&lt;=$G113)</formula>
    </cfRule>
  </conditionalFormatting>
  <conditionalFormatting sqref="GD114">
    <cfRule type="expression" dxfId="84" priority="84" stopIfTrue="1">
      <formula>AND(GD$12&gt;=$F114,GD$12&lt;=$G114)</formula>
    </cfRule>
  </conditionalFormatting>
  <conditionalFormatting sqref="GD115">
    <cfRule type="expression" dxfId="83" priority="81" stopIfTrue="1">
      <formula>AND(GD$12&gt;=$F115,GD$12&lt;=$G115)</formula>
    </cfRule>
  </conditionalFormatting>
  <conditionalFormatting sqref="GD116">
    <cfRule type="expression" dxfId="82" priority="82" stopIfTrue="1">
      <formula>AND(GD$12&gt;=$F116,GD$12&lt;=$G116)</formula>
    </cfRule>
  </conditionalFormatting>
  <conditionalFormatting sqref="GD117">
    <cfRule type="expression" dxfId="81" priority="79" stopIfTrue="1">
      <formula>AND(GD$12&gt;=$F117,GD$12&lt;=$G117)</formula>
    </cfRule>
  </conditionalFormatting>
  <conditionalFormatting sqref="GD118">
    <cfRule type="expression" dxfId="80" priority="80" stopIfTrue="1">
      <formula>AND(GD$12&gt;=$F118,GD$12&lt;=$G118)</formula>
    </cfRule>
  </conditionalFormatting>
  <conditionalFormatting sqref="GD119">
    <cfRule type="expression" dxfId="79" priority="77" stopIfTrue="1">
      <formula>AND(GD$12&gt;=$F119,GD$12&lt;=$G119)</formula>
    </cfRule>
  </conditionalFormatting>
  <conditionalFormatting sqref="GD120">
    <cfRule type="expression" dxfId="78" priority="78" stopIfTrue="1">
      <formula>AND(GD$12&gt;=$F120,GD$12&lt;=$G120)</formula>
    </cfRule>
  </conditionalFormatting>
  <conditionalFormatting sqref="GD121">
    <cfRule type="expression" dxfId="77" priority="75" stopIfTrue="1">
      <formula>AND(GD$12&gt;=$F121,GD$12&lt;=$G121)</formula>
    </cfRule>
  </conditionalFormatting>
  <conditionalFormatting sqref="GD122">
    <cfRule type="expression" dxfId="76" priority="76" stopIfTrue="1">
      <formula>AND(GD$12&gt;=$F122,GD$12&lt;=$G122)</formula>
    </cfRule>
  </conditionalFormatting>
  <conditionalFormatting sqref="GD123">
    <cfRule type="expression" dxfId="75" priority="73" stopIfTrue="1">
      <formula>AND(GD$12&gt;=$F123,GD$12&lt;=$G123)</formula>
    </cfRule>
  </conditionalFormatting>
  <conditionalFormatting sqref="GD124">
    <cfRule type="expression" dxfId="74" priority="74" stopIfTrue="1">
      <formula>AND(GD$12&gt;=$F124,GD$12&lt;=$G124)</formula>
    </cfRule>
  </conditionalFormatting>
  <conditionalFormatting sqref="MD111:MI111 MD109:MI109 MD107:MI107 MD105:MI105 MD103:MI103 MD101:MI101 MD99:MI99 MD97:MI97 MD95:MI95 MD93:MI93 MD91:MI91 MD89:MI89 MD87:MI87 MD85:MI85 MD83:MI83 MD81:MI81 MD79:MI79 MD77:MI77 MD75:MI75 MD73:MI73 MD71:MI71 MD69:MI69 MD67:MI67 MD65:MI65 MD63:MI63 MD61:MI61 MD59:MI59 MD57:MI57 MD55:MI55 MD53:MI53 MD51:MI51 MD49:MI49 MD47:MI47 MD45:MI45 MD43:MI43 MD41:MI41 MD39:MI39 MD37:MI37 MD35:MI35 MD33:MI33 MD31:MI31 MD29:MI29 MD27:MI27 MD25:MI25 MD23:MI23 MD21:MI21 MD19:MI19 MD17:MI17 MD15:MI15 MD13:MI13 LU111:MB111 LU109:MB109 LU107:MB107 LU105:MB105 LU103:MB103 LU101:MB101 LU99:MB99 LU97:MB97 LU95:MB95 LU93:MB93 LU91:MB91 LU89:MB89 LU87:MB87 LU85:MB85 LU83:MB83 LU81:MB81 LU79:MB79 LU77:MB77 LU75:MB75 LU73:MB73 LU71:MB71 LU69:MB69 LU67:MB67 LU65:MB65 LU63:MB63 LU61:MB61 LU59:MB59 LU57:MB57 LU55:MB55 LU53:MB53 LU51:MB51 LU49:MB49 LU47:MB47 LU45:MB45 LU43:MB43 LU41:MB41 LU39:MB39 LU37:MB37 LU35:MB35 LU33:MB33 LU31:MB31 LU29:MB29 LU27:MB27 LU25:MB25 LU23:MB23 LU21:MB21 LU19:MB19 LU17:MB17 LU15:MB15 LU13:MB13">
    <cfRule type="expression" dxfId="69" priority="69" stopIfTrue="1">
      <formula>AND(LU$12&gt;=$F13,LU$12&lt;=$G13)</formula>
    </cfRule>
  </conditionalFormatting>
  <conditionalFormatting sqref="MD112:MI112 MD110:MI110 MD108:MI108 MD106:MI106 MD104:MI104 MD102:MI102 MD100:MI100 MD98:MI98 MD96:MI96 MD94:MI94 MD92:MI92 MD90:MI90 MD88:MI88 MD86:MI86 MD84:MI84 MD82:MI82 MD80:MI80 MD78:MI78 MD76:MI76 MD74:MI74 MD72:MI72 MD70:MI70 MD68:MI68 MD66:MI66 MD64:MI64 MD62:MI62 MD60:MI60 MD58:MI58 MD56:MI56 MD54:MI54 MD52:MI52 MD50:MI50 MD48:MI48 MD46:MI46 MD44:MI44 MD42:MI42 MD40:MI40 MD38:MI38 MD36:MI36 MD34:MI34 MD32:MI32 MD30:MI30 MD28:MI28 MD26:MI26 MD24:MI24 MD22:MI22 MD20:MI20 MD18:MI18 MD16:MI16 MD14:MI14 LU112:MB112 LU110:MB110 LU108:MB108 LU106:MB106 LU104:MB104 LU102:MB102 LU100:MB100 LU98:MB98 LU96:MB96 LU94:MB94 LU92:MB92 LU90:MB90 LU88:MB88 LU86:MB86 LU84:MB84 LU82:MB82 LU80:MB80 LU78:MB78 LU76:MB76 LU74:MB74 LU72:MB72 LU70:MB70 LU68:MB68 LU66:MB66 LU64:MB64 LU62:MB62 LU60:MB60 LU58:MB58 LU56:MB56 LU54:MB54 LU52:MB52 LU50:MB50 LU48:MB48 LU46:MB46 LU44:MB44 LU42:MB42 LU40:MB40 LU38:MB38 LU36:MB36 LU34:MB34 LU32:MB32 LU30:MB30 LU28:MB28 LU26:MB26 LU24:MB24 LU22:MB22 LU20:MB20 LU18:MB18 LU16:MB16 LU14:MB14">
    <cfRule type="expression" dxfId="68" priority="70" stopIfTrue="1">
      <formula>AND(LU$12&gt;=$F14,LU$12&lt;=$G14)</formula>
    </cfRule>
  </conditionalFormatting>
  <conditionalFormatting sqref="MJ111:MK111 MJ109:MK109 MJ107:MK107 MJ105:MK105 MJ103:MK103 MJ101:MK101 MJ99:MK99 MJ97:MK97 MJ95:MK95 MJ93:MK93 MJ91:MK91 MJ89:MK89 MJ87:MK87 MJ85:MK85 MJ83:MK83 MJ81:MK81 MJ79:MK79 MJ77:MK77 MJ75:MK75 MJ73:MK73 MJ71:MK71 MJ69:MK69 MJ67:MK67 MJ65:MK65 MJ63:MK63 MJ61:MK61 MJ59:MK59 MJ57:MK57 MJ55:MK55 MJ53:MK53 MJ51:MK51 MJ49:MK49 MJ47:MK47 MJ45:MK45 MJ43:MK43 MJ41:MK41 MJ39:MK39 MJ37:MK37 MJ35:MK35 MJ33:MK33 MJ31:MK31 MJ29:MK29 MJ27:MK27 MJ25:MK25 MJ23:MK23 MJ21:MK21 MJ19:MK19 MJ17:MK17 MJ15:MK15 MJ13:MK13">
    <cfRule type="expression" dxfId="67" priority="67" stopIfTrue="1">
      <formula>AND(MJ$12&gt;=$F13,MJ$12&lt;=$G13)</formula>
    </cfRule>
  </conditionalFormatting>
  <conditionalFormatting sqref="MJ112:MK112 MJ110:MK110 MJ108:MK108 MJ106:MK106 MJ104:MK104 MJ102:MK102 MJ100:MK100 MJ98:MK98 MJ96:MK96 MJ94:MK94 MJ92:MK92 MJ90:MK90 MJ88:MK88 MJ86:MK86 MJ84:MK84 MJ82:MK82 MJ80:MK80 MJ78:MK78 MJ76:MK76 MJ74:MK74 MJ72:MK72 MJ70:MK70 MJ68:MK68 MJ66:MK66 MJ64:MK64 MJ62:MK62 MJ60:MK60 MJ58:MK58 MJ56:MK56 MJ54:MK54 MJ52:MK52 MJ50:MK50 MJ48:MK48 MJ46:MK46 MJ44:MK44 MJ42:MK42 MJ40:MK40 MJ38:MK38 MJ36:MK36 MJ34:MK34 MJ32:MK32 MJ30:MK30 MJ28:MK28 MJ26:MK26 MJ24:MK24 MJ22:MK22 MJ20:MK20 MJ18:MK18 MJ16:MK16 MJ14:MK14">
    <cfRule type="expression" dxfId="66" priority="68" stopIfTrue="1">
      <formula>AND(MJ$12&gt;=$F14,MJ$12&lt;=$G14)</formula>
    </cfRule>
  </conditionalFormatting>
  <conditionalFormatting sqref="MD113:MI113 LU113:MB113">
    <cfRule type="expression" dxfId="65" priority="65" stopIfTrue="1">
      <formula>AND(LU$12&gt;=$F113,LU$12&lt;=$G113)</formula>
    </cfRule>
  </conditionalFormatting>
  <conditionalFormatting sqref="MD114:MI114 LU114:MB114">
    <cfRule type="expression" dxfId="64" priority="66" stopIfTrue="1">
      <formula>AND(LU$12&gt;=$F114,LU$12&lt;=$G114)</formula>
    </cfRule>
  </conditionalFormatting>
  <conditionalFormatting sqref="MJ113:MK113">
    <cfRule type="expression" dxfId="63" priority="63" stopIfTrue="1">
      <formula>AND(MJ$12&gt;=$F113,MJ$12&lt;=$G113)</formula>
    </cfRule>
  </conditionalFormatting>
  <conditionalFormatting sqref="MJ114:MK114">
    <cfRule type="expression" dxfId="62" priority="64" stopIfTrue="1">
      <formula>AND(MJ$12&gt;=$F114,MJ$12&lt;=$G114)</formula>
    </cfRule>
  </conditionalFormatting>
  <conditionalFormatting sqref="MD115:MI115 LU115:MB115">
    <cfRule type="expression" dxfId="61" priority="61" stopIfTrue="1">
      <formula>AND(LU$12&gt;=$F115,LU$12&lt;=$G115)</formula>
    </cfRule>
  </conditionalFormatting>
  <conditionalFormatting sqref="MD116:MI116 LU116:MB116">
    <cfRule type="expression" dxfId="60" priority="62" stopIfTrue="1">
      <formula>AND(LU$12&gt;=$F116,LU$12&lt;=$G116)</formula>
    </cfRule>
  </conditionalFormatting>
  <conditionalFormatting sqref="MJ115:MK115">
    <cfRule type="expression" dxfId="59" priority="59" stopIfTrue="1">
      <formula>AND(MJ$12&gt;=$F115,MJ$12&lt;=$G115)</formula>
    </cfRule>
  </conditionalFormatting>
  <conditionalFormatting sqref="MJ116:MK116">
    <cfRule type="expression" dxfId="58" priority="60" stopIfTrue="1">
      <formula>AND(MJ$12&gt;=$F116,MJ$12&lt;=$G116)</formula>
    </cfRule>
  </conditionalFormatting>
  <conditionalFormatting sqref="MD117:MI117 LU117:MB117">
    <cfRule type="expression" dxfId="57" priority="57" stopIfTrue="1">
      <formula>AND(LU$12&gt;=$F117,LU$12&lt;=$G117)</formula>
    </cfRule>
  </conditionalFormatting>
  <conditionalFormatting sqref="MD118:MI118 LU118:MB118">
    <cfRule type="expression" dxfId="56" priority="58" stopIfTrue="1">
      <formula>AND(LU$12&gt;=$F118,LU$12&lt;=$G118)</formula>
    </cfRule>
  </conditionalFormatting>
  <conditionalFormatting sqref="MJ117:MK117">
    <cfRule type="expression" dxfId="55" priority="55" stopIfTrue="1">
      <formula>AND(MJ$12&gt;=$F117,MJ$12&lt;=$G117)</formula>
    </cfRule>
  </conditionalFormatting>
  <conditionalFormatting sqref="MJ118:MK118">
    <cfRule type="expression" dxfId="54" priority="56" stopIfTrue="1">
      <formula>AND(MJ$12&gt;=$F118,MJ$12&lt;=$G118)</formula>
    </cfRule>
  </conditionalFormatting>
  <conditionalFormatting sqref="MD119:MI119 LU119:MB119">
    <cfRule type="expression" dxfId="53" priority="53" stopIfTrue="1">
      <formula>AND(LU$12&gt;=$F119,LU$12&lt;=$G119)</formula>
    </cfRule>
  </conditionalFormatting>
  <conditionalFormatting sqref="MD120:MI120 LU120:MB120">
    <cfRule type="expression" dxfId="52" priority="54" stopIfTrue="1">
      <formula>AND(LU$12&gt;=$F120,LU$12&lt;=$G120)</formula>
    </cfRule>
  </conditionalFormatting>
  <conditionalFormatting sqref="MJ119:MK119">
    <cfRule type="expression" dxfId="51" priority="51" stopIfTrue="1">
      <formula>AND(MJ$12&gt;=$F119,MJ$12&lt;=$G119)</formula>
    </cfRule>
  </conditionalFormatting>
  <conditionalFormatting sqref="MJ120:MK120">
    <cfRule type="expression" dxfId="50" priority="52" stopIfTrue="1">
      <formula>AND(MJ$12&gt;=$F120,MJ$12&lt;=$G120)</formula>
    </cfRule>
  </conditionalFormatting>
  <conditionalFormatting sqref="MD121:MI121 LU121:MB121">
    <cfRule type="expression" dxfId="49" priority="49" stopIfTrue="1">
      <formula>AND(LU$12&gt;=$F121,LU$12&lt;=$G121)</formula>
    </cfRule>
  </conditionalFormatting>
  <conditionalFormatting sqref="MD122:MI122 LU122:MB122">
    <cfRule type="expression" dxfId="48" priority="50" stopIfTrue="1">
      <formula>AND(LU$12&gt;=$F122,LU$12&lt;=$G122)</formula>
    </cfRule>
  </conditionalFormatting>
  <conditionalFormatting sqref="MJ121:MK121">
    <cfRule type="expression" dxfId="47" priority="47" stopIfTrue="1">
      <formula>AND(MJ$12&gt;=$F121,MJ$12&lt;=$G121)</formula>
    </cfRule>
  </conditionalFormatting>
  <conditionalFormatting sqref="MJ122:MK122">
    <cfRule type="expression" dxfId="46" priority="48" stopIfTrue="1">
      <formula>AND(MJ$12&gt;=$F122,MJ$12&lt;=$G122)</formula>
    </cfRule>
  </conditionalFormatting>
  <conditionalFormatting sqref="MD123:MI123 LU123:MB123">
    <cfRule type="expression" dxfId="45" priority="45" stopIfTrue="1">
      <formula>AND(LU$12&gt;=$F123,LU$12&lt;=$G123)</formula>
    </cfRule>
  </conditionalFormatting>
  <conditionalFormatting sqref="MD124:MI124 LU124:MB124">
    <cfRule type="expression" dxfId="44" priority="46" stopIfTrue="1">
      <formula>AND(LU$12&gt;=$F124,LU$12&lt;=$G124)</formula>
    </cfRule>
  </conditionalFormatting>
  <conditionalFormatting sqref="MJ123:MK123">
    <cfRule type="expression" dxfId="43" priority="43" stopIfTrue="1">
      <formula>AND(MJ$12&gt;=$F123,MJ$12&lt;=$G123)</formula>
    </cfRule>
  </conditionalFormatting>
  <conditionalFormatting sqref="MJ124:MK124">
    <cfRule type="expression" dxfId="42" priority="44" stopIfTrue="1">
      <formula>AND(MJ$12&gt;=$F124,MJ$12&lt;=$G124)</formula>
    </cfRule>
  </conditionalFormatting>
  <conditionalFormatting sqref="MC111 MC109 MC107 MC105 MC103 MC101 MC99 MC97 MC95 MC93 MC91 MC89 MC87 MC85 MC83 MC81 MC79 MC77 MC75 MC73 MC71 MC69 MC67 MC65 MC63 MC61 MC59 MC57 MC55 MC53 MC51 MC49 MC47 MC45 MC43 MC41 MC39 MC37 MC35 MC33 MC31 MC29 MC27 MC25 MC23 MC21 MC19 MC17 MC15 MC13">
    <cfRule type="expression" dxfId="41" priority="41" stopIfTrue="1">
      <formula>AND(MC$12&gt;=$F13,MC$12&lt;=$G13)</formula>
    </cfRule>
  </conditionalFormatting>
  <conditionalFormatting sqref="MC112 MC110 MC108 MC106 MC104 MC102 MC100 MC98 MC96 MC94 MC92 MC90 MC88 MC86 MC84 MC82 MC80 MC78 MC76 MC74 MC72 MC70 MC68 MC66 MC64 MC62 MC60 MC58 MC56 MC54 MC52 MC50 MC48 MC46 MC44 MC42 MC40 MC38 MC36 MC34 MC32 MC30 MC28 MC26 MC24 MC22 MC20 MC18 MC16 MC14">
    <cfRule type="expression" dxfId="40" priority="42" stopIfTrue="1">
      <formula>AND(MC$12&gt;=$F14,MC$12&lt;=$G14)</formula>
    </cfRule>
  </conditionalFormatting>
  <conditionalFormatting sqref="MC113">
    <cfRule type="expression" dxfId="39" priority="39" stopIfTrue="1">
      <formula>AND(MC$12&gt;=$F113,MC$12&lt;=$G113)</formula>
    </cfRule>
  </conditionalFormatting>
  <conditionalFormatting sqref="MC114">
    <cfRule type="expression" dxfId="38" priority="40" stopIfTrue="1">
      <formula>AND(MC$12&gt;=$F114,MC$12&lt;=$G114)</formula>
    </cfRule>
  </conditionalFormatting>
  <conditionalFormatting sqref="MC115">
    <cfRule type="expression" dxfId="37" priority="37" stopIfTrue="1">
      <formula>AND(MC$12&gt;=$F115,MC$12&lt;=$G115)</formula>
    </cfRule>
  </conditionalFormatting>
  <conditionalFormatting sqref="MC116">
    <cfRule type="expression" dxfId="36" priority="38" stopIfTrue="1">
      <formula>AND(MC$12&gt;=$F116,MC$12&lt;=$G116)</formula>
    </cfRule>
  </conditionalFormatting>
  <conditionalFormatting sqref="MC117">
    <cfRule type="expression" dxfId="35" priority="35" stopIfTrue="1">
      <formula>AND(MC$12&gt;=$F117,MC$12&lt;=$G117)</formula>
    </cfRule>
  </conditionalFormatting>
  <conditionalFormatting sqref="MC118">
    <cfRule type="expression" dxfId="34" priority="36" stopIfTrue="1">
      <formula>AND(MC$12&gt;=$F118,MC$12&lt;=$G118)</formula>
    </cfRule>
  </conditionalFormatting>
  <conditionalFormatting sqref="MC119">
    <cfRule type="expression" dxfId="33" priority="33" stopIfTrue="1">
      <formula>AND(MC$12&gt;=$F119,MC$12&lt;=$G119)</formula>
    </cfRule>
  </conditionalFormatting>
  <conditionalFormatting sqref="MC120">
    <cfRule type="expression" dxfId="32" priority="34" stopIfTrue="1">
      <formula>AND(MC$12&gt;=$F120,MC$12&lt;=$G120)</formula>
    </cfRule>
  </conditionalFormatting>
  <conditionalFormatting sqref="MC121">
    <cfRule type="expression" dxfId="31" priority="31" stopIfTrue="1">
      <formula>AND(MC$12&gt;=$F121,MC$12&lt;=$G121)</formula>
    </cfRule>
  </conditionalFormatting>
  <conditionalFormatting sqref="MC122">
    <cfRule type="expression" dxfId="30" priority="32" stopIfTrue="1">
      <formula>AND(MC$12&gt;=$F122,MC$12&lt;=$G122)</formula>
    </cfRule>
  </conditionalFormatting>
  <conditionalFormatting sqref="MC123">
    <cfRule type="expression" dxfId="29" priority="29" stopIfTrue="1">
      <formula>AND(MC$12&gt;=$F123,MC$12&lt;=$G123)</formula>
    </cfRule>
  </conditionalFormatting>
  <conditionalFormatting sqref="MC124">
    <cfRule type="expression" dxfId="28" priority="30" stopIfTrue="1">
      <formula>AND(MC$12&gt;=$F124,MC$12&lt;=$G124)</formula>
    </cfRule>
  </conditionalFormatting>
  <conditionalFormatting sqref="LQ13:LS13 LQ15:LS15 LQ17:LS17 LQ19:LS19 LQ21:LS21 LQ23:LS23 LQ25:LS25 LQ27:LS27 LQ29:LS29 LQ31:LS31 LQ33:LS33 LQ35:LS35 LQ37:LS37 LQ39:LS39 LQ41:LS41 LQ43:LS43 LQ45:LS45 LQ47:LS47 LQ49:LS49 LQ51:LS51 LQ53:LS53 LQ55:LS55 LQ57:LS57 LQ59:LS59 LQ61:LS61 LQ63:LS63 LQ65:LS65 LQ67:LS67 LQ69:LS69 LQ71:LS71 LQ73:LS73 LQ75:LS75 LQ77:LS77 LQ79:LS79 LQ81:LS81 LQ83:LS83 LQ85:LS85 LQ87:LS87 LQ89:LS89 LQ91:LS91 LQ93:LS93 LQ95:LS95 LQ97:LS97 LQ99:LS99 LQ101:LS101 LQ103:LS103 LQ105:LS105 LQ107:LS107 LQ109:LS109 LQ111:LS111">
    <cfRule type="expression" dxfId="27" priority="27" stopIfTrue="1">
      <formula>AND(LQ$12&gt;=$F13,LQ$12&lt;=$G13)</formula>
    </cfRule>
  </conditionalFormatting>
  <conditionalFormatting sqref="LQ14:LS14 LQ16:LS16 LQ18:LS18 LQ20:LS20 LQ22:LS22 LQ24:LS24 LQ26:LS26 LQ28:LS28 LQ30:LS30 LQ32:LS32 LQ34:LS34 LQ36:LS36 LQ38:LS38 LQ40:LS40 LQ42:LS42 LQ44:LS44 LQ46:LS46 LQ48:LS48 LQ50:LS50 LQ52:LS52 LQ54:LS54 LQ56:LS56 LQ58:LS58 LQ60:LS60 LQ62:LS62 LQ64:LS64 LQ66:LS66 LQ68:LS68 LQ70:LS70 LQ72:LS72 LQ74:LS74 LQ76:LS76 LQ78:LS78 LQ80:LS80 LQ82:LS82 LQ84:LS84 LQ86:LS86 LQ88:LS88 LQ90:LS90 LQ92:LS92 LQ94:LS94 LQ96:LS96 LQ98:LS98 LQ100:LS100 LQ102:LS102 LQ104:LS104 LQ106:LS106 LQ108:LS108 LQ110:LS110 LQ112:LS112">
    <cfRule type="expression" dxfId="26" priority="28" stopIfTrue="1">
      <formula>AND(LQ$12&gt;=$F14,LQ$12&lt;=$G14)</formula>
    </cfRule>
  </conditionalFormatting>
  <conditionalFormatting sqref="LT111 LT109 LT107 LT105 LT103 LT101 LT99 LT97 LT95 LT93 LT91 LT89 LT87 LT85 LT83 LT81 LT79 LT77 LT75 LT73 LT71 LT69 LT67 LT65 LT63 LT61 LT59 LT57 LT55 LT53 LT51 LT49 LT47 LT45 LT43 LT41 LT39 LT37 LT35 LT33 LT31 LT29 LT27 LT25 LT23 LT21 LT19 LT17 LT15 LT13">
    <cfRule type="expression" dxfId="25" priority="25" stopIfTrue="1">
      <formula>AND(LT$12&gt;=$F13,LT$12&lt;=$G13)</formula>
    </cfRule>
  </conditionalFormatting>
  <conditionalFormatting sqref="LT112 LT110 LT108 LT106 LT104 LT102 LT100 LT98 LT96 LT94 LT92 LT90 LT88 LT86 LT84 LT82 LT80 LT78 LT76 LT74 LT72 LT70 LT68 LT66 LT64 LT62 LT60 LT58 LT56 LT54 LT52 LT50 LT48 LT46 LT44 LT42 LT40 LT38 LT36 LT34 LT32 LT30 LT28 LT26 LT24 LT22 LT20 LT18 LT16 LT14">
    <cfRule type="expression" dxfId="24" priority="26" stopIfTrue="1">
      <formula>AND(LT$12&gt;=$F14,LT$12&lt;=$G14)</formula>
    </cfRule>
  </conditionalFormatting>
  <conditionalFormatting sqref="LQ113:LS113">
    <cfRule type="expression" dxfId="23" priority="23" stopIfTrue="1">
      <formula>AND(LQ$12&gt;=$F113,LQ$12&lt;=$G113)</formula>
    </cfRule>
  </conditionalFormatting>
  <conditionalFormatting sqref="LQ114:LS114">
    <cfRule type="expression" dxfId="22" priority="24" stopIfTrue="1">
      <formula>AND(LQ$12&gt;=$F114,LQ$12&lt;=$G114)</formula>
    </cfRule>
  </conditionalFormatting>
  <conditionalFormatting sqref="LT113">
    <cfRule type="expression" dxfId="21" priority="21" stopIfTrue="1">
      <formula>AND(LT$12&gt;=$F113,LT$12&lt;=$G113)</formula>
    </cfRule>
  </conditionalFormatting>
  <conditionalFormatting sqref="LT114">
    <cfRule type="expression" dxfId="20" priority="22" stopIfTrue="1">
      <formula>AND(LT$12&gt;=$F114,LT$12&lt;=$G114)</formula>
    </cfRule>
  </conditionalFormatting>
  <conditionalFormatting sqref="LQ115:LS115">
    <cfRule type="expression" dxfId="19" priority="19" stopIfTrue="1">
      <formula>AND(LQ$12&gt;=$F115,LQ$12&lt;=$G115)</formula>
    </cfRule>
  </conditionalFormatting>
  <conditionalFormatting sqref="LQ116:LS116">
    <cfRule type="expression" dxfId="18" priority="20" stopIfTrue="1">
      <formula>AND(LQ$12&gt;=$F116,LQ$12&lt;=$G116)</formula>
    </cfRule>
  </conditionalFormatting>
  <conditionalFormatting sqref="LT115">
    <cfRule type="expression" dxfId="17" priority="17" stopIfTrue="1">
      <formula>AND(LT$12&gt;=$F115,LT$12&lt;=$G115)</formula>
    </cfRule>
  </conditionalFormatting>
  <conditionalFormatting sqref="LT116">
    <cfRule type="expression" dxfId="16" priority="18" stopIfTrue="1">
      <formula>AND(LT$12&gt;=$F116,LT$12&lt;=$G116)</formula>
    </cfRule>
  </conditionalFormatting>
  <conditionalFormatting sqref="LQ117:LS117">
    <cfRule type="expression" dxfId="15" priority="15" stopIfTrue="1">
      <formula>AND(LQ$12&gt;=$F117,LQ$12&lt;=$G117)</formula>
    </cfRule>
  </conditionalFormatting>
  <conditionalFormatting sqref="LQ118:LS118">
    <cfRule type="expression" dxfId="14" priority="16" stopIfTrue="1">
      <formula>AND(LQ$12&gt;=$F118,LQ$12&lt;=$G118)</formula>
    </cfRule>
  </conditionalFormatting>
  <conditionalFormatting sqref="LT117">
    <cfRule type="expression" dxfId="13" priority="13" stopIfTrue="1">
      <formula>AND(LT$12&gt;=$F117,LT$12&lt;=$G117)</formula>
    </cfRule>
  </conditionalFormatting>
  <conditionalFormatting sqref="LT118">
    <cfRule type="expression" dxfId="12" priority="14" stopIfTrue="1">
      <formula>AND(LT$12&gt;=$F118,LT$12&lt;=$G118)</formula>
    </cfRule>
  </conditionalFormatting>
  <conditionalFormatting sqref="LQ119:LS119">
    <cfRule type="expression" dxfId="11" priority="11" stopIfTrue="1">
      <formula>AND(LQ$12&gt;=$F119,LQ$12&lt;=$G119)</formula>
    </cfRule>
  </conditionalFormatting>
  <conditionalFormatting sqref="LQ120:LS120">
    <cfRule type="expression" dxfId="10" priority="12" stopIfTrue="1">
      <formula>AND(LQ$12&gt;=$F120,LQ$12&lt;=$G120)</formula>
    </cfRule>
  </conditionalFormatting>
  <conditionalFormatting sqref="LT119">
    <cfRule type="expression" dxfId="9" priority="9" stopIfTrue="1">
      <formula>AND(LT$12&gt;=$F119,LT$12&lt;=$G119)</formula>
    </cfRule>
  </conditionalFormatting>
  <conditionalFormatting sqref="LT120">
    <cfRule type="expression" dxfId="8" priority="10" stopIfTrue="1">
      <formula>AND(LT$12&gt;=$F120,LT$12&lt;=$G120)</formula>
    </cfRule>
  </conditionalFormatting>
  <conditionalFormatting sqref="LQ121:LS121">
    <cfRule type="expression" dxfId="7" priority="7" stopIfTrue="1">
      <formula>AND(LQ$12&gt;=$F121,LQ$12&lt;=$G121)</formula>
    </cfRule>
  </conditionalFormatting>
  <conditionalFormatting sqref="LQ122:LS122">
    <cfRule type="expression" dxfId="6" priority="8" stopIfTrue="1">
      <formula>AND(LQ$12&gt;=$F122,LQ$12&lt;=$G122)</formula>
    </cfRule>
  </conditionalFormatting>
  <conditionalFormatting sqref="LT121">
    <cfRule type="expression" dxfId="5" priority="5" stopIfTrue="1">
      <formula>AND(LT$12&gt;=$F121,LT$12&lt;=$G121)</formula>
    </cfRule>
  </conditionalFormatting>
  <conditionalFormatting sqref="LT122">
    <cfRule type="expression" dxfId="4" priority="6" stopIfTrue="1">
      <formula>AND(LT$12&gt;=$F122,LT$12&lt;=$G122)</formula>
    </cfRule>
  </conditionalFormatting>
  <conditionalFormatting sqref="LQ123:LS123">
    <cfRule type="expression" dxfId="3" priority="3" stopIfTrue="1">
      <formula>AND(LQ$12&gt;=$F123,LQ$12&lt;=$G123)</formula>
    </cfRule>
  </conditionalFormatting>
  <conditionalFormatting sqref="LQ124:LS124">
    <cfRule type="expression" dxfId="2" priority="4" stopIfTrue="1">
      <formula>AND(LQ$12&gt;=$F124,LQ$12&lt;=$G124)</formula>
    </cfRule>
  </conditionalFormatting>
  <conditionalFormatting sqref="LT123">
    <cfRule type="expression" dxfId="1" priority="1" stopIfTrue="1">
      <formula>AND(LT$12&gt;=$F123,LT$12&lt;=$G123)</formula>
    </cfRule>
  </conditionalFormatting>
  <conditionalFormatting sqref="LT124">
    <cfRule type="expression" dxfId="0" priority="2" stopIfTrue="1">
      <formula>AND(LT$12&gt;=$F124,LT$12&lt;=$G124)</formula>
    </cfRule>
  </conditionalFormatting>
  <dataValidations count="9">
    <dataValidation type="date" imeMode="off" operator="greaterThanOrEqual" allowBlank="1" showInputMessage="1" showErrorMessage="1" sqref="G13:G124">
      <formula1>F13</formula1>
    </dataValidation>
    <dataValidation type="date" imeMode="off" allowBlank="1" showInputMessage="1" showErrorMessage="1" sqref="F13:F124">
      <formula1>$J$12</formula1>
      <formula2>$NL$12</formula2>
    </dataValidation>
    <dataValidation type="date" errorStyle="warning" imeMode="off" operator="greaterThanOrEqual" allowBlank="1" showInputMessage="1" showErrorMessage="1" prompt="管理開始日を入力してください" sqref="C5">
      <formula1>TODAY()</formula1>
    </dataValidation>
    <dataValidation allowBlank="1" showErrorMessage="1" sqref="C11:F11 E3:F4 D3:D6 C6 C3"/>
    <dataValidation type="list" allowBlank="1" showInputMessage="1" showErrorMessage="1" sqref="B19 B123 B117 B119 B49 B53 B51 B55 B45 B47 B37 B41 B39 B43 B33 B35 B25 B29 B27 B31 B21 B23 B13 B17 B15 B121 B109 B113 B111 B115 B105 B107 B97 B101 B99 B103 B93 B95 B85 B89 B87 B91 B81 B83 B73 B77 B75 B79 B69 B71 B61 B65 B63 B67 B57 B59">
      <formula1>分類名</formula1>
    </dataValidation>
    <dataValidation type="list" allowBlank="1" showInputMessage="1" showErrorMessage="1" sqref="D13 D123 D117 D119 D55 D53 D51 D49 D47 D45 D43 D41 D39 D37 D35 D33 D31 D29 D27 D25 D23 D21 D19 D17 D15 D121 D115 D113 D111 D109 D107 D105 D103 D101 D99 D97 D95 D93 D91 D89 D87 D85 D83 D81 D79 D77 D75 D73 D71 D69 D67 D65 D63 D61 D59 D57">
      <formula1>担当名</formula1>
    </dataValidation>
    <dataValidation type="date" errorStyle="warning" imeMode="disabled" operator="greaterThanOrEqual" allowBlank="1" showInputMessage="1" showErrorMessage="1" error="管理開始日を確認してください。" sqref="C4">
      <formula1>TODAY()-180</formula1>
    </dataValidation>
    <dataValidation imeMode="hiragana" allowBlank="1" showInputMessage="1" showErrorMessage="1" sqref="C13 C117 C119 C55 C53 C51 C49 C47 C45 C43 C41 C39 C37 C35 C33 C31 C29 C27 C25 C23 C21 C19 C17 C15 C1 C121 C123 C115 C113 C111 C109 C107 C105 C103 C101 C99 C97 C95 C93 C91 C89 C87 C85 C83 C81 C79 C77 C75 C73 C71 C69 C67 C65 C63 C61 C59 C57"/>
    <dataValidation type="list" imeMode="hiragana" allowBlank="1" showInputMessage="1" sqref="B1">
      <formula1>タイトルリスト</formula1>
    </dataValidation>
  </dataValidations>
  <pageMargins left="0.78740157480314965" right="0.78740157480314965" top="0.78740157480314965" bottom="0.78740157480314965" header="0.51181102362204722" footer="0.51181102362204722"/>
  <pageSetup paperSize="8" scale="45" orientation="landscape" horizontalDpi="4294967293" r:id="rId1"/>
  <headerFooter alignWithMargins="0"/>
  <colBreaks count="1" manualBreakCount="1">
    <brk id="68" max="1048575" man="1"/>
  </col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G15"/>
  <sheetViews>
    <sheetView showGridLines="0" workbookViewId="0"/>
  </sheetViews>
  <sheetFormatPr defaultRowHeight="13.5" x14ac:dyDescent="0.15"/>
  <cols>
    <col min="1" max="1" width="5.75" customWidth="1"/>
    <col min="2" max="2" width="15.125" customWidth="1"/>
    <col min="4" max="4" width="16.375" customWidth="1"/>
    <col min="6" max="6" width="15.5" style="118" bestFit="1" customWidth="1"/>
  </cols>
  <sheetData>
    <row r="1" spans="2:7" x14ac:dyDescent="0.15">
      <c r="F1"/>
    </row>
    <row r="2" spans="2:7" x14ac:dyDescent="0.15">
      <c r="F2"/>
    </row>
    <row r="3" spans="2:7" x14ac:dyDescent="0.15">
      <c r="F3"/>
    </row>
    <row r="4" spans="2:7" x14ac:dyDescent="0.15">
      <c r="F4"/>
    </row>
    <row r="5" spans="2:7" x14ac:dyDescent="0.15">
      <c r="B5" s="107" t="s">
        <v>2</v>
      </c>
      <c r="D5" s="69" t="s">
        <v>15</v>
      </c>
      <c r="F5" s="69" t="s">
        <v>78</v>
      </c>
      <c r="G5" s="119">
        <f ca="1">MATCH(工程管理表!B1,タイトルリスト,0)</f>
        <v>1</v>
      </c>
    </row>
    <row r="6" spans="2:7" x14ac:dyDescent="0.15">
      <c r="B6" s="71" t="s">
        <v>179</v>
      </c>
      <c r="D6" s="71" t="s">
        <v>188</v>
      </c>
      <c r="F6" s="72" t="s">
        <v>68</v>
      </c>
    </row>
    <row r="7" spans="2:7" x14ac:dyDescent="0.15">
      <c r="B7" s="71" t="s">
        <v>180</v>
      </c>
      <c r="D7" s="71" t="s">
        <v>189</v>
      </c>
      <c r="F7" s="116" t="s">
        <v>116</v>
      </c>
    </row>
    <row r="8" spans="2:7" x14ac:dyDescent="0.15">
      <c r="B8" s="71" t="s">
        <v>181</v>
      </c>
      <c r="D8" s="71" t="s">
        <v>190</v>
      </c>
      <c r="F8" s="116"/>
    </row>
    <row r="9" spans="2:7" x14ac:dyDescent="0.15">
      <c r="B9" s="71" t="s">
        <v>182</v>
      </c>
      <c r="D9" s="71" t="s">
        <v>191</v>
      </c>
      <c r="F9" s="116"/>
    </row>
    <row r="10" spans="2:7" x14ac:dyDescent="0.15">
      <c r="B10" s="71" t="s">
        <v>183</v>
      </c>
      <c r="D10" s="71" t="s">
        <v>192</v>
      </c>
      <c r="F10" s="116"/>
    </row>
    <row r="11" spans="2:7" x14ac:dyDescent="0.15">
      <c r="B11" s="71" t="s">
        <v>184</v>
      </c>
      <c r="D11" s="71"/>
    </row>
    <row r="12" spans="2:7" x14ac:dyDescent="0.15">
      <c r="B12" s="71" t="s">
        <v>185</v>
      </c>
      <c r="D12" s="71"/>
    </row>
    <row r="13" spans="2:7" x14ac:dyDescent="0.15">
      <c r="B13" s="71" t="s">
        <v>186</v>
      </c>
      <c r="D13" s="71"/>
    </row>
    <row r="14" spans="2:7" x14ac:dyDescent="0.15">
      <c r="B14" s="71" t="s">
        <v>187</v>
      </c>
      <c r="D14" s="71"/>
    </row>
    <row r="15" spans="2:7" x14ac:dyDescent="0.15">
      <c r="B15" s="72"/>
      <c r="D15" s="72"/>
    </row>
  </sheetData>
  <sheetProtection selectLockedCells="1"/>
  <phoneticPr fontId="2"/>
  <conditionalFormatting sqref="F6:F65536">
    <cfRule type="expression" dxfId="73" priority="1" stopIfTrue="1">
      <formula>AND(F6&lt;&gt;"",F7="")</formula>
    </cfRule>
    <cfRule type="expression" dxfId="72" priority="2" stopIfTrue="1">
      <formula>F6&lt;&gt;""</formula>
    </cfRule>
  </conditionalFormatting>
  <dataValidations count="1">
    <dataValidation imeMode="hiragana" allowBlank="1" showInputMessage="1" showErrorMessage="1" sqref="D6:D15 B5:B15 F6:F65536"/>
  </dataValidations>
  <pageMargins left="0.75" right="0.75" top="1" bottom="1" header="0.51200000000000001" footer="0.51200000000000001"/>
  <pageSetup paperSize="9"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1:K28"/>
  <sheetViews>
    <sheetView showGridLines="0" workbookViewId="0"/>
  </sheetViews>
  <sheetFormatPr defaultRowHeight="13.5" x14ac:dyDescent="0.15"/>
  <cols>
    <col min="1" max="1" width="9" style="93"/>
    <col min="2" max="2" width="21.5" style="73" bestFit="1" customWidth="1"/>
    <col min="3" max="3" width="3.375" style="94" bestFit="1" customWidth="1"/>
    <col min="4" max="10" width="9" style="73"/>
    <col min="11" max="11" width="6.25" style="95" customWidth="1"/>
    <col min="12" max="16384" width="9" style="73"/>
  </cols>
  <sheetData>
    <row r="1" spans="1:4" x14ac:dyDescent="0.15">
      <c r="A1" s="93" t="s">
        <v>21</v>
      </c>
    </row>
    <row r="2" spans="1:4" x14ac:dyDescent="0.15">
      <c r="B2" s="96" t="s">
        <v>22</v>
      </c>
      <c r="C2" s="97" t="s">
        <v>23</v>
      </c>
      <c r="D2" s="96" t="s">
        <v>24</v>
      </c>
    </row>
    <row r="3" spans="1:4" x14ac:dyDescent="0.15">
      <c r="B3" s="98"/>
      <c r="C3" s="97" t="s">
        <v>25</v>
      </c>
      <c r="D3" s="96" t="s">
        <v>26</v>
      </c>
    </row>
    <row r="4" spans="1:4" x14ac:dyDescent="0.15">
      <c r="B4" s="98"/>
      <c r="C4" s="97"/>
      <c r="D4" s="98"/>
    </row>
    <row r="5" spans="1:4" x14ac:dyDescent="0.15">
      <c r="B5" s="96" t="s">
        <v>79</v>
      </c>
      <c r="C5" s="97" t="s">
        <v>27</v>
      </c>
      <c r="D5" s="96" t="s">
        <v>110</v>
      </c>
    </row>
    <row r="6" spans="1:4" x14ac:dyDescent="0.15">
      <c r="B6" s="96"/>
      <c r="C6" s="120" t="s">
        <v>80</v>
      </c>
      <c r="D6" s="96" t="s">
        <v>81</v>
      </c>
    </row>
    <row r="7" spans="1:4" ht="12.75" customHeight="1" x14ac:dyDescent="0.15">
      <c r="D7" s="101" t="s">
        <v>99</v>
      </c>
    </row>
    <row r="9" spans="1:4" x14ac:dyDescent="0.15">
      <c r="B9" s="101" t="s">
        <v>82</v>
      </c>
      <c r="C9" s="94" t="s">
        <v>28</v>
      </c>
      <c r="D9" s="101" t="s">
        <v>83</v>
      </c>
    </row>
    <row r="11" spans="1:4" x14ac:dyDescent="0.15">
      <c r="A11" s="93" t="s">
        <v>84</v>
      </c>
    </row>
    <row r="12" spans="1:4" x14ac:dyDescent="0.15">
      <c r="B12" s="96" t="s">
        <v>85</v>
      </c>
      <c r="C12" s="97" t="s">
        <v>29</v>
      </c>
      <c r="D12" s="96" t="s">
        <v>86</v>
      </c>
    </row>
    <row r="13" spans="1:4" x14ac:dyDescent="0.15">
      <c r="C13" s="97" t="s">
        <v>30</v>
      </c>
      <c r="D13" s="96" t="s">
        <v>87</v>
      </c>
    </row>
    <row r="14" spans="1:4" x14ac:dyDescent="0.15">
      <c r="C14" s="97"/>
      <c r="D14" s="98"/>
    </row>
    <row r="15" spans="1:4" hidden="1" x14ac:dyDescent="0.15">
      <c r="B15" s="73" t="s">
        <v>31</v>
      </c>
      <c r="C15" s="99" t="s">
        <v>32</v>
      </c>
      <c r="D15" s="100" t="s">
        <v>33</v>
      </c>
    </row>
    <row r="16" spans="1:4" hidden="1" x14ac:dyDescent="0.15">
      <c r="C16" s="97"/>
      <c r="D16" s="98"/>
    </row>
    <row r="17" spans="2:10" x14ac:dyDescent="0.15">
      <c r="B17" s="96" t="s">
        <v>88</v>
      </c>
      <c r="C17" s="97" t="s">
        <v>34</v>
      </c>
      <c r="D17" s="96" t="s">
        <v>89</v>
      </c>
      <c r="J17" s="101" t="s">
        <v>100</v>
      </c>
    </row>
    <row r="18" spans="2:10" x14ac:dyDescent="0.15">
      <c r="B18" s="96"/>
      <c r="C18" s="99"/>
      <c r="D18" s="96"/>
    </row>
    <row r="19" spans="2:10" x14ac:dyDescent="0.15">
      <c r="B19" s="96" t="s">
        <v>62</v>
      </c>
      <c r="C19" s="99" t="s">
        <v>90</v>
      </c>
      <c r="D19" s="96" t="s">
        <v>91</v>
      </c>
      <c r="J19" s="101" t="s">
        <v>101</v>
      </c>
    </row>
    <row r="20" spans="2:10" x14ac:dyDescent="0.15">
      <c r="B20" s="96"/>
      <c r="D20" s="101" t="s">
        <v>92</v>
      </c>
    </row>
    <row r="21" spans="2:10" x14ac:dyDescent="0.15">
      <c r="B21" s="96" t="s">
        <v>93</v>
      </c>
      <c r="C21" s="121" t="s">
        <v>90</v>
      </c>
      <c r="D21" s="96" t="s">
        <v>94</v>
      </c>
      <c r="J21" s="101" t="s">
        <v>102</v>
      </c>
    </row>
    <row r="22" spans="2:10" x14ac:dyDescent="0.15">
      <c r="B22" s="96"/>
      <c r="C22" s="99"/>
      <c r="D22" s="96"/>
    </row>
    <row r="23" spans="2:10" x14ac:dyDescent="0.15">
      <c r="B23" s="96" t="s">
        <v>95</v>
      </c>
      <c r="C23" s="99" t="s">
        <v>90</v>
      </c>
      <c r="D23" s="96" t="s">
        <v>96</v>
      </c>
      <c r="J23" s="101" t="s">
        <v>103</v>
      </c>
    </row>
    <row r="24" spans="2:10" x14ac:dyDescent="0.15">
      <c r="B24" s="96"/>
      <c r="C24" s="99"/>
      <c r="D24" s="101" t="s">
        <v>97</v>
      </c>
    </row>
    <row r="25" spans="2:10" x14ac:dyDescent="0.15">
      <c r="B25" s="96"/>
      <c r="C25" s="99"/>
      <c r="D25" s="101" t="s">
        <v>98</v>
      </c>
    </row>
    <row r="26" spans="2:10" x14ac:dyDescent="0.15">
      <c r="B26" s="96" t="s">
        <v>105</v>
      </c>
      <c r="C26" s="99" t="s">
        <v>104</v>
      </c>
      <c r="D26" s="101" t="s">
        <v>106</v>
      </c>
    </row>
    <row r="27" spans="2:10" x14ac:dyDescent="0.15">
      <c r="B27" s="96"/>
      <c r="C27" s="99"/>
      <c r="D27" s="101" t="s">
        <v>108</v>
      </c>
      <c r="J27" s="101" t="s">
        <v>107</v>
      </c>
    </row>
    <row r="28" spans="2:10" x14ac:dyDescent="0.15">
      <c r="B28" s="96"/>
      <c r="C28" s="99"/>
      <c r="D28" s="101"/>
      <c r="J28" s="101"/>
    </row>
  </sheetData>
  <phoneticPr fontId="2"/>
  <printOptions horizontalCentered="1"/>
  <pageMargins left="0.78740157480314965" right="0.78740157480314965" top="0.59055118110236227" bottom="0.59055118110236227" header="0.51181102362204722" footer="0.51181102362204722"/>
  <pageSetup paperSize="9"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autoPageBreaks="0"/>
  </sheetPr>
  <dimension ref="A1:L35"/>
  <sheetViews>
    <sheetView showGridLines="0" zoomScaleNormal="100" workbookViewId="0"/>
  </sheetViews>
  <sheetFormatPr defaultRowHeight="13.5" x14ac:dyDescent="0.15"/>
  <cols>
    <col min="1" max="1" width="11.875" style="98" customWidth="1"/>
    <col min="2" max="9" width="9" style="98"/>
    <col min="10" max="10" width="4.25" style="98" customWidth="1"/>
    <col min="11" max="16384" width="9" style="98"/>
  </cols>
  <sheetData>
    <row r="1" spans="1:12" x14ac:dyDescent="0.15">
      <c r="A1" s="102" t="s">
        <v>36</v>
      </c>
    </row>
    <row r="3" spans="1:12" x14ac:dyDescent="0.15">
      <c r="A3" s="103" t="s">
        <v>37</v>
      </c>
      <c r="K3" s="103" t="s">
        <v>38</v>
      </c>
    </row>
    <row r="4" spans="1:12" x14ac:dyDescent="0.15">
      <c r="A4" s="98" t="s">
        <v>39</v>
      </c>
      <c r="K4" s="98" t="s">
        <v>39</v>
      </c>
    </row>
    <row r="5" spans="1:12" x14ac:dyDescent="0.15">
      <c r="A5" s="104" t="s">
        <v>23</v>
      </c>
      <c r="B5" s="98" t="s">
        <v>40</v>
      </c>
      <c r="K5" s="104" t="s">
        <v>23</v>
      </c>
      <c r="L5" s="98" t="s">
        <v>41</v>
      </c>
    </row>
    <row r="6" spans="1:12" x14ac:dyDescent="0.15">
      <c r="A6" s="104" t="s">
        <v>25</v>
      </c>
      <c r="B6" s="98" t="s">
        <v>42</v>
      </c>
      <c r="K6" s="104" t="s">
        <v>35</v>
      </c>
      <c r="L6" s="98" t="s">
        <v>43</v>
      </c>
    </row>
    <row r="7" spans="1:12" x14ac:dyDescent="0.15">
      <c r="K7" s="104" t="s">
        <v>44</v>
      </c>
      <c r="L7" s="98" t="s">
        <v>45</v>
      </c>
    </row>
    <row r="8" spans="1:12" x14ac:dyDescent="0.15">
      <c r="K8" s="104" t="s">
        <v>46</v>
      </c>
      <c r="L8" s="98" t="s">
        <v>47</v>
      </c>
    </row>
    <row r="9" spans="1:12" x14ac:dyDescent="0.15">
      <c r="K9" s="104" t="s">
        <v>48</v>
      </c>
      <c r="L9" s="98" t="s">
        <v>49</v>
      </c>
    </row>
    <row r="28" spans="1:12" x14ac:dyDescent="0.15">
      <c r="A28" s="98" t="s">
        <v>50</v>
      </c>
      <c r="K28" s="98" t="s">
        <v>50</v>
      </c>
    </row>
    <row r="29" spans="1:12" x14ac:dyDescent="0.15">
      <c r="A29" s="104" t="s">
        <v>51</v>
      </c>
      <c r="B29" s="98" t="s">
        <v>52</v>
      </c>
      <c r="K29" s="104" t="s">
        <v>53</v>
      </c>
      <c r="L29" s="98" t="s">
        <v>54</v>
      </c>
    </row>
    <row r="30" spans="1:12" x14ac:dyDescent="0.15">
      <c r="A30" s="104" t="s">
        <v>55</v>
      </c>
      <c r="B30" s="98" t="s">
        <v>56</v>
      </c>
    </row>
    <row r="35" spans="11:12" x14ac:dyDescent="0.15">
      <c r="K35" s="104" t="s">
        <v>57</v>
      </c>
      <c r="L35" s="98" t="s">
        <v>58</v>
      </c>
    </row>
  </sheetData>
  <phoneticPr fontId="2"/>
  <printOptions horizontalCentered="1"/>
  <pageMargins left="0.59055118110236227" right="0.59055118110236227" top="0.59055118110236227" bottom="0.59055118110236227" header="0.51181102362204722" footer="0.51181102362204722"/>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システム概要</vt:lpstr>
      <vt:lpstr>メニュー</vt:lpstr>
      <vt:lpstr>工程管理表</vt:lpstr>
      <vt:lpstr>マスタ</vt:lpstr>
      <vt:lpstr>操作説明</vt:lpstr>
      <vt:lpstr>マクロに関する設定について</vt:lpstr>
      <vt:lpstr>工程管理表!Print_Titles</vt:lpstr>
      <vt:lpstr>分類タイトル</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hal</dc:creator>
  <cp:lastModifiedBy>FJ-USER</cp:lastModifiedBy>
  <cp:lastPrinted>2017-04-12T12:43:02Z</cp:lastPrinted>
  <dcterms:created xsi:type="dcterms:W3CDTF">2008-08-28T03:42:10Z</dcterms:created>
  <dcterms:modified xsi:type="dcterms:W3CDTF">2017-04-29T02:40:41Z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094adece-ed96-413c-8c4e-c260ad31e346</vt:lpwstr>
  </property>
</Properties>
</file>